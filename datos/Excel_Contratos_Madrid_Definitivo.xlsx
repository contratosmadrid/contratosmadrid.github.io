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ose.maria.malo\Downloads\"/>
    </mc:Choice>
  </mc:AlternateContent>
  <xr:revisionPtr revIDLastSave="0" documentId="13_ncr:1_{99F4B493-11BE-4340-9893-5064754BC6FB}" xr6:coauthVersionLast="47" xr6:coauthVersionMax="47" xr10:uidLastSave="{00000000-0000-0000-0000-000000000000}"/>
  <bookViews>
    <workbookView xWindow="-110" yWindow="-110" windowWidth="19420" windowHeight="11500" xr2:uid="{00000000-000D-0000-FFFF-FFFF00000000}"/>
  </bookViews>
  <sheets>
    <sheet name="Consulta de contratos" sheetId="1" r:id="rId1"/>
    <sheet name="Datos" sheetId="2" r:id="rId2"/>
    <sheet name="Empresas y UTE" sheetId="3" r:id="rId3"/>
  </sheets>
  <definedNames>
    <definedName name="Criterio1">'Empresas y UTE'!$AG$1:$AG$35</definedName>
    <definedName name="Criterio2">'Empresas y UTE'!$AF$1:$AF$81</definedName>
    <definedName name="Criterio3">OFFSET('Empresas y UTE'!$BN$1,INDEX('Empresas y UTE'!$BL$2:$BL$105,MATCH('Consulta de contratos'!$B$12&amp;"|"&amp;'Consulta de contratos'!$B$14,'Empresas y UTE'!$BK$2:$BK$105,0))-1,0,INDEX('Empresas y UTE'!$BM$2:$BM$105,MATCH('Consulta de contratos'!$B$12&amp;"|"&amp;'Consulta de contratos'!$B$14,'Empresas y UTE'!$BK$2:$BK$105,0)),1)</definedName>
    <definedName name="Criterio4">OFFSET('Empresas y UTE'!$BR$1,INDEX('Empresas y UTE'!$BP$2:$BP$53,MATCH('Consulta de contratos'!$B$10&amp;"|"&amp;'Consulta de contratos'!$B$14,'Empresas y UTE'!$BO$2:$BO$53,0))-1,0,INDEX('Empresas y UTE'!$BQ$2:$BQ$53,MATCH('Consulta de contratos'!$B$10&amp;"|"&amp;'Consulta de contratos'!$B$14,'Empresas y UTE'!$BO$2:$BO$53,0)),1)</definedName>
    <definedName name="Criterio5">OFFSET('Empresas y UTE'!$BV$1,INDEX('Empresas y UTE'!$BT$2:$BT$33,MATCH('Consulta de contratos'!$B$10&amp;"|"&amp;'Consulta de contratos'!$B$12,'Empresas y UTE'!$BS$2:$BS$33,0))-1,0,INDEX('Empresas y UTE'!$BU$2:$BU$33,MATCH('Consulta de contratos'!$B$10&amp;"|"&amp;'Consulta de contratos'!$B$12,'Empresas y UTE'!$BS$2:$BS$33,0)),1)</definedName>
    <definedName name="CriterioGrupo">'Empresas y UTE'!$BW$1:$BW$68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76" i="2" l="1"/>
  <c r="W976" i="2" s="1"/>
  <c r="V939" i="2"/>
  <c r="W939" i="2" s="1"/>
  <c r="V900" i="2"/>
  <c r="W900" i="2" s="1"/>
  <c r="V881" i="2"/>
  <c r="W881" i="2" s="1"/>
  <c r="V824" i="2"/>
  <c r="W824" i="2" s="1"/>
  <c r="V803" i="2"/>
  <c r="W803" i="2" s="1"/>
  <c r="V783" i="2"/>
  <c r="W783" i="2" s="1"/>
  <c r="V742" i="2"/>
  <c r="W742" i="2" s="1"/>
  <c r="V727" i="2"/>
  <c r="W727" i="2" s="1"/>
  <c r="V708" i="2"/>
  <c r="W708" i="2" s="1"/>
  <c r="V686" i="2"/>
  <c r="W686" i="2" s="1"/>
  <c r="V667" i="2"/>
  <c r="W667" i="2" s="1"/>
  <c r="V600" i="2"/>
  <c r="W600" i="2" s="1"/>
  <c r="V584" i="2"/>
  <c r="W584" i="2" s="1"/>
  <c r="V572" i="2"/>
  <c r="W572" i="2" s="1"/>
  <c r="V500" i="2"/>
  <c r="W500" i="2" s="1"/>
  <c r="V472" i="2"/>
  <c r="W472" i="2" s="1"/>
  <c r="V457" i="2"/>
  <c r="W457" i="2" s="1"/>
  <c r="V303" i="2"/>
  <c r="W303" i="2" s="1"/>
  <c r="V287" i="2"/>
  <c r="W287" i="2" s="1"/>
  <c r="V238" i="2"/>
  <c r="W238" i="2" s="1"/>
  <c r="V226" i="2"/>
  <c r="W226" i="2" s="1"/>
  <c r="V175" i="2"/>
  <c r="W175" i="2" s="1"/>
  <c r="V163" i="2"/>
  <c r="W163" i="2" s="1"/>
  <c r="V90" i="2"/>
  <c r="W90" i="2" s="1"/>
  <c r="V64" i="2"/>
  <c r="W64" i="2" s="1"/>
  <c r="V51" i="2"/>
  <c r="W51" i="2" s="1"/>
  <c r="V40" i="2"/>
  <c r="W40" i="2" s="1"/>
  <c r="K6" i="1"/>
  <c r="K5" i="1"/>
  <c r="K4" i="1"/>
  <c r="A16" i="1" s="1"/>
  <c r="K3" i="1"/>
  <c r="K2" i="1"/>
  <c r="K1" i="1"/>
  <c r="V1000" i="2" l="1"/>
  <c r="W1000" i="2" s="1"/>
  <c r="V991" i="2"/>
  <c r="W991" i="2" s="1"/>
  <c r="V982" i="2"/>
  <c r="W982" i="2" s="1"/>
  <c r="V973" i="2"/>
  <c r="W973" i="2" s="1"/>
  <c r="V968" i="2"/>
  <c r="W968" i="2" s="1"/>
  <c r="V959" i="2"/>
  <c r="W959" i="2" s="1"/>
  <c r="V950" i="2"/>
  <c r="W950" i="2" s="1"/>
  <c r="V941" i="2"/>
  <c r="W941" i="2" s="1"/>
  <c r="V936" i="2"/>
  <c r="W936" i="2" s="1"/>
  <c r="V927" i="2"/>
  <c r="W927" i="2" s="1"/>
  <c r="V918" i="2"/>
  <c r="W918" i="2" s="1"/>
  <c r="V909" i="2"/>
  <c r="W909" i="2" s="1"/>
  <c r="V904" i="2"/>
  <c r="W904" i="2" s="1"/>
  <c r="V895" i="2"/>
  <c r="W895" i="2" s="1"/>
  <c r="V886" i="2"/>
  <c r="W886" i="2" s="1"/>
  <c r="V877" i="2"/>
  <c r="W877" i="2" s="1"/>
  <c r="V872" i="2"/>
  <c r="W872" i="2" s="1"/>
  <c r="V863" i="2"/>
  <c r="W863" i="2" s="1"/>
  <c r="V854" i="2"/>
  <c r="W854" i="2" s="1"/>
  <c r="V845" i="2"/>
  <c r="W845" i="2" s="1"/>
  <c r="V840" i="2"/>
  <c r="W840" i="2" s="1"/>
  <c r="V831" i="2"/>
  <c r="W831" i="2" s="1"/>
  <c r="V822" i="2"/>
  <c r="W822" i="2" s="1"/>
  <c r="V813" i="2"/>
  <c r="W813" i="2" s="1"/>
  <c r="V808" i="2"/>
  <c r="W808" i="2" s="1"/>
  <c r="V799" i="2"/>
  <c r="W799" i="2" s="1"/>
  <c r="V790" i="2"/>
  <c r="W790" i="2" s="1"/>
  <c r="V781" i="2"/>
  <c r="W781" i="2" s="1"/>
  <c r="V776" i="2"/>
  <c r="W776" i="2" s="1"/>
  <c r="V767" i="2"/>
  <c r="W767" i="2" s="1"/>
  <c r="V758" i="2"/>
  <c r="W758" i="2" s="1"/>
  <c r="V749" i="2"/>
  <c r="W749" i="2" s="1"/>
  <c r="V744" i="2"/>
  <c r="W744" i="2" s="1"/>
  <c r="V735" i="2"/>
  <c r="W735" i="2" s="1"/>
  <c r="V726" i="2"/>
  <c r="W726" i="2" s="1"/>
  <c r="V717" i="2"/>
  <c r="W717" i="2" s="1"/>
  <c r="V712" i="2"/>
  <c r="W712" i="2" s="1"/>
  <c r="V703" i="2"/>
  <c r="W703" i="2" s="1"/>
  <c r="V694" i="2"/>
  <c r="W694" i="2" s="1"/>
  <c r="V685" i="2"/>
  <c r="W685" i="2" s="1"/>
  <c r="V680" i="2"/>
  <c r="W680" i="2" s="1"/>
  <c r="V671" i="2"/>
  <c r="W671" i="2" s="1"/>
  <c r="V662" i="2"/>
  <c r="W662" i="2" s="1"/>
  <c r="V658" i="2"/>
  <c r="W658" i="2" s="1"/>
  <c r="V654" i="2"/>
  <c r="W654" i="2" s="1"/>
  <c r="V650" i="2"/>
  <c r="W650" i="2" s="1"/>
  <c r="V646" i="2"/>
  <c r="W646" i="2" s="1"/>
  <c r="V642" i="2"/>
  <c r="W642" i="2" s="1"/>
  <c r="V638" i="2"/>
  <c r="W638" i="2" s="1"/>
  <c r="V634" i="2"/>
  <c r="W634" i="2" s="1"/>
  <c r="V630" i="2"/>
  <c r="W630" i="2" s="1"/>
  <c r="V626" i="2"/>
  <c r="W626" i="2" s="1"/>
  <c r="V622" i="2"/>
  <c r="W622" i="2" s="1"/>
  <c r="V618" i="2"/>
  <c r="W618" i="2" s="1"/>
  <c r="V614" i="2"/>
  <c r="W614" i="2" s="1"/>
  <c r="V610" i="2"/>
  <c r="W610" i="2" s="1"/>
  <c r="V606" i="2"/>
  <c r="W606" i="2" s="1"/>
  <c r="V602" i="2"/>
  <c r="W602" i="2" s="1"/>
  <c r="V598" i="2"/>
  <c r="W598" i="2" s="1"/>
  <c r="V594" i="2"/>
  <c r="W594" i="2" s="1"/>
  <c r="V590" i="2"/>
  <c r="W590" i="2" s="1"/>
  <c r="V586" i="2"/>
  <c r="W586" i="2" s="1"/>
  <c r="V582" i="2"/>
  <c r="W582" i="2" s="1"/>
  <c r="V578" i="2"/>
  <c r="W578" i="2" s="1"/>
  <c r="V574" i="2"/>
  <c r="W574" i="2" s="1"/>
  <c r="V570" i="2"/>
  <c r="W570" i="2" s="1"/>
  <c r="V566" i="2"/>
  <c r="W566" i="2" s="1"/>
  <c r="V562" i="2"/>
  <c r="W562" i="2" s="1"/>
  <c r="V558" i="2"/>
  <c r="W558" i="2" s="1"/>
  <c r="V554" i="2"/>
  <c r="W554" i="2" s="1"/>
  <c r="V550" i="2"/>
  <c r="W550" i="2" s="1"/>
  <c r="V546" i="2"/>
  <c r="W546" i="2" s="1"/>
  <c r="V542" i="2"/>
  <c r="W542" i="2" s="1"/>
  <c r="V538" i="2"/>
  <c r="W538" i="2" s="1"/>
  <c r="V534" i="2"/>
  <c r="W534" i="2" s="1"/>
  <c r="V530" i="2"/>
  <c r="W530" i="2" s="1"/>
  <c r="V526" i="2"/>
  <c r="W526" i="2" s="1"/>
  <c r="V522" i="2"/>
  <c r="W522" i="2" s="1"/>
  <c r="V518" i="2"/>
  <c r="W518" i="2" s="1"/>
  <c r="V514" i="2"/>
  <c r="W514" i="2" s="1"/>
  <c r="V510" i="2"/>
  <c r="W510" i="2" s="1"/>
  <c r="V506" i="2"/>
  <c r="W506" i="2" s="1"/>
  <c r="V502" i="2"/>
  <c r="W502" i="2" s="1"/>
  <c r="V498" i="2"/>
  <c r="W498" i="2" s="1"/>
  <c r="V494" i="2"/>
  <c r="W494" i="2" s="1"/>
  <c r="V490" i="2"/>
  <c r="W490" i="2" s="1"/>
  <c r="V486" i="2"/>
  <c r="W486" i="2" s="1"/>
  <c r="V482" i="2"/>
  <c r="W482" i="2" s="1"/>
  <c r="V478" i="2"/>
  <c r="W478" i="2" s="1"/>
  <c r="V474" i="2"/>
  <c r="W474" i="2" s="1"/>
  <c r="V470" i="2"/>
  <c r="W470" i="2" s="1"/>
  <c r="V466" i="2"/>
  <c r="W466" i="2" s="1"/>
  <c r="V462" i="2"/>
  <c r="W462" i="2" s="1"/>
  <c r="V458" i="2"/>
  <c r="W458" i="2" s="1"/>
  <c r="V454" i="2"/>
  <c r="W454" i="2" s="1"/>
  <c r="V450" i="2"/>
  <c r="W450" i="2" s="1"/>
  <c r="V446" i="2"/>
  <c r="W446" i="2" s="1"/>
  <c r="V442" i="2"/>
  <c r="W442" i="2" s="1"/>
  <c r="V438" i="2"/>
  <c r="W438" i="2" s="1"/>
  <c r="V434" i="2"/>
  <c r="W434" i="2" s="1"/>
  <c r="V430" i="2"/>
  <c r="W430" i="2" s="1"/>
  <c r="V426" i="2"/>
  <c r="W426" i="2" s="1"/>
  <c r="V422" i="2"/>
  <c r="W422" i="2" s="1"/>
  <c r="V418" i="2"/>
  <c r="W418" i="2" s="1"/>
  <c r="V414" i="2"/>
  <c r="W414" i="2" s="1"/>
  <c r="V410" i="2"/>
  <c r="W410" i="2" s="1"/>
  <c r="V406" i="2"/>
  <c r="W406" i="2" s="1"/>
  <c r="V402" i="2"/>
  <c r="W402" i="2" s="1"/>
  <c r="V398" i="2"/>
  <c r="W398" i="2" s="1"/>
  <c r="V394" i="2"/>
  <c r="W394" i="2" s="1"/>
  <c r="V390" i="2"/>
  <c r="W390" i="2" s="1"/>
  <c r="V386" i="2"/>
  <c r="W386" i="2" s="1"/>
  <c r="V382" i="2"/>
  <c r="W382" i="2" s="1"/>
  <c r="V378" i="2"/>
  <c r="W378" i="2" s="1"/>
  <c r="V374" i="2"/>
  <c r="W374" i="2" s="1"/>
  <c r="V370" i="2"/>
  <c r="W370" i="2" s="1"/>
  <c r="V366" i="2"/>
  <c r="W366" i="2" s="1"/>
  <c r="V362" i="2"/>
  <c r="W362" i="2" s="1"/>
  <c r="V358" i="2"/>
  <c r="W358" i="2" s="1"/>
  <c r="V354" i="2"/>
  <c r="W354" i="2" s="1"/>
  <c r="V350" i="2"/>
  <c r="W350" i="2" s="1"/>
  <c r="V346" i="2"/>
  <c r="W346" i="2" s="1"/>
  <c r="V342" i="2"/>
  <c r="W342" i="2" s="1"/>
  <c r="V338" i="2"/>
  <c r="W338" i="2" s="1"/>
  <c r="V334" i="2"/>
  <c r="W334" i="2" s="1"/>
  <c r="V330" i="2"/>
  <c r="W330" i="2" s="1"/>
  <c r="V326" i="2"/>
  <c r="W326" i="2" s="1"/>
  <c r="V322" i="2"/>
  <c r="W322" i="2" s="1"/>
  <c r="V318" i="2"/>
  <c r="W318" i="2" s="1"/>
  <c r="V314" i="2"/>
  <c r="W314" i="2" s="1"/>
  <c r="V310" i="2"/>
  <c r="W310" i="2" s="1"/>
  <c r="V306" i="2"/>
  <c r="W306" i="2" s="1"/>
  <c r="V302" i="2"/>
  <c r="W302" i="2" s="1"/>
  <c r="V298" i="2"/>
  <c r="W298" i="2" s="1"/>
  <c r="V294" i="2"/>
  <c r="W294" i="2" s="1"/>
  <c r="V290" i="2"/>
  <c r="W290" i="2" s="1"/>
  <c r="V286" i="2"/>
  <c r="W286" i="2" s="1"/>
  <c r="V282" i="2"/>
  <c r="W282" i="2" s="1"/>
  <c r="V984" i="2"/>
  <c r="W984" i="2" s="1"/>
  <c r="V979" i="2"/>
  <c r="W979" i="2" s="1"/>
  <c r="V974" i="2"/>
  <c r="W974" i="2" s="1"/>
  <c r="V969" i="2"/>
  <c r="W969" i="2" s="1"/>
  <c r="V963" i="2"/>
  <c r="W963" i="2" s="1"/>
  <c r="V958" i="2"/>
  <c r="W958" i="2" s="1"/>
  <c r="V953" i="2"/>
  <c r="W953" i="2" s="1"/>
  <c r="V932" i="2"/>
  <c r="W932" i="2" s="1"/>
  <c r="V916" i="2"/>
  <c r="W916" i="2" s="1"/>
  <c r="V911" i="2"/>
  <c r="W911" i="2" s="1"/>
  <c r="V906" i="2"/>
  <c r="W906" i="2" s="1"/>
  <c r="V901" i="2"/>
  <c r="W901" i="2" s="1"/>
  <c r="V890" i="2"/>
  <c r="W890" i="2" s="1"/>
  <c r="V885" i="2"/>
  <c r="W885" i="2" s="1"/>
  <c r="V864" i="2"/>
  <c r="W864" i="2" s="1"/>
  <c r="V859" i="2"/>
  <c r="W859" i="2" s="1"/>
  <c r="V848" i="2"/>
  <c r="W848" i="2" s="1"/>
  <c r="V843" i="2"/>
  <c r="W843" i="2" s="1"/>
  <c r="V838" i="2"/>
  <c r="W838" i="2" s="1"/>
  <c r="V833" i="2"/>
  <c r="W833" i="2" s="1"/>
  <c r="V817" i="2"/>
  <c r="W817" i="2" s="1"/>
  <c r="V796" i="2"/>
  <c r="W796" i="2" s="1"/>
  <c r="V791" i="2"/>
  <c r="W791" i="2" s="1"/>
  <c r="V786" i="2"/>
  <c r="W786" i="2" s="1"/>
  <c r="V780" i="2"/>
  <c r="W780" i="2" s="1"/>
  <c r="V775" i="2"/>
  <c r="W775" i="2" s="1"/>
  <c r="V770" i="2"/>
  <c r="W770" i="2" s="1"/>
  <c r="V765" i="2"/>
  <c r="W765" i="2" s="1"/>
  <c r="V728" i="2"/>
  <c r="W728" i="2" s="1"/>
  <c r="V723" i="2"/>
  <c r="W723" i="2" s="1"/>
  <c r="V718" i="2"/>
  <c r="W718" i="2" s="1"/>
  <c r="V713" i="2"/>
  <c r="W713" i="2" s="1"/>
  <c r="V707" i="2"/>
  <c r="W707" i="2" s="1"/>
  <c r="V702" i="2"/>
  <c r="W702" i="2" s="1"/>
  <c r="V697" i="2"/>
  <c r="W697" i="2" s="1"/>
  <c r="V676" i="2"/>
  <c r="W676" i="2" s="1"/>
  <c r="V656" i="2"/>
  <c r="W656" i="2" s="1"/>
  <c r="V647" i="2"/>
  <c r="W647" i="2" s="1"/>
  <c r="V633" i="2"/>
  <c r="W633" i="2" s="1"/>
  <c r="V624" i="2"/>
  <c r="W624" i="2" s="1"/>
  <c r="V615" i="2"/>
  <c r="W615" i="2" s="1"/>
  <c r="V601" i="2"/>
  <c r="W601" i="2" s="1"/>
  <c r="V592" i="2"/>
  <c r="W592" i="2" s="1"/>
  <c r="V583" i="2"/>
  <c r="W583" i="2" s="1"/>
  <c r="V569" i="2"/>
  <c r="W569" i="2" s="1"/>
  <c r="V560" i="2"/>
  <c r="W560" i="2" s="1"/>
  <c r="V551" i="2"/>
  <c r="W551" i="2" s="1"/>
  <c r="V537" i="2"/>
  <c r="W537" i="2" s="1"/>
  <c r="V528" i="2"/>
  <c r="W528" i="2" s="1"/>
  <c r="V519" i="2"/>
  <c r="W519" i="2" s="1"/>
  <c r="V505" i="2"/>
  <c r="W505" i="2" s="1"/>
  <c r="V496" i="2"/>
  <c r="W496" i="2" s="1"/>
  <c r="V487" i="2"/>
  <c r="W487" i="2" s="1"/>
  <c r="V473" i="2"/>
  <c r="W473" i="2" s="1"/>
  <c r="V464" i="2"/>
  <c r="W464" i="2" s="1"/>
  <c r="V455" i="2"/>
  <c r="W455" i="2" s="1"/>
  <c r="V441" i="2"/>
  <c r="W441" i="2" s="1"/>
  <c r="V432" i="2"/>
  <c r="W432" i="2" s="1"/>
  <c r="V423" i="2"/>
  <c r="W423" i="2" s="1"/>
  <c r="V409" i="2"/>
  <c r="W409" i="2" s="1"/>
  <c r="V400" i="2"/>
  <c r="W400" i="2" s="1"/>
  <c r="V391" i="2"/>
  <c r="W391" i="2" s="1"/>
  <c r="V377" i="2"/>
  <c r="W377" i="2" s="1"/>
  <c r="V368" i="2"/>
  <c r="W368" i="2" s="1"/>
  <c r="V359" i="2"/>
  <c r="W359" i="2" s="1"/>
  <c r="V345" i="2"/>
  <c r="W345" i="2" s="1"/>
  <c r="V336" i="2"/>
  <c r="W336" i="2" s="1"/>
  <c r="V327" i="2"/>
  <c r="W327" i="2" s="1"/>
  <c r="V313" i="2"/>
  <c r="W313" i="2" s="1"/>
  <c r="V304" i="2"/>
  <c r="W304" i="2" s="1"/>
  <c r="V295" i="2"/>
  <c r="W295" i="2" s="1"/>
  <c r="V281" i="2"/>
  <c r="W281" i="2" s="1"/>
  <c r="V277" i="2"/>
  <c r="W277" i="2" s="1"/>
  <c r="V273" i="2"/>
  <c r="W273" i="2" s="1"/>
  <c r="V269" i="2"/>
  <c r="W269" i="2" s="1"/>
  <c r="V265" i="2"/>
  <c r="W265" i="2" s="1"/>
  <c r="V261" i="2"/>
  <c r="W261" i="2" s="1"/>
  <c r="V257" i="2"/>
  <c r="W257" i="2" s="1"/>
  <c r="V253" i="2"/>
  <c r="W253" i="2" s="1"/>
  <c r="V249" i="2"/>
  <c r="W249" i="2" s="1"/>
  <c r="V245" i="2"/>
  <c r="W245" i="2" s="1"/>
  <c r="V241" i="2"/>
  <c r="W241" i="2" s="1"/>
  <c r="V237" i="2"/>
  <c r="W237" i="2" s="1"/>
  <c r="V233" i="2"/>
  <c r="W233" i="2" s="1"/>
  <c r="V229" i="2"/>
  <c r="W229" i="2" s="1"/>
  <c r="V225" i="2"/>
  <c r="W225" i="2" s="1"/>
  <c r="V221" i="2"/>
  <c r="W221" i="2" s="1"/>
  <c r="V217" i="2"/>
  <c r="W217" i="2" s="1"/>
  <c r="V213" i="2"/>
  <c r="W213" i="2" s="1"/>
  <c r="V209" i="2"/>
  <c r="W209" i="2" s="1"/>
  <c r="V205" i="2"/>
  <c r="W205" i="2" s="1"/>
  <c r="V201" i="2"/>
  <c r="W201" i="2" s="1"/>
  <c r="V197" i="2"/>
  <c r="W197" i="2" s="1"/>
  <c r="V193" i="2"/>
  <c r="W193" i="2" s="1"/>
  <c r="V189" i="2"/>
  <c r="W189" i="2" s="1"/>
  <c r="V185" i="2"/>
  <c r="W185" i="2" s="1"/>
  <c r="V181" i="2"/>
  <c r="W181" i="2" s="1"/>
  <c r="V177" i="2"/>
  <c r="W177" i="2" s="1"/>
  <c r="V173" i="2"/>
  <c r="W173" i="2" s="1"/>
  <c r="V169" i="2"/>
  <c r="W169" i="2" s="1"/>
  <c r="V165" i="2"/>
  <c r="W165" i="2" s="1"/>
  <c r="V161" i="2"/>
  <c r="W161" i="2" s="1"/>
  <c r="V157" i="2"/>
  <c r="W157" i="2" s="1"/>
  <c r="V153" i="2"/>
  <c r="W153" i="2" s="1"/>
  <c r="V149" i="2"/>
  <c r="W149" i="2" s="1"/>
  <c r="V145" i="2"/>
  <c r="W145" i="2" s="1"/>
  <c r="V141" i="2"/>
  <c r="W141" i="2" s="1"/>
  <c r="V137" i="2"/>
  <c r="W137" i="2" s="1"/>
  <c r="V133" i="2"/>
  <c r="W133" i="2" s="1"/>
  <c r="V129" i="2"/>
  <c r="W129" i="2" s="1"/>
  <c r="V125" i="2"/>
  <c r="W125" i="2" s="1"/>
  <c r="V121" i="2"/>
  <c r="W121" i="2" s="1"/>
  <c r="V117" i="2"/>
  <c r="W117" i="2" s="1"/>
  <c r="V113" i="2"/>
  <c r="W113" i="2" s="1"/>
  <c r="V109" i="2"/>
  <c r="W109" i="2" s="1"/>
  <c r="V105" i="2"/>
  <c r="W105" i="2" s="1"/>
  <c r="V101" i="2"/>
  <c r="W101" i="2" s="1"/>
  <c r="V97" i="2"/>
  <c r="W97" i="2" s="1"/>
  <c r="V93" i="2"/>
  <c r="W93" i="2" s="1"/>
  <c r="V89" i="2"/>
  <c r="W89" i="2" s="1"/>
  <c r="V85" i="2"/>
  <c r="W85" i="2" s="1"/>
  <c r="V81" i="2"/>
  <c r="W81" i="2" s="1"/>
  <c r="V77" i="2"/>
  <c r="W77" i="2" s="1"/>
  <c r="V73" i="2"/>
  <c r="W73" i="2" s="1"/>
  <c r="V69" i="2"/>
  <c r="W69" i="2" s="1"/>
  <c r="V65" i="2"/>
  <c r="W65" i="2" s="1"/>
  <c r="V61" i="2"/>
  <c r="W61" i="2" s="1"/>
  <c r="V57" i="2"/>
  <c r="W57" i="2" s="1"/>
  <c r="V53" i="2"/>
  <c r="W53" i="2" s="1"/>
  <c r="V49" i="2"/>
  <c r="W49" i="2" s="1"/>
  <c r="V45" i="2"/>
  <c r="W45" i="2" s="1"/>
  <c r="V41" i="2"/>
  <c r="W41" i="2" s="1"/>
  <c r="V37" i="2"/>
  <c r="W37" i="2" s="1"/>
  <c r="V33" i="2"/>
  <c r="W33" i="2" s="1"/>
  <c r="V29" i="2"/>
  <c r="W29" i="2" s="1"/>
  <c r="V25" i="2"/>
  <c r="W25" i="2" s="1"/>
  <c r="V21" i="2"/>
  <c r="W21" i="2" s="1"/>
  <c r="V17" i="2"/>
  <c r="W17" i="2" s="1"/>
  <c r="V13" i="2"/>
  <c r="W13" i="2" s="1"/>
  <c r="V9" i="2"/>
  <c r="W9" i="2" s="1"/>
  <c r="V5" i="2"/>
  <c r="W5" i="2" s="1"/>
  <c r="V999" i="2"/>
  <c r="W999" i="2" s="1"/>
  <c r="V970" i="2"/>
  <c r="W970" i="2" s="1"/>
  <c r="V964" i="2"/>
  <c r="W964" i="2" s="1"/>
  <c r="V946" i="2"/>
  <c r="W946" i="2" s="1"/>
  <c r="V934" i="2"/>
  <c r="W934" i="2" s="1"/>
  <c r="V928" i="2"/>
  <c r="W928" i="2" s="1"/>
  <c r="V922" i="2"/>
  <c r="W922" i="2" s="1"/>
  <c r="V910" i="2"/>
  <c r="W910" i="2" s="1"/>
  <c r="V898" i="2"/>
  <c r="W898" i="2" s="1"/>
  <c r="V892" i="2"/>
  <c r="W892" i="2" s="1"/>
  <c r="V880" i="2"/>
  <c r="W880" i="2" s="1"/>
  <c r="V874" i="2"/>
  <c r="W874" i="2" s="1"/>
  <c r="V868" i="2"/>
  <c r="W868" i="2" s="1"/>
  <c r="V862" i="2"/>
  <c r="W862" i="2" s="1"/>
  <c r="V856" i="2"/>
  <c r="W856" i="2" s="1"/>
  <c r="V844" i="2"/>
  <c r="W844" i="2" s="1"/>
  <c r="V832" i="2"/>
  <c r="W832" i="2" s="1"/>
  <c r="V826" i="2"/>
  <c r="W826" i="2" s="1"/>
  <c r="V820" i="2"/>
  <c r="W820" i="2" s="1"/>
  <c r="V809" i="2"/>
  <c r="W809" i="2" s="1"/>
  <c r="V797" i="2"/>
  <c r="W797" i="2" s="1"/>
  <c r="V784" i="2"/>
  <c r="W784" i="2" s="1"/>
  <c r="V773" i="2"/>
  <c r="W773" i="2" s="1"/>
  <c r="V761" i="2"/>
  <c r="W761" i="2" s="1"/>
  <c r="V755" i="2"/>
  <c r="W755" i="2" s="1"/>
  <c r="V748" i="2"/>
  <c r="W748" i="2" s="1"/>
  <c r="V737" i="2"/>
  <c r="W737" i="2" s="1"/>
  <c r="V731" i="2"/>
  <c r="W731" i="2" s="1"/>
  <c r="V725" i="2"/>
  <c r="W725" i="2" s="1"/>
  <c r="V719" i="2"/>
  <c r="W719" i="2" s="1"/>
  <c r="V701" i="2"/>
  <c r="W701" i="2" s="1"/>
  <c r="V695" i="2"/>
  <c r="W695" i="2" s="1"/>
  <c r="V689" i="2"/>
  <c r="W689" i="2" s="1"/>
  <c r="V683" i="2"/>
  <c r="W683" i="2" s="1"/>
  <c r="V665" i="2"/>
  <c r="W665" i="2" s="1"/>
  <c r="V649" i="2"/>
  <c r="W649" i="2" s="1"/>
  <c r="V644" i="2"/>
  <c r="W644" i="2" s="1"/>
  <c r="V639" i="2"/>
  <c r="W639" i="2" s="1"/>
  <c r="V628" i="2"/>
  <c r="W628" i="2" s="1"/>
  <c r="V623" i="2"/>
  <c r="W623" i="2" s="1"/>
  <c r="V597" i="2"/>
  <c r="W597" i="2" s="1"/>
  <c r="V581" i="2"/>
  <c r="W581" i="2" s="1"/>
  <c r="V576" i="2"/>
  <c r="W576" i="2" s="1"/>
  <c r="V571" i="2"/>
  <c r="W571" i="2" s="1"/>
  <c r="V555" i="2"/>
  <c r="W555" i="2" s="1"/>
  <c r="V529" i="2"/>
  <c r="W529" i="2" s="1"/>
  <c r="V524" i="2"/>
  <c r="W524" i="2" s="1"/>
  <c r="V513" i="2"/>
  <c r="W513" i="2" s="1"/>
  <c r="V508" i="2"/>
  <c r="W508" i="2" s="1"/>
  <c r="V503" i="2"/>
  <c r="W503" i="2" s="1"/>
  <c r="V461" i="2"/>
  <c r="W461" i="2" s="1"/>
  <c r="V456" i="2"/>
  <c r="W456" i="2" s="1"/>
  <c r="V451" i="2"/>
  <c r="W451" i="2" s="1"/>
  <c r="V445" i="2"/>
  <c r="W445" i="2" s="1"/>
  <c r="V440" i="2"/>
  <c r="W440" i="2" s="1"/>
  <c r="V435" i="2"/>
  <c r="W435" i="2" s="1"/>
  <c r="V393" i="2"/>
  <c r="W393" i="2" s="1"/>
  <c r="V388" i="2"/>
  <c r="W388" i="2" s="1"/>
  <c r="V383" i="2"/>
  <c r="W383" i="2" s="1"/>
  <c r="V372" i="2"/>
  <c r="W372" i="2" s="1"/>
  <c r="V367" i="2"/>
  <c r="W367" i="2" s="1"/>
  <c r="V341" i="2"/>
  <c r="W341" i="2" s="1"/>
  <c r="V325" i="2"/>
  <c r="W325" i="2" s="1"/>
  <c r="V320" i="2"/>
  <c r="W320" i="2" s="1"/>
  <c r="V315" i="2"/>
  <c r="W315" i="2" s="1"/>
  <c r="V299" i="2"/>
  <c r="W299" i="2" s="1"/>
  <c r="V274" i="2"/>
  <c r="W274" i="2" s="1"/>
  <c r="V260" i="2"/>
  <c r="W260" i="2" s="1"/>
  <c r="V251" i="2"/>
  <c r="W251" i="2" s="1"/>
  <c r="V242" i="2"/>
  <c r="W242" i="2" s="1"/>
  <c r="V228" i="2"/>
  <c r="W228" i="2" s="1"/>
  <c r="V219" i="2"/>
  <c r="W219" i="2" s="1"/>
  <c r="V210" i="2"/>
  <c r="W210" i="2" s="1"/>
  <c r="V196" i="2"/>
  <c r="W196" i="2" s="1"/>
  <c r="V187" i="2"/>
  <c r="W187" i="2" s="1"/>
  <c r="V178" i="2"/>
  <c r="W178" i="2" s="1"/>
  <c r="V164" i="2"/>
  <c r="W164" i="2" s="1"/>
  <c r="V155" i="2"/>
  <c r="W155" i="2" s="1"/>
  <c r="V146" i="2"/>
  <c r="W146" i="2" s="1"/>
  <c r="V132" i="2"/>
  <c r="W132" i="2" s="1"/>
  <c r="V123" i="2"/>
  <c r="W123" i="2" s="1"/>
  <c r="V114" i="2"/>
  <c r="W114" i="2" s="1"/>
  <c r="V100" i="2"/>
  <c r="W100" i="2" s="1"/>
  <c r="V91" i="2"/>
  <c r="W91" i="2" s="1"/>
  <c r="V82" i="2"/>
  <c r="W82" i="2" s="1"/>
  <c r="V68" i="2"/>
  <c r="W68" i="2" s="1"/>
  <c r="V59" i="2"/>
  <c r="W59" i="2" s="1"/>
  <c r="V50" i="2"/>
  <c r="W50" i="2" s="1"/>
  <c r="V36" i="2"/>
  <c r="W36" i="2" s="1"/>
  <c r="V27" i="2"/>
  <c r="W27" i="2" s="1"/>
  <c r="V18" i="2"/>
  <c r="W18" i="2" s="1"/>
  <c r="V4" i="2"/>
  <c r="W4" i="2" s="1"/>
  <c r="V992" i="2"/>
  <c r="W992" i="2" s="1"/>
  <c r="V951" i="2"/>
  <c r="W951" i="2" s="1"/>
  <c r="V944" i="2"/>
  <c r="W944" i="2" s="1"/>
  <c r="V938" i="2"/>
  <c r="W938" i="2" s="1"/>
  <c r="V924" i="2"/>
  <c r="W924" i="2" s="1"/>
  <c r="V903" i="2"/>
  <c r="W903" i="2" s="1"/>
  <c r="V897" i="2"/>
  <c r="W897" i="2" s="1"/>
  <c r="V883" i="2"/>
  <c r="W883" i="2" s="1"/>
  <c r="V876" i="2"/>
  <c r="W876" i="2" s="1"/>
  <c r="V870" i="2"/>
  <c r="W870" i="2" s="1"/>
  <c r="V849" i="2"/>
  <c r="W849" i="2" s="1"/>
  <c r="V842" i="2"/>
  <c r="W842" i="2" s="1"/>
  <c r="V835" i="2"/>
  <c r="W835" i="2" s="1"/>
  <c r="V829" i="2"/>
  <c r="W829" i="2" s="1"/>
  <c r="V815" i="2"/>
  <c r="W815" i="2" s="1"/>
  <c r="V801" i="2"/>
  <c r="W801" i="2" s="1"/>
  <c r="V794" i="2"/>
  <c r="W794" i="2" s="1"/>
  <c r="V774" i="2"/>
  <c r="W774" i="2" s="1"/>
  <c r="V760" i="2"/>
  <c r="W760" i="2" s="1"/>
  <c r="V753" i="2"/>
  <c r="W753" i="2" s="1"/>
  <c r="V740" i="2"/>
  <c r="W740" i="2" s="1"/>
  <c r="V733" i="2"/>
  <c r="W733" i="2" s="1"/>
  <c r="V699" i="2"/>
  <c r="W699" i="2" s="1"/>
  <c r="V692" i="2"/>
  <c r="W692" i="2" s="1"/>
  <c r="V672" i="2"/>
  <c r="W672" i="2" s="1"/>
  <c r="V664" i="2"/>
  <c r="W664" i="2" s="1"/>
  <c r="V635" i="2"/>
  <c r="W635" i="2" s="1"/>
  <c r="V629" i="2"/>
  <c r="W629" i="2" s="1"/>
  <c r="V611" i="2"/>
  <c r="W611" i="2" s="1"/>
  <c r="V599" i="2"/>
  <c r="W599" i="2" s="1"/>
  <c r="V593" i="2"/>
  <c r="W593" i="2" s="1"/>
  <c r="V587" i="2"/>
  <c r="W587" i="2" s="1"/>
  <c r="V575" i="2"/>
  <c r="W575" i="2" s="1"/>
  <c r="V563" i="2"/>
  <c r="W563" i="2" s="1"/>
  <c r="V557" i="2"/>
  <c r="W557" i="2" s="1"/>
  <c r="V545" i="2"/>
  <c r="W545" i="2" s="1"/>
  <c r="V539" i="2"/>
  <c r="W539" i="2" s="1"/>
  <c r="V533" i="2"/>
  <c r="W533" i="2" s="1"/>
  <c r="V527" i="2"/>
  <c r="W527" i="2" s="1"/>
  <c r="V521" i="2"/>
  <c r="W521" i="2" s="1"/>
  <c r="V509" i="2"/>
  <c r="W509" i="2" s="1"/>
  <c r="V497" i="2"/>
  <c r="W497" i="2" s="1"/>
  <c r="V491" i="2"/>
  <c r="W491" i="2" s="1"/>
  <c r="V485" i="2"/>
  <c r="W485" i="2" s="1"/>
  <c r="V449" i="2"/>
  <c r="W449" i="2" s="1"/>
  <c r="V420" i="2"/>
  <c r="W420" i="2" s="1"/>
  <c r="V413" i="2"/>
  <c r="W413" i="2" s="1"/>
  <c r="V396" i="2"/>
  <c r="W396" i="2" s="1"/>
  <c r="V384" i="2"/>
  <c r="W384" i="2" s="1"/>
  <c r="V360" i="2"/>
  <c r="W360" i="2" s="1"/>
  <c r="V348" i="2"/>
  <c r="W348" i="2" s="1"/>
  <c r="V324" i="2"/>
  <c r="W324" i="2" s="1"/>
  <c r="V312" i="2"/>
  <c r="W312" i="2" s="1"/>
  <c r="V288" i="2"/>
  <c r="W288" i="2" s="1"/>
  <c r="V256" i="2"/>
  <c r="W256" i="2" s="1"/>
  <c r="V240" i="2"/>
  <c r="W240" i="2" s="1"/>
  <c r="V235" i="2"/>
  <c r="W235" i="2" s="1"/>
  <c r="V230" i="2"/>
  <c r="W230" i="2" s="1"/>
  <c r="V214" i="2"/>
  <c r="W214" i="2" s="1"/>
  <c r="V188" i="2"/>
  <c r="W188" i="2" s="1"/>
  <c r="V183" i="2"/>
  <c r="W183" i="2" s="1"/>
  <c r="V172" i="2"/>
  <c r="W172" i="2" s="1"/>
  <c r="V167" i="2"/>
  <c r="W167" i="2" s="1"/>
  <c r="V162" i="2"/>
  <c r="W162" i="2" s="1"/>
  <c r="V120" i="2"/>
  <c r="W120" i="2" s="1"/>
  <c r="V115" i="2"/>
  <c r="W115" i="2" s="1"/>
  <c r="V110" i="2"/>
  <c r="W110" i="2" s="1"/>
  <c r="V104" i="2"/>
  <c r="W104" i="2" s="1"/>
  <c r="V99" i="2"/>
  <c r="W99" i="2" s="1"/>
  <c r="V94" i="2"/>
  <c r="W94" i="2" s="1"/>
  <c r="V52" i="2"/>
  <c r="W52" i="2" s="1"/>
  <c r="V47" i="2"/>
  <c r="W47" i="2" s="1"/>
  <c r="V42" i="2"/>
  <c r="W42" i="2" s="1"/>
  <c r="V31" i="2"/>
  <c r="W31" i="2" s="1"/>
  <c r="V26" i="2"/>
  <c r="W26" i="2" s="1"/>
  <c r="V998" i="2"/>
  <c r="W998" i="2" s="1"/>
  <c r="V985" i="2"/>
  <c r="W985" i="2" s="1"/>
  <c r="V978" i="2"/>
  <c r="W978" i="2" s="1"/>
  <c r="V971" i="2"/>
  <c r="W971" i="2" s="1"/>
  <c r="V965" i="2"/>
  <c r="W965" i="2" s="1"/>
  <c r="V957" i="2"/>
  <c r="W957" i="2" s="1"/>
  <c r="V937" i="2"/>
  <c r="W937" i="2" s="1"/>
  <c r="V930" i="2"/>
  <c r="W930" i="2" s="1"/>
  <c r="V917" i="2"/>
  <c r="W917" i="2" s="1"/>
  <c r="V896" i="2"/>
  <c r="W896" i="2" s="1"/>
  <c r="V889" i="2"/>
  <c r="W889" i="2" s="1"/>
  <c r="V869" i="2"/>
  <c r="W869" i="2" s="1"/>
  <c r="V855" i="2"/>
  <c r="W855" i="2" s="1"/>
  <c r="V828" i="2"/>
  <c r="W828" i="2" s="1"/>
  <c r="V821" i="2"/>
  <c r="W821" i="2" s="1"/>
  <c r="V814" i="2"/>
  <c r="W814" i="2" s="1"/>
  <c r="V807" i="2"/>
  <c r="W807" i="2" s="1"/>
  <c r="V800" i="2"/>
  <c r="W800" i="2" s="1"/>
  <c r="V787" i="2"/>
  <c r="W787" i="2" s="1"/>
  <c r="V766" i="2"/>
  <c r="W766" i="2" s="1"/>
  <c r="V759" i="2"/>
  <c r="W759" i="2" s="1"/>
  <c r="V752" i="2"/>
  <c r="W752" i="2" s="1"/>
  <c r="V746" i="2"/>
  <c r="W746" i="2" s="1"/>
  <c r="V739" i="2"/>
  <c r="W739" i="2" s="1"/>
  <c r="V732" i="2"/>
  <c r="W732" i="2" s="1"/>
  <c r="V711" i="2"/>
  <c r="W711" i="2" s="1"/>
  <c r="V705" i="2"/>
  <c r="W705" i="2" s="1"/>
  <c r="V698" i="2"/>
  <c r="W698" i="2" s="1"/>
  <c r="V691" i="2"/>
  <c r="W691" i="2" s="1"/>
  <c r="V684" i="2"/>
  <c r="W684" i="2" s="1"/>
  <c r="V678" i="2"/>
  <c r="W678" i="2" s="1"/>
  <c r="V670" i="2"/>
  <c r="W670" i="2" s="1"/>
  <c r="V652" i="2"/>
  <c r="W652" i="2" s="1"/>
  <c r="V640" i="2"/>
  <c r="W640" i="2" s="1"/>
  <c r="V616" i="2"/>
  <c r="W616" i="2" s="1"/>
  <c r="V604" i="2"/>
  <c r="W604" i="2" s="1"/>
  <c r="V580" i="2"/>
  <c r="W580" i="2" s="1"/>
  <c r="V568" i="2"/>
  <c r="W568" i="2" s="1"/>
  <c r="V544" i="2"/>
  <c r="W544" i="2" s="1"/>
  <c r="V532" i="2"/>
  <c r="W532" i="2" s="1"/>
  <c r="V515" i="2"/>
  <c r="W515" i="2" s="1"/>
  <c r="V479" i="2"/>
  <c r="W479" i="2" s="1"/>
  <c r="V467" i="2"/>
  <c r="W467" i="2" s="1"/>
  <c r="V443" i="2"/>
  <c r="W443" i="2" s="1"/>
  <c r="V437" i="2"/>
  <c r="W437" i="2" s="1"/>
  <c r="V431" i="2"/>
  <c r="W431" i="2" s="1"/>
  <c r="V425" i="2"/>
  <c r="W425" i="2" s="1"/>
  <c r="V419" i="2"/>
  <c r="W419" i="2" s="1"/>
  <c r="V407" i="2"/>
  <c r="W407" i="2" s="1"/>
  <c r="V401" i="2"/>
  <c r="W401" i="2" s="1"/>
  <c r="V395" i="2"/>
  <c r="W395" i="2" s="1"/>
  <c r="V389" i="2"/>
  <c r="W389" i="2" s="1"/>
  <c r="V371" i="2"/>
  <c r="W371" i="2" s="1"/>
  <c r="V365" i="2"/>
  <c r="W365" i="2" s="1"/>
  <c r="V353" i="2"/>
  <c r="W353" i="2" s="1"/>
  <c r="V335" i="2"/>
  <c r="W335" i="2" s="1"/>
  <c r="V329" i="2"/>
  <c r="W329" i="2" s="1"/>
  <c r="V317" i="2"/>
  <c r="W317" i="2" s="1"/>
  <c r="V300" i="2"/>
  <c r="W300" i="2" s="1"/>
  <c r="V293" i="2"/>
  <c r="W293" i="2" s="1"/>
  <c r="V276" i="2"/>
  <c r="W276" i="2" s="1"/>
  <c r="V271" i="2"/>
  <c r="W271" i="2" s="1"/>
  <c r="V266" i="2"/>
  <c r="W266" i="2" s="1"/>
  <c r="V255" i="2"/>
  <c r="W255" i="2" s="1"/>
  <c r="V250" i="2"/>
  <c r="W250" i="2" s="1"/>
  <c r="V224" i="2"/>
  <c r="W224" i="2" s="1"/>
  <c r="V208" i="2"/>
  <c r="W208" i="2" s="1"/>
  <c r="V203" i="2"/>
  <c r="W203" i="2" s="1"/>
  <c r="V198" i="2"/>
  <c r="W198" i="2" s="1"/>
  <c r="V182" i="2"/>
  <c r="W182" i="2" s="1"/>
  <c r="V156" i="2"/>
  <c r="W156" i="2" s="1"/>
  <c r="V151" i="2"/>
  <c r="W151" i="2" s="1"/>
  <c r="V140" i="2"/>
  <c r="W140" i="2" s="1"/>
  <c r="V135" i="2"/>
  <c r="W135" i="2" s="1"/>
  <c r="V130" i="2"/>
  <c r="W130" i="2" s="1"/>
  <c r="V88" i="2"/>
  <c r="W88" i="2" s="1"/>
  <c r="V83" i="2"/>
  <c r="W83" i="2" s="1"/>
  <c r="V78" i="2"/>
  <c r="W78" i="2" s="1"/>
  <c r="V72" i="2"/>
  <c r="W72" i="2" s="1"/>
  <c r="V67" i="2"/>
  <c r="W67" i="2" s="1"/>
  <c r="V62" i="2"/>
  <c r="W62" i="2" s="1"/>
  <c r="V20" i="2"/>
  <c r="W20" i="2" s="1"/>
  <c r="V15" i="2"/>
  <c r="W15" i="2" s="1"/>
  <c r="V10" i="2"/>
  <c r="W10" i="2" s="1"/>
  <c r="V977" i="2"/>
  <c r="W977" i="2" s="1"/>
  <c r="V956" i="2"/>
  <c r="W956" i="2" s="1"/>
  <c r="V943" i="2"/>
  <c r="W943" i="2" s="1"/>
  <c r="V923" i="2"/>
  <c r="W923" i="2" s="1"/>
  <c r="V915" i="2"/>
  <c r="W915" i="2" s="1"/>
  <c r="V908" i="2"/>
  <c r="W908" i="2" s="1"/>
  <c r="V902" i="2"/>
  <c r="W902" i="2" s="1"/>
  <c r="V888" i="2"/>
  <c r="W888" i="2" s="1"/>
  <c r="V882" i="2"/>
  <c r="W882" i="2" s="1"/>
  <c r="V875" i="2"/>
  <c r="W875" i="2" s="1"/>
  <c r="V867" i="2"/>
  <c r="W867" i="2" s="1"/>
  <c r="V861" i="2"/>
  <c r="W861" i="2" s="1"/>
  <c r="V847" i="2"/>
  <c r="W847" i="2" s="1"/>
  <c r="V841" i="2"/>
  <c r="W841" i="2" s="1"/>
  <c r="V834" i="2"/>
  <c r="W834" i="2" s="1"/>
  <c r="V827" i="2"/>
  <c r="W827" i="2" s="1"/>
  <c r="V806" i="2"/>
  <c r="W806" i="2" s="1"/>
  <c r="V793" i="2"/>
  <c r="W793" i="2" s="1"/>
  <c r="V779" i="2"/>
  <c r="W779" i="2" s="1"/>
  <c r="V772" i="2"/>
  <c r="W772" i="2" s="1"/>
  <c r="V738" i="2"/>
  <c r="W738" i="2" s="1"/>
  <c r="V724" i="2"/>
  <c r="W724" i="2" s="1"/>
  <c r="V704" i="2"/>
  <c r="W704" i="2" s="1"/>
  <c r="V677" i="2"/>
  <c r="W677" i="2" s="1"/>
  <c r="V663" i="2"/>
  <c r="W663" i="2" s="1"/>
  <c r="V657" i="2"/>
  <c r="W657" i="2" s="1"/>
  <c r="V651" i="2"/>
  <c r="W651" i="2" s="1"/>
  <c r="V645" i="2"/>
  <c r="W645" i="2" s="1"/>
  <c r="V627" i="2"/>
  <c r="W627" i="2" s="1"/>
  <c r="V621" i="2"/>
  <c r="W621" i="2" s="1"/>
  <c r="V609" i="2"/>
  <c r="W609" i="2" s="1"/>
  <c r="V997" i="2"/>
  <c r="W997" i="2" s="1"/>
  <c r="V987" i="2"/>
  <c r="W987" i="2" s="1"/>
  <c r="V975" i="2"/>
  <c r="W975" i="2" s="1"/>
  <c r="V966" i="2"/>
  <c r="W966" i="2" s="1"/>
  <c r="V954" i="2"/>
  <c r="W954" i="2" s="1"/>
  <c r="V942" i="2"/>
  <c r="W942" i="2" s="1"/>
  <c r="V933" i="2"/>
  <c r="W933" i="2" s="1"/>
  <c r="V920" i="2"/>
  <c r="W920" i="2" s="1"/>
  <c r="V899" i="2"/>
  <c r="W899" i="2" s="1"/>
  <c r="V878" i="2"/>
  <c r="W878" i="2" s="1"/>
  <c r="V866" i="2"/>
  <c r="W866" i="2" s="1"/>
  <c r="V857" i="2"/>
  <c r="W857" i="2" s="1"/>
  <c r="V811" i="2"/>
  <c r="W811" i="2" s="1"/>
  <c r="V802" i="2"/>
  <c r="W802" i="2" s="1"/>
  <c r="V778" i="2"/>
  <c r="W778" i="2" s="1"/>
  <c r="V769" i="2"/>
  <c r="W769" i="2" s="1"/>
  <c r="V757" i="2"/>
  <c r="W757" i="2" s="1"/>
  <c r="V747" i="2"/>
  <c r="W747" i="2" s="1"/>
  <c r="V693" i="2"/>
  <c r="W693" i="2" s="1"/>
  <c r="V681" i="2"/>
  <c r="W681" i="2" s="1"/>
  <c r="V669" i="2"/>
  <c r="W669" i="2" s="1"/>
  <c r="V660" i="2"/>
  <c r="W660" i="2" s="1"/>
  <c r="V641" i="2"/>
  <c r="W641" i="2" s="1"/>
  <c r="V631" i="2"/>
  <c r="W631" i="2" s="1"/>
  <c r="V612" i="2"/>
  <c r="W612" i="2" s="1"/>
  <c r="V603" i="2"/>
  <c r="W603" i="2" s="1"/>
  <c r="V595" i="2"/>
  <c r="W595" i="2" s="1"/>
  <c r="V588" i="2"/>
  <c r="W588" i="2" s="1"/>
  <c r="V579" i="2"/>
  <c r="W579" i="2" s="1"/>
  <c r="V540" i="2"/>
  <c r="W540" i="2" s="1"/>
  <c r="V531" i="2"/>
  <c r="W531" i="2" s="1"/>
  <c r="V523" i="2"/>
  <c r="W523" i="2" s="1"/>
  <c r="V516" i="2"/>
  <c r="W516" i="2" s="1"/>
  <c r="V507" i="2"/>
  <c r="W507" i="2" s="1"/>
  <c r="V492" i="2"/>
  <c r="W492" i="2" s="1"/>
  <c r="V468" i="2"/>
  <c r="W468" i="2" s="1"/>
  <c r="V459" i="2"/>
  <c r="W459" i="2" s="1"/>
  <c r="V452" i="2"/>
  <c r="W452" i="2" s="1"/>
  <c r="V444" i="2"/>
  <c r="W444" i="2" s="1"/>
  <c r="V428" i="2"/>
  <c r="W428" i="2" s="1"/>
  <c r="V404" i="2"/>
  <c r="W404" i="2" s="1"/>
  <c r="V380" i="2"/>
  <c r="W380" i="2" s="1"/>
  <c r="V373" i="2"/>
  <c r="W373" i="2" s="1"/>
  <c r="V364" i="2"/>
  <c r="W364" i="2" s="1"/>
  <c r="V356" i="2"/>
  <c r="W356" i="2" s="1"/>
  <c r="V316" i="2"/>
  <c r="W316" i="2" s="1"/>
  <c r="V308" i="2"/>
  <c r="W308" i="2" s="1"/>
  <c r="V301" i="2"/>
  <c r="W301" i="2" s="1"/>
  <c r="V292" i="2"/>
  <c r="W292" i="2" s="1"/>
  <c r="V270" i="2"/>
  <c r="W270" i="2" s="1"/>
  <c r="V263" i="2"/>
  <c r="W263" i="2" s="1"/>
  <c r="V215" i="2"/>
  <c r="W215" i="2" s="1"/>
  <c r="V207" i="2"/>
  <c r="W207" i="2" s="1"/>
  <c r="V200" i="2"/>
  <c r="W200" i="2" s="1"/>
  <c r="V194" i="2"/>
  <c r="W194" i="2" s="1"/>
  <c r="V186" i="2"/>
  <c r="W186" i="2" s="1"/>
  <c r="V152" i="2"/>
  <c r="W152" i="2" s="1"/>
  <c r="V144" i="2"/>
  <c r="W144" i="2" s="1"/>
  <c r="V138" i="2"/>
  <c r="W138" i="2" s="1"/>
  <c r="V131" i="2"/>
  <c r="W131" i="2" s="1"/>
  <c r="V96" i="2"/>
  <c r="W96" i="2" s="1"/>
  <c r="V75" i="2"/>
  <c r="W75" i="2" s="1"/>
  <c r="V54" i="2"/>
  <c r="W54" i="2" s="1"/>
  <c r="V19" i="2"/>
  <c r="W19" i="2" s="1"/>
  <c r="V12" i="2"/>
  <c r="W12" i="2" s="1"/>
  <c r="V6" i="2"/>
  <c r="W6" i="2" s="1"/>
  <c r="V986" i="2"/>
  <c r="W986" i="2" s="1"/>
  <c r="V483" i="2"/>
  <c r="W483" i="2" s="1"/>
  <c r="V411" i="2"/>
  <c r="W411" i="2" s="1"/>
  <c r="V403" i="2"/>
  <c r="W403" i="2" s="1"/>
  <c r="V387" i="2"/>
  <c r="W387" i="2" s="1"/>
  <c r="V347" i="2"/>
  <c r="W347" i="2" s="1"/>
  <c r="V332" i="2"/>
  <c r="W332" i="2" s="1"/>
  <c r="V284" i="2"/>
  <c r="W284" i="2" s="1"/>
  <c r="V248" i="2"/>
  <c r="W248" i="2" s="1"/>
  <c r="V234" i="2"/>
  <c r="W234" i="2" s="1"/>
  <c r="V192" i="2"/>
  <c r="W192" i="2" s="1"/>
  <c r="V179" i="2"/>
  <c r="W179" i="2" s="1"/>
  <c r="V150" i="2"/>
  <c r="W150" i="2" s="1"/>
  <c r="V108" i="2"/>
  <c r="W108" i="2" s="1"/>
  <c r="V95" i="2"/>
  <c r="W95" i="2" s="1"/>
  <c r="V60" i="2"/>
  <c r="W60" i="2" s="1"/>
  <c r="V46" i="2"/>
  <c r="W46" i="2" s="1"/>
  <c r="V996" i="2"/>
  <c r="W996" i="2" s="1"/>
  <c r="V962" i="2"/>
  <c r="W962" i="2" s="1"/>
  <c r="V931" i="2"/>
  <c r="W931" i="2" s="1"/>
  <c r="V887" i="2"/>
  <c r="W887" i="2" s="1"/>
  <c r="V853" i="2"/>
  <c r="W853" i="2" s="1"/>
  <c r="V823" i="2"/>
  <c r="W823" i="2" s="1"/>
  <c r="V789" i="2"/>
  <c r="W789" i="2" s="1"/>
  <c r="V768" i="2"/>
  <c r="W768" i="2" s="1"/>
  <c r="V756" i="2"/>
  <c r="W756" i="2" s="1"/>
  <c r="V745" i="2"/>
  <c r="W745" i="2" s="1"/>
  <c r="V714" i="2"/>
  <c r="W714" i="2" s="1"/>
  <c r="V690" i="2"/>
  <c r="W690" i="2" s="1"/>
  <c r="V668" i="2"/>
  <c r="W668" i="2" s="1"/>
  <c r="V659" i="2"/>
  <c r="W659" i="2" s="1"/>
  <c r="V620" i="2"/>
  <c r="W620" i="2" s="1"/>
  <c r="V585" i="2"/>
  <c r="W585" i="2" s="1"/>
  <c r="V547" i="2"/>
  <c r="W547" i="2" s="1"/>
  <c r="V499" i="2"/>
  <c r="W499" i="2" s="1"/>
  <c r="V475" i="2"/>
  <c r="W475" i="2" s="1"/>
  <c r="V427" i="2"/>
  <c r="W427" i="2" s="1"/>
  <c r="V363" i="2"/>
  <c r="W363" i="2" s="1"/>
  <c r="V339" i="2"/>
  <c r="W339" i="2" s="1"/>
  <c r="V323" i="2"/>
  <c r="W323" i="2" s="1"/>
  <c r="V227" i="2"/>
  <c r="W227" i="2" s="1"/>
  <c r="V171" i="2"/>
  <c r="W171" i="2" s="1"/>
  <c r="V158" i="2"/>
  <c r="W158" i="2" s="1"/>
  <c r="V116" i="2"/>
  <c r="W116" i="2" s="1"/>
  <c r="V102" i="2"/>
  <c r="W102" i="2" s="1"/>
  <c r="V39" i="2"/>
  <c r="W39" i="2" s="1"/>
  <c r="V995" i="2"/>
  <c r="W995" i="2" s="1"/>
  <c r="V981" i="2"/>
  <c r="W981" i="2" s="1"/>
  <c r="V967" i="2"/>
  <c r="W967" i="2" s="1"/>
  <c r="V952" i="2"/>
  <c r="W952" i="2" s="1"/>
  <c r="V925" i="2"/>
  <c r="W925" i="2" s="1"/>
  <c r="V907" i="2"/>
  <c r="W907" i="2" s="1"/>
  <c r="V879" i="2"/>
  <c r="W879" i="2" s="1"/>
  <c r="V865" i="2"/>
  <c r="W865" i="2" s="1"/>
  <c r="V851" i="2"/>
  <c r="W851" i="2" s="1"/>
  <c r="V837" i="2"/>
  <c r="W837" i="2" s="1"/>
  <c r="V819" i="2"/>
  <c r="W819" i="2" s="1"/>
  <c r="V792" i="2"/>
  <c r="W792" i="2" s="1"/>
  <c r="V777" i="2"/>
  <c r="W777" i="2" s="1"/>
  <c r="V763" i="2"/>
  <c r="W763" i="2" s="1"/>
  <c r="V750" i="2"/>
  <c r="W750" i="2" s="1"/>
  <c r="V734" i="2"/>
  <c r="W734" i="2" s="1"/>
  <c r="V720" i="2"/>
  <c r="W720" i="2" s="1"/>
  <c r="V706" i="2"/>
  <c r="W706" i="2" s="1"/>
  <c r="V688" i="2"/>
  <c r="W688" i="2" s="1"/>
  <c r="V648" i="2"/>
  <c r="W648" i="2" s="1"/>
  <c r="V636" i="2"/>
  <c r="W636" i="2" s="1"/>
  <c r="V589" i="2"/>
  <c r="W589" i="2" s="1"/>
  <c r="V577" i="2"/>
  <c r="W577" i="2" s="1"/>
  <c r="V567" i="2"/>
  <c r="W567" i="2" s="1"/>
  <c r="V525" i="2"/>
  <c r="W525" i="2" s="1"/>
  <c r="V504" i="2"/>
  <c r="W504" i="2" s="1"/>
  <c r="V481" i="2"/>
  <c r="W481" i="2" s="1"/>
  <c r="V471" i="2"/>
  <c r="W471" i="2" s="1"/>
  <c r="V429" i="2"/>
  <c r="W429" i="2" s="1"/>
  <c r="V417" i="2"/>
  <c r="W417" i="2" s="1"/>
  <c r="V408" i="2"/>
  <c r="W408" i="2" s="1"/>
  <c r="V355" i="2"/>
  <c r="W355" i="2" s="1"/>
  <c r="V344" i="2"/>
  <c r="W344" i="2" s="1"/>
  <c r="V291" i="2"/>
  <c r="W291" i="2" s="1"/>
  <c r="V280" i="2"/>
  <c r="W280" i="2" s="1"/>
  <c r="V272" i="2"/>
  <c r="W272" i="2" s="1"/>
  <c r="V262" i="2"/>
  <c r="W262" i="2" s="1"/>
  <c r="V216" i="2"/>
  <c r="W216" i="2" s="1"/>
  <c r="V206" i="2"/>
  <c r="W206" i="2" s="1"/>
  <c r="V160" i="2"/>
  <c r="W160" i="2" s="1"/>
  <c r="V142" i="2"/>
  <c r="W142" i="2" s="1"/>
  <c r="V122" i="2"/>
  <c r="W122" i="2" s="1"/>
  <c r="V76" i="2"/>
  <c r="W76" i="2" s="1"/>
  <c r="V66" i="2"/>
  <c r="W66" i="2" s="1"/>
  <c r="V58" i="2"/>
  <c r="W58" i="2" s="1"/>
  <c r="V11" i="2"/>
  <c r="W11" i="2" s="1"/>
  <c r="V2" i="2"/>
  <c r="W2" i="2" s="1"/>
  <c r="V994" i="2"/>
  <c r="W994" i="2" s="1"/>
  <c r="V980" i="2"/>
  <c r="W980" i="2" s="1"/>
  <c r="V949" i="2"/>
  <c r="W949" i="2" s="1"/>
  <c r="V935" i="2"/>
  <c r="W935" i="2" s="1"/>
  <c r="V921" i="2"/>
  <c r="W921" i="2" s="1"/>
  <c r="V893" i="2"/>
  <c r="W893" i="2" s="1"/>
  <c r="V850" i="2"/>
  <c r="W850" i="2" s="1"/>
  <c r="V836" i="2"/>
  <c r="W836" i="2" s="1"/>
  <c r="V805" i="2"/>
  <c r="W805" i="2" s="1"/>
  <c r="V762" i="2"/>
  <c r="W762" i="2" s="1"/>
  <c r="V730" i="2"/>
  <c r="W730" i="2" s="1"/>
  <c r="V716" i="2"/>
  <c r="W716" i="2" s="1"/>
  <c r="V674" i="2"/>
  <c r="W674" i="2" s="1"/>
  <c r="V661" i="2"/>
  <c r="W661" i="2" s="1"/>
  <c r="V608" i="2"/>
  <c r="W608" i="2" s="1"/>
  <c r="V556" i="2"/>
  <c r="W556" i="2" s="1"/>
  <c r="V535" i="2"/>
  <c r="W535" i="2" s="1"/>
  <c r="V512" i="2"/>
  <c r="W512" i="2" s="1"/>
  <c r="V493" i="2"/>
  <c r="W493" i="2" s="1"/>
  <c r="V460" i="2"/>
  <c r="W460" i="2" s="1"/>
  <c r="V448" i="2"/>
  <c r="W448" i="2" s="1"/>
  <c r="V439" i="2"/>
  <c r="W439" i="2" s="1"/>
  <c r="V397" i="2"/>
  <c r="W397" i="2" s="1"/>
  <c r="V385" i="2"/>
  <c r="W385" i="2" s="1"/>
  <c r="V375" i="2"/>
  <c r="W375" i="2" s="1"/>
  <c r="V333" i="2"/>
  <c r="W333" i="2" s="1"/>
  <c r="V321" i="2"/>
  <c r="W321" i="2" s="1"/>
  <c r="V311" i="2"/>
  <c r="W311" i="2" s="1"/>
  <c r="V252" i="2"/>
  <c r="W252" i="2" s="1"/>
  <c r="V243" i="2"/>
  <c r="W243" i="2" s="1"/>
  <c r="V232" i="2"/>
  <c r="W232" i="2" s="1"/>
  <c r="V223" i="2"/>
  <c r="W223" i="2" s="1"/>
  <c r="V176" i="2"/>
  <c r="W176" i="2" s="1"/>
  <c r="V168" i="2"/>
  <c r="W168" i="2" s="1"/>
  <c r="V159" i="2"/>
  <c r="W159" i="2" s="1"/>
  <c r="V112" i="2"/>
  <c r="W112" i="2" s="1"/>
  <c r="V103" i="2"/>
  <c r="W103" i="2" s="1"/>
  <c r="V56" i="2"/>
  <c r="W56" i="2" s="1"/>
  <c r="V48" i="2"/>
  <c r="W48" i="2" s="1"/>
  <c r="V38" i="2"/>
  <c r="W38" i="2" s="1"/>
  <c r="V3" i="2"/>
  <c r="W3" i="2" s="1"/>
  <c r="V16" i="2"/>
  <c r="W16" i="2" s="1"/>
  <c r="V28" i="2"/>
  <c r="W28" i="2" s="1"/>
  <c r="V79" i="2"/>
  <c r="W79" i="2" s="1"/>
  <c r="V127" i="2"/>
  <c r="W127" i="2" s="1"/>
  <c r="V139" i="2"/>
  <c r="W139" i="2" s="1"/>
  <c r="V190" i="2"/>
  <c r="W190" i="2" s="1"/>
  <c r="V202" i="2"/>
  <c r="W202" i="2" s="1"/>
  <c r="V212" i="2"/>
  <c r="W212" i="2" s="1"/>
  <c r="V264" i="2"/>
  <c r="W264" i="2" s="1"/>
  <c r="V275" i="2"/>
  <c r="W275" i="2" s="1"/>
  <c r="V289" i="2"/>
  <c r="W289" i="2" s="1"/>
  <c r="V319" i="2"/>
  <c r="W319" i="2" s="1"/>
  <c r="V331" i="2"/>
  <c r="W331" i="2" s="1"/>
  <c r="V416" i="2"/>
  <c r="W416" i="2" s="1"/>
  <c r="V488" i="2"/>
  <c r="W488" i="2" s="1"/>
  <c r="V501" i="2"/>
  <c r="W501" i="2" s="1"/>
  <c r="V517" i="2"/>
  <c r="W517" i="2" s="1"/>
  <c r="V543" i="2"/>
  <c r="W543" i="2" s="1"/>
  <c r="V559" i="2"/>
  <c r="W559" i="2" s="1"/>
  <c r="V617" i="2"/>
  <c r="W617" i="2" s="1"/>
  <c r="V632" i="2"/>
  <c r="W632" i="2" s="1"/>
  <c r="V653" i="2"/>
  <c r="W653" i="2" s="1"/>
  <c r="V687" i="2"/>
  <c r="W687" i="2" s="1"/>
  <c r="V709" i="2"/>
  <c r="W709" i="2" s="1"/>
  <c r="V743" i="2"/>
  <c r="W743" i="2" s="1"/>
  <c r="V764" i="2"/>
  <c r="W764" i="2" s="1"/>
  <c r="V804" i="2"/>
  <c r="W804" i="2" s="1"/>
  <c r="V825" i="2"/>
  <c r="W825" i="2" s="1"/>
  <c r="V860" i="2"/>
  <c r="W860" i="2" s="1"/>
  <c r="V919" i="2"/>
  <c r="W919" i="2" s="1"/>
  <c r="V940" i="2"/>
  <c r="W940" i="2" s="1"/>
  <c r="V960" i="2"/>
  <c r="W960" i="2" s="1"/>
  <c r="V30" i="2"/>
  <c r="W30" i="2" s="1"/>
  <c r="V43" i="2"/>
  <c r="W43" i="2" s="1"/>
  <c r="V55" i="2"/>
  <c r="W55" i="2" s="1"/>
  <c r="V106" i="2"/>
  <c r="W106" i="2" s="1"/>
  <c r="V128" i="2"/>
  <c r="W128" i="2" s="1"/>
  <c r="V154" i="2"/>
  <c r="W154" i="2" s="1"/>
  <c r="V166" i="2"/>
  <c r="W166" i="2" s="1"/>
  <c r="V180" i="2"/>
  <c r="W180" i="2" s="1"/>
  <c r="V239" i="2"/>
  <c r="W239" i="2" s="1"/>
  <c r="V278" i="2"/>
  <c r="W278" i="2" s="1"/>
  <c r="V305" i="2"/>
  <c r="W305" i="2" s="1"/>
  <c r="V349" i="2"/>
  <c r="W349" i="2" s="1"/>
  <c r="V361" i="2"/>
  <c r="W361" i="2" s="1"/>
  <c r="V376" i="2"/>
  <c r="W376" i="2" s="1"/>
  <c r="V405" i="2"/>
  <c r="W405" i="2" s="1"/>
  <c r="V421" i="2"/>
  <c r="W421" i="2" s="1"/>
  <c r="V433" i="2"/>
  <c r="W433" i="2" s="1"/>
  <c r="V447" i="2"/>
  <c r="W447" i="2" s="1"/>
  <c r="V463" i="2"/>
  <c r="W463" i="2" s="1"/>
  <c r="V476" i="2"/>
  <c r="W476" i="2" s="1"/>
  <c r="V548" i="2"/>
  <c r="W548" i="2" s="1"/>
  <c r="V573" i="2"/>
  <c r="W573" i="2" s="1"/>
  <c r="V673" i="2"/>
  <c r="W673" i="2" s="1"/>
  <c r="V729" i="2"/>
  <c r="W729" i="2" s="1"/>
  <c r="V785" i="2"/>
  <c r="W785" i="2" s="1"/>
  <c r="V846" i="2"/>
  <c r="W846" i="2" s="1"/>
  <c r="V884" i="2"/>
  <c r="W884" i="2" s="1"/>
  <c r="V905" i="2"/>
  <c r="W905" i="2" s="1"/>
  <c r="V945" i="2"/>
  <c r="W945" i="2" s="1"/>
  <c r="V961" i="2"/>
  <c r="W961" i="2" s="1"/>
  <c r="V7" i="2"/>
  <c r="W7" i="2" s="1"/>
  <c r="V32" i="2"/>
  <c r="W32" i="2" s="1"/>
  <c r="V70" i="2"/>
  <c r="W70" i="2" s="1"/>
  <c r="V80" i="2"/>
  <c r="W80" i="2" s="1"/>
  <c r="V92" i="2"/>
  <c r="W92" i="2" s="1"/>
  <c r="V118" i="2"/>
  <c r="W118" i="2" s="1"/>
  <c r="V143" i="2"/>
  <c r="W143" i="2" s="1"/>
  <c r="V191" i="2"/>
  <c r="W191" i="2" s="1"/>
  <c r="V204" i="2"/>
  <c r="W204" i="2" s="1"/>
  <c r="V254" i="2"/>
  <c r="W254" i="2" s="1"/>
  <c r="V267" i="2"/>
  <c r="W267" i="2" s="1"/>
  <c r="V279" i="2"/>
  <c r="W279" i="2" s="1"/>
  <c r="V307" i="2"/>
  <c r="W307" i="2" s="1"/>
  <c r="V337" i="2"/>
  <c r="W337" i="2" s="1"/>
  <c r="V379" i="2"/>
  <c r="W379" i="2" s="1"/>
  <c r="V392" i="2"/>
  <c r="W392" i="2" s="1"/>
  <c r="V477" i="2"/>
  <c r="W477" i="2" s="1"/>
  <c r="V489" i="2"/>
  <c r="W489" i="2" s="1"/>
  <c r="V561" i="2"/>
  <c r="W561" i="2" s="1"/>
  <c r="V605" i="2"/>
  <c r="W605" i="2" s="1"/>
  <c r="V619" i="2"/>
  <c r="W619" i="2" s="1"/>
  <c r="V637" i="2"/>
  <c r="W637" i="2" s="1"/>
  <c r="V655" i="2"/>
  <c r="W655" i="2" s="1"/>
  <c r="V710" i="2"/>
  <c r="W710" i="2" s="1"/>
  <c r="V751" i="2"/>
  <c r="W751" i="2" s="1"/>
  <c r="V788" i="2"/>
  <c r="W788" i="2" s="1"/>
  <c r="V810" i="2"/>
  <c r="W810" i="2" s="1"/>
  <c r="V926" i="2"/>
  <c r="W926" i="2" s="1"/>
  <c r="V983" i="2"/>
  <c r="W983" i="2" s="1"/>
  <c r="V22" i="2"/>
  <c r="W22" i="2" s="1"/>
  <c r="V34" i="2"/>
  <c r="W34" i="2" s="1"/>
  <c r="V44" i="2"/>
  <c r="W44" i="2" s="1"/>
  <c r="V107" i="2"/>
  <c r="W107" i="2" s="1"/>
  <c r="V119" i="2"/>
  <c r="W119" i="2" s="1"/>
  <c r="V170" i="2"/>
  <c r="W170" i="2" s="1"/>
  <c r="V218" i="2"/>
  <c r="W218" i="2" s="1"/>
  <c r="V231" i="2"/>
  <c r="W231" i="2" s="1"/>
  <c r="V244" i="2"/>
  <c r="W244" i="2" s="1"/>
  <c r="V296" i="2"/>
  <c r="W296" i="2" s="1"/>
  <c r="V309" i="2"/>
  <c r="W309" i="2" s="1"/>
  <c r="V351" i="2"/>
  <c r="W351" i="2" s="1"/>
  <c r="V436" i="2"/>
  <c r="W436" i="2" s="1"/>
  <c r="V520" i="2"/>
  <c r="W520" i="2" s="1"/>
  <c r="V536" i="2"/>
  <c r="W536" i="2" s="1"/>
  <c r="V549" i="2"/>
  <c r="W549" i="2" s="1"/>
  <c r="V564" i="2"/>
  <c r="W564" i="2" s="1"/>
  <c r="V591" i="2"/>
  <c r="W591" i="2" s="1"/>
  <c r="V625" i="2"/>
  <c r="W625" i="2" s="1"/>
  <c r="V675" i="2"/>
  <c r="W675" i="2" s="1"/>
  <c r="V715" i="2"/>
  <c r="W715" i="2" s="1"/>
  <c r="V736" i="2"/>
  <c r="W736" i="2" s="1"/>
  <c r="V754" i="2"/>
  <c r="W754" i="2" s="1"/>
  <c r="V771" i="2"/>
  <c r="W771" i="2" s="1"/>
  <c r="V795" i="2"/>
  <c r="W795" i="2" s="1"/>
  <c r="V812" i="2"/>
  <c r="W812" i="2" s="1"/>
  <c r="V830" i="2"/>
  <c r="W830" i="2" s="1"/>
  <c r="V871" i="2"/>
  <c r="W871" i="2" s="1"/>
  <c r="V891" i="2"/>
  <c r="W891" i="2" s="1"/>
  <c r="V912" i="2"/>
  <c r="W912" i="2" s="1"/>
  <c r="V947" i="2"/>
  <c r="W947" i="2" s="1"/>
  <c r="V988" i="2"/>
  <c r="W988" i="2" s="1"/>
  <c r="V8" i="2"/>
  <c r="W8" i="2" s="1"/>
  <c r="V23" i="2"/>
  <c r="W23" i="2" s="1"/>
  <c r="V71" i="2"/>
  <c r="W71" i="2" s="1"/>
  <c r="V84" i="2"/>
  <c r="W84" i="2" s="1"/>
  <c r="V134" i="2"/>
  <c r="W134" i="2" s="1"/>
  <c r="V147" i="2"/>
  <c r="W147" i="2" s="1"/>
  <c r="V195" i="2"/>
  <c r="W195" i="2" s="1"/>
  <c r="V220" i="2"/>
  <c r="W220" i="2" s="1"/>
  <c r="V246" i="2"/>
  <c r="W246" i="2" s="1"/>
  <c r="V258" i="2"/>
  <c r="W258" i="2" s="1"/>
  <c r="V268" i="2"/>
  <c r="W268" i="2" s="1"/>
  <c r="V283" i="2"/>
  <c r="W283" i="2" s="1"/>
  <c r="V352" i="2"/>
  <c r="W352" i="2" s="1"/>
  <c r="V381" i="2"/>
  <c r="W381" i="2" s="1"/>
  <c r="V453" i="2"/>
  <c r="W453" i="2" s="1"/>
  <c r="V465" i="2"/>
  <c r="W465" i="2" s="1"/>
  <c r="V480" i="2"/>
  <c r="W480" i="2" s="1"/>
  <c r="V495" i="2"/>
  <c r="W495" i="2" s="1"/>
  <c r="V552" i="2"/>
  <c r="W552" i="2" s="1"/>
  <c r="V565" i="2"/>
  <c r="W565" i="2" s="1"/>
  <c r="V607" i="2"/>
  <c r="W607" i="2" s="1"/>
  <c r="V643" i="2"/>
  <c r="W643" i="2" s="1"/>
  <c r="V679" i="2"/>
  <c r="W679" i="2" s="1"/>
  <c r="V696" i="2"/>
  <c r="W696" i="2" s="1"/>
  <c r="V852" i="2"/>
  <c r="W852" i="2" s="1"/>
  <c r="V913" i="2"/>
  <c r="W913" i="2" s="1"/>
  <c r="V929" i="2"/>
  <c r="W929" i="2" s="1"/>
  <c r="V948" i="2"/>
  <c r="W948" i="2" s="1"/>
  <c r="V989" i="2"/>
  <c r="W989" i="2" s="1"/>
  <c r="V35" i="2"/>
  <c r="W35" i="2" s="1"/>
  <c r="V86" i="2"/>
  <c r="W86" i="2" s="1"/>
  <c r="V98" i="2"/>
  <c r="W98" i="2" s="1"/>
  <c r="V111" i="2"/>
  <c r="W111" i="2" s="1"/>
  <c r="V124" i="2"/>
  <c r="W124" i="2" s="1"/>
  <c r="V174" i="2"/>
  <c r="W174" i="2" s="1"/>
  <c r="V184" i="2"/>
  <c r="W184" i="2" s="1"/>
  <c r="V222" i="2"/>
  <c r="W222" i="2" s="1"/>
  <c r="V236" i="2"/>
  <c r="W236" i="2" s="1"/>
  <c r="V247" i="2"/>
  <c r="W247" i="2" s="1"/>
  <c r="V285" i="2"/>
  <c r="W285" i="2" s="1"/>
  <c r="V297" i="2"/>
  <c r="W297" i="2" s="1"/>
  <c r="V340" i="2"/>
  <c r="W340" i="2" s="1"/>
  <c r="V357" i="2"/>
  <c r="W357" i="2" s="1"/>
  <c r="V369" i="2"/>
  <c r="W369" i="2" s="1"/>
  <c r="V399" i="2"/>
  <c r="W399" i="2" s="1"/>
  <c r="V412" i="2"/>
  <c r="W412" i="2" s="1"/>
  <c r="V424" i="2"/>
  <c r="W424" i="2" s="1"/>
  <c r="V469" i="2"/>
  <c r="W469" i="2" s="1"/>
  <c r="V484" i="2"/>
  <c r="W484" i="2" s="1"/>
  <c r="V511" i="2"/>
  <c r="W511" i="2" s="1"/>
  <c r="V613" i="2"/>
  <c r="W613" i="2" s="1"/>
  <c r="V682" i="2"/>
  <c r="W682" i="2" s="1"/>
  <c r="V721" i="2"/>
  <c r="W721" i="2" s="1"/>
  <c r="V741" i="2"/>
  <c r="W741" i="2" s="1"/>
  <c r="V782" i="2"/>
  <c r="W782" i="2" s="1"/>
  <c r="V816" i="2"/>
  <c r="W816" i="2" s="1"/>
  <c r="V873" i="2"/>
  <c r="W873" i="2" s="1"/>
  <c r="V894" i="2"/>
  <c r="W894" i="2" s="1"/>
  <c r="V914" i="2"/>
  <c r="W914" i="2" s="1"/>
  <c r="V955" i="2"/>
  <c r="W955" i="2" s="1"/>
  <c r="V972" i="2"/>
  <c r="W972" i="2" s="1"/>
  <c r="V990" i="2"/>
  <c r="W990" i="2" s="1"/>
  <c r="V14" i="2"/>
  <c r="W14" i="2" s="1"/>
  <c r="V24" i="2"/>
  <c r="W24" i="2" s="1"/>
  <c r="V63" i="2"/>
  <c r="W63" i="2" s="1"/>
  <c r="V74" i="2"/>
  <c r="W74" i="2" s="1"/>
  <c r="V87" i="2"/>
  <c r="W87" i="2" s="1"/>
  <c r="V126" i="2"/>
  <c r="W126" i="2" s="1"/>
  <c r="V136" i="2"/>
  <c r="W136" i="2" s="1"/>
  <c r="V148" i="2"/>
  <c r="W148" i="2" s="1"/>
  <c r="V199" i="2"/>
  <c r="W199" i="2" s="1"/>
  <c r="V211" i="2"/>
  <c r="W211" i="2" s="1"/>
  <c r="V259" i="2"/>
  <c r="W259" i="2" s="1"/>
  <c r="V328" i="2"/>
  <c r="W328" i="2" s="1"/>
  <c r="V343" i="2"/>
  <c r="W343" i="2" s="1"/>
  <c r="V415" i="2"/>
  <c r="W415" i="2" s="1"/>
  <c r="V541" i="2"/>
  <c r="W541" i="2" s="1"/>
  <c r="V553" i="2"/>
  <c r="W553" i="2" s="1"/>
  <c r="V596" i="2"/>
  <c r="W596" i="2" s="1"/>
  <c r="V666" i="2"/>
  <c r="W666" i="2" s="1"/>
  <c r="V700" i="2"/>
  <c r="W700" i="2" s="1"/>
  <c r="V722" i="2"/>
  <c r="W722" i="2" s="1"/>
  <c r="V798" i="2"/>
  <c r="W798" i="2" s="1"/>
  <c r="V818" i="2"/>
  <c r="W818" i="2" s="1"/>
  <c r="V839" i="2"/>
  <c r="W839" i="2" s="1"/>
  <c r="V858" i="2"/>
  <c r="W858" i="2" s="1"/>
  <c r="V993" i="2"/>
  <c r="W993" i="2" s="1"/>
  <c r="J516" i="1" l="1"/>
  <c r="J508" i="1"/>
  <c r="J500" i="1"/>
  <c r="J492" i="1"/>
  <c r="J484" i="1"/>
  <c r="J476" i="1"/>
  <c r="J468" i="1"/>
  <c r="J460" i="1"/>
  <c r="J452" i="1"/>
  <c r="J444" i="1"/>
  <c r="J436" i="1"/>
  <c r="J428" i="1"/>
  <c r="J420" i="1"/>
  <c r="J412" i="1"/>
  <c r="J483" i="1"/>
  <c r="J482" i="1"/>
  <c r="J481" i="1"/>
  <c r="J480" i="1"/>
  <c r="J479" i="1"/>
  <c r="J478" i="1"/>
  <c r="J477" i="1"/>
  <c r="J419" i="1"/>
  <c r="J418" i="1"/>
  <c r="J417" i="1"/>
  <c r="J416" i="1"/>
  <c r="J415" i="1"/>
  <c r="J414" i="1"/>
  <c r="J413" i="1"/>
  <c r="J407" i="1"/>
  <c r="J399" i="1"/>
  <c r="J391" i="1"/>
  <c r="J383" i="1"/>
  <c r="J375" i="1"/>
  <c r="J367" i="1"/>
  <c r="J359" i="1"/>
  <c r="J351" i="1"/>
  <c r="J343" i="1"/>
  <c r="J335" i="1"/>
  <c r="J327" i="1"/>
  <c r="J319" i="1"/>
  <c r="J311" i="1"/>
  <c r="J303" i="1"/>
  <c r="J295" i="1"/>
  <c r="J287" i="1"/>
  <c r="J279" i="1"/>
  <c r="J271" i="1"/>
  <c r="J263" i="1"/>
  <c r="J255" i="1"/>
  <c r="J247" i="1"/>
  <c r="J239" i="1"/>
  <c r="J231" i="1"/>
  <c r="J223" i="1"/>
  <c r="J215" i="1"/>
  <c r="J207" i="1"/>
  <c r="J199" i="1"/>
  <c r="J191" i="1"/>
  <c r="J183" i="1"/>
  <c r="J175" i="1"/>
  <c r="J167" i="1"/>
  <c r="J159" i="1"/>
  <c r="J151" i="1"/>
  <c r="J143" i="1"/>
  <c r="J135" i="1"/>
  <c r="J127" i="1"/>
  <c r="J119" i="1"/>
  <c r="J111" i="1"/>
  <c r="J103" i="1"/>
  <c r="J95" i="1"/>
  <c r="J87" i="1"/>
  <c r="J79" i="1"/>
  <c r="J71" i="1"/>
  <c r="J512" i="1"/>
  <c r="J505" i="1"/>
  <c r="J498" i="1"/>
  <c r="J491" i="1"/>
  <c r="J461" i="1"/>
  <c r="J454" i="1"/>
  <c r="J447" i="1"/>
  <c r="J440" i="1"/>
  <c r="J433" i="1"/>
  <c r="J426" i="1"/>
  <c r="J411" i="1"/>
  <c r="J374" i="1"/>
  <c r="J373" i="1"/>
  <c r="J372" i="1"/>
  <c r="J371" i="1"/>
  <c r="J370" i="1"/>
  <c r="J369" i="1"/>
  <c r="J368" i="1"/>
  <c r="J310" i="1"/>
  <c r="J309" i="1"/>
  <c r="J308" i="1"/>
  <c r="J307" i="1"/>
  <c r="J306" i="1"/>
  <c r="J305" i="1"/>
  <c r="J304" i="1"/>
  <c r="J246" i="1"/>
  <c r="J245" i="1"/>
  <c r="J244" i="1"/>
  <c r="J243" i="1"/>
  <c r="J242" i="1"/>
  <c r="J241" i="1"/>
  <c r="J240" i="1"/>
  <c r="J182" i="1"/>
  <c r="J181" i="1"/>
  <c r="J180" i="1"/>
  <c r="J179" i="1"/>
  <c r="J178" i="1"/>
  <c r="J177" i="1"/>
  <c r="J176" i="1"/>
  <c r="J118" i="1"/>
  <c r="J117" i="1"/>
  <c r="J116" i="1"/>
  <c r="J115" i="1"/>
  <c r="J114" i="1"/>
  <c r="J113" i="1"/>
  <c r="J112" i="1"/>
  <c r="J61" i="1"/>
  <c r="J53" i="1"/>
  <c r="J45" i="1"/>
  <c r="J37" i="1"/>
  <c r="J29" i="1"/>
  <c r="J21" i="1"/>
  <c r="J513" i="1"/>
  <c r="J506" i="1"/>
  <c r="J499" i="1"/>
  <c r="J469" i="1"/>
  <c r="J462" i="1"/>
  <c r="J455" i="1"/>
  <c r="J448" i="1"/>
  <c r="J441" i="1"/>
  <c r="J434" i="1"/>
  <c r="J427" i="1"/>
  <c r="J382" i="1"/>
  <c r="J381" i="1"/>
  <c r="J380" i="1"/>
  <c r="J379" i="1"/>
  <c r="J378" i="1"/>
  <c r="J377" i="1"/>
  <c r="J376" i="1"/>
  <c r="J318" i="1"/>
  <c r="J317" i="1"/>
  <c r="J316" i="1"/>
  <c r="J315" i="1"/>
  <c r="J314" i="1"/>
  <c r="J313" i="1"/>
  <c r="J312" i="1"/>
  <c r="J254" i="1"/>
  <c r="J253" i="1"/>
  <c r="J252" i="1"/>
  <c r="J251" i="1"/>
  <c r="J250" i="1"/>
  <c r="J249" i="1"/>
  <c r="J248" i="1"/>
  <c r="J190" i="1"/>
  <c r="J189" i="1"/>
  <c r="J188" i="1"/>
  <c r="J187" i="1"/>
  <c r="J186" i="1"/>
  <c r="J185" i="1"/>
  <c r="J184" i="1"/>
  <c r="J126" i="1"/>
  <c r="J125" i="1"/>
  <c r="J124" i="1"/>
  <c r="J123" i="1"/>
  <c r="J122" i="1"/>
  <c r="J121" i="1"/>
  <c r="J120" i="1"/>
  <c r="J60" i="1"/>
  <c r="J52" i="1"/>
  <c r="J44" i="1"/>
  <c r="J36" i="1"/>
  <c r="J28" i="1"/>
  <c r="J20" i="1"/>
  <c r="J504" i="1"/>
  <c r="J493" i="1"/>
  <c r="J490" i="1"/>
  <c r="J473" i="1"/>
  <c r="J459" i="1"/>
  <c r="J453" i="1"/>
  <c r="J439" i="1"/>
  <c r="J425" i="1"/>
  <c r="J408" i="1"/>
  <c r="J397" i="1"/>
  <c r="J393" i="1"/>
  <c r="J366" i="1"/>
  <c r="J362" i="1"/>
  <c r="J347" i="1"/>
  <c r="J332" i="1"/>
  <c r="J328" i="1"/>
  <c r="J301" i="1"/>
  <c r="J297" i="1"/>
  <c r="J286" i="1"/>
  <c r="J282" i="1"/>
  <c r="J267" i="1"/>
  <c r="J236" i="1"/>
  <c r="J232" i="1"/>
  <c r="J221" i="1"/>
  <c r="J217" i="1"/>
  <c r="J206" i="1"/>
  <c r="J202" i="1"/>
  <c r="J171" i="1"/>
  <c r="J156" i="1"/>
  <c r="J152" i="1"/>
  <c r="J141" i="1"/>
  <c r="J137" i="1"/>
  <c r="J110" i="1"/>
  <c r="J106" i="1"/>
  <c r="J91" i="1"/>
  <c r="J76" i="1"/>
  <c r="J72" i="1"/>
  <c r="J62" i="1"/>
  <c r="J56" i="1"/>
  <c r="J50" i="1"/>
  <c r="J30" i="1"/>
  <c r="J24" i="1"/>
  <c r="J18" i="1"/>
  <c r="J515" i="1"/>
  <c r="J497" i="1"/>
  <c r="J488" i="1"/>
  <c r="J474" i="1"/>
  <c r="J467" i="1"/>
  <c r="J465" i="1"/>
  <c r="J458" i="1"/>
  <c r="J449" i="1"/>
  <c r="J442" i="1"/>
  <c r="J396" i="1"/>
  <c r="J348" i="1"/>
  <c r="J345" i="1"/>
  <c r="J334" i="1"/>
  <c r="J331" i="1"/>
  <c r="J283" i="1"/>
  <c r="J280" i="1"/>
  <c r="J269" i="1"/>
  <c r="J266" i="1"/>
  <c r="J517" i="1"/>
  <c r="J511" i="1"/>
  <c r="J502" i="1"/>
  <c r="J495" i="1"/>
  <c r="J486" i="1"/>
  <c r="J472" i="1"/>
  <c r="J463" i="1"/>
  <c r="J456" i="1"/>
  <c r="J405" i="1"/>
  <c r="J402" i="1"/>
  <c r="J388" i="1"/>
  <c r="J385" i="1"/>
  <c r="J509" i="1"/>
  <c r="J457" i="1"/>
  <c r="J450" i="1"/>
  <c r="J431" i="1"/>
  <c r="J424" i="1"/>
  <c r="J410" i="1"/>
  <c r="J389" i="1"/>
  <c r="J387" i="1"/>
  <c r="J361" i="1"/>
  <c r="J352" i="1"/>
  <c r="J336" i="1"/>
  <c r="J320" i="1"/>
  <c r="J299" i="1"/>
  <c r="J290" i="1"/>
  <c r="J258" i="1"/>
  <c r="J225" i="1"/>
  <c r="J214" i="1"/>
  <c r="J211" i="1"/>
  <c r="J208" i="1"/>
  <c r="J197" i="1"/>
  <c r="J194" i="1"/>
  <c r="J174" i="1"/>
  <c r="J160" i="1"/>
  <c r="J149" i="1"/>
  <c r="J146" i="1"/>
  <c r="J132" i="1"/>
  <c r="J129" i="1"/>
  <c r="J109" i="1"/>
  <c r="J84" i="1"/>
  <c r="J81" i="1"/>
  <c r="J70" i="1"/>
  <c r="J67" i="1"/>
  <c r="J63" i="1"/>
  <c r="J55" i="1"/>
  <c r="J40" i="1"/>
  <c r="J25" i="1"/>
  <c r="J485" i="1"/>
  <c r="J471" i="1"/>
  <c r="J464" i="1"/>
  <c r="J445" i="1"/>
  <c r="J438" i="1"/>
  <c r="J395" i="1"/>
  <c r="J357" i="1"/>
  <c r="J350" i="1"/>
  <c r="J341" i="1"/>
  <c r="J325" i="1"/>
  <c r="J281" i="1"/>
  <c r="J274" i="1"/>
  <c r="J272" i="1"/>
  <c r="J265" i="1"/>
  <c r="J256" i="1"/>
  <c r="J228" i="1"/>
  <c r="J203" i="1"/>
  <c r="J200" i="1"/>
  <c r="J166" i="1"/>
  <c r="J163" i="1"/>
  <c r="J138" i="1"/>
  <c r="J101" i="1"/>
  <c r="J98" i="1"/>
  <c r="J73" i="1"/>
  <c r="J48" i="1"/>
  <c r="J33" i="1"/>
  <c r="J466" i="1"/>
  <c r="J403" i="1"/>
  <c r="J401" i="1"/>
  <c r="J364" i="1"/>
  <c r="J355" i="1"/>
  <c r="J323" i="1"/>
  <c r="J302" i="1"/>
  <c r="J288" i="1"/>
  <c r="J270" i="1"/>
  <c r="J261" i="1"/>
  <c r="J237" i="1"/>
  <c r="J234" i="1"/>
  <c r="J220" i="1"/>
  <c r="J195" i="1"/>
  <c r="J192" i="1"/>
  <c r="J172" i="1"/>
  <c r="J169" i="1"/>
  <c r="J158" i="1"/>
  <c r="J155" i="1"/>
  <c r="J130" i="1"/>
  <c r="J107" i="1"/>
  <c r="J104" i="1"/>
  <c r="J93" i="1"/>
  <c r="J90" i="1"/>
  <c r="J64" i="1"/>
  <c r="J41" i="1"/>
  <c r="J26" i="1"/>
  <c r="J494" i="1"/>
  <c r="J487" i="1"/>
  <c r="J435" i="1"/>
  <c r="J421" i="1"/>
  <c r="J386" i="1"/>
  <c r="J346" i="1"/>
  <c r="J339" i="1"/>
  <c r="J337" i="1"/>
  <c r="J330" i="1"/>
  <c r="J321" i="1"/>
  <c r="J300" i="1"/>
  <c r="J293" i="1"/>
  <c r="J284" i="1"/>
  <c r="J277" i="1"/>
  <c r="J275" i="1"/>
  <c r="J268" i="1"/>
  <c r="J229" i="1"/>
  <c r="J226" i="1"/>
  <c r="J212" i="1"/>
  <c r="J209" i="1"/>
  <c r="J198" i="1"/>
  <c r="J164" i="1"/>
  <c r="J161" i="1"/>
  <c r="J150" i="1"/>
  <c r="J147" i="1"/>
  <c r="J144" i="1"/>
  <c r="J133" i="1"/>
  <c r="J99" i="1"/>
  <c r="J96" i="1"/>
  <c r="J85" i="1"/>
  <c r="J82" i="1"/>
  <c r="J68" i="1"/>
  <c r="J57" i="1"/>
  <c r="J49" i="1"/>
  <c r="J34" i="1"/>
  <c r="J22" i="1"/>
  <c r="J19" i="1"/>
  <c r="J501" i="1"/>
  <c r="J496" i="1"/>
  <c r="J489" i="1"/>
  <c r="J475" i="1"/>
  <c r="J470" i="1"/>
  <c r="J423" i="1"/>
  <c r="J409" i="1"/>
  <c r="J394" i="1"/>
  <c r="J390" i="1"/>
  <c r="J384" i="1"/>
  <c r="J360" i="1"/>
  <c r="J353" i="1"/>
  <c r="J344" i="1"/>
  <c r="J326" i="1"/>
  <c r="J298" i="1"/>
  <c r="J291" i="1"/>
  <c r="J259" i="1"/>
  <c r="J218" i="1"/>
  <c r="J204" i="1"/>
  <c r="J201" i="1"/>
  <c r="J153" i="1"/>
  <c r="J142" i="1"/>
  <c r="J139" i="1"/>
  <c r="J136" i="1"/>
  <c r="J102" i="1"/>
  <c r="J88" i="1"/>
  <c r="J77" i="1"/>
  <c r="J74" i="1"/>
  <c r="J65" i="1"/>
  <c r="J42" i="1"/>
  <c r="J38" i="1"/>
  <c r="J27" i="1"/>
  <c r="J510" i="1"/>
  <c r="J503" i="1"/>
  <c r="J451" i="1"/>
  <c r="J437" i="1"/>
  <c r="J430" i="1"/>
  <c r="J398" i="1"/>
  <c r="J392" i="1"/>
  <c r="J365" i="1"/>
  <c r="J358" i="1"/>
  <c r="J349" i="1"/>
  <c r="J342" i="1"/>
  <c r="J340" i="1"/>
  <c r="J333" i="1"/>
  <c r="J289" i="1"/>
  <c r="J273" i="1"/>
  <c r="J264" i="1"/>
  <c r="J257" i="1"/>
  <c r="J238" i="1"/>
  <c r="J235" i="1"/>
  <c r="J210" i="1"/>
  <c r="J196" i="1"/>
  <c r="J193" i="1"/>
  <c r="J173" i="1"/>
  <c r="J170" i="1"/>
  <c r="J145" i="1"/>
  <c r="J134" i="1"/>
  <c r="J131" i="1"/>
  <c r="J128" i="1"/>
  <c r="J108" i="1"/>
  <c r="J105" i="1"/>
  <c r="J94" i="1"/>
  <c r="J80" i="1"/>
  <c r="J69" i="1"/>
  <c r="J58" i="1"/>
  <c r="J46" i="1"/>
  <c r="J35" i="1"/>
  <c r="J31" i="1"/>
  <c r="J23" i="1"/>
  <c r="J507" i="1"/>
  <c r="J432" i="1"/>
  <c r="J406" i="1"/>
  <c r="J400" i="1"/>
  <c r="J363" i="1"/>
  <c r="J356" i="1"/>
  <c r="J324" i="1"/>
  <c r="J296" i="1"/>
  <c r="J294" i="1"/>
  <c r="J278" i="1"/>
  <c r="J262" i="1"/>
  <c r="J230" i="1"/>
  <c r="J224" i="1"/>
  <c r="J213" i="1"/>
  <c r="J165" i="1"/>
  <c r="J148" i="1"/>
  <c r="J100" i="1"/>
  <c r="J83" i="1"/>
  <c r="J43" i="1"/>
  <c r="J39" i="1"/>
  <c r="J227" i="1"/>
  <c r="J162" i="1"/>
  <c r="J97" i="1"/>
  <c r="J86" i="1"/>
  <c r="J66" i="1"/>
  <c r="J54" i="1"/>
  <c r="J51" i="1"/>
  <c r="J446" i="1"/>
  <c r="J443" i="1"/>
  <c r="J429" i="1"/>
  <c r="J422" i="1"/>
  <c r="J404" i="1"/>
  <c r="J354" i="1"/>
  <c r="J338" i="1"/>
  <c r="J329" i="1"/>
  <c r="J322" i="1"/>
  <c r="J292" i="1"/>
  <c r="J285" i="1"/>
  <c r="J276" i="1"/>
  <c r="J260" i="1"/>
  <c r="J233" i="1"/>
  <c r="J222" i="1"/>
  <c r="J219" i="1"/>
  <c r="J216" i="1"/>
  <c r="J205" i="1"/>
  <c r="J168" i="1"/>
  <c r="J157" i="1"/>
  <c r="J154" i="1"/>
  <c r="J140" i="1"/>
  <c r="J92" i="1"/>
  <c r="J89" i="1"/>
  <c r="J514" i="1"/>
  <c r="J78" i="1"/>
  <c r="J32" i="1"/>
  <c r="J75" i="1"/>
  <c r="J59" i="1"/>
  <c r="J47" i="1"/>
  <c r="B78" i="1" l="1"/>
  <c r="D78" i="1"/>
  <c r="C78" i="1"/>
  <c r="E78" i="1"/>
  <c r="H78" i="1"/>
  <c r="G78" i="1"/>
  <c r="F78" i="1"/>
  <c r="A78" i="1"/>
  <c r="D292" i="1"/>
  <c r="G292" i="1"/>
  <c r="F292" i="1"/>
  <c r="C292" i="1"/>
  <c r="H292" i="1"/>
  <c r="E292" i="1"/>
  <c r="B292" i="1"/>
  <c r="A292" i="1"/>
  <c r="E227" i="1"/>
  <c r="G227" i="1"/>
  <c r="F227" i="1"/>
  <c r="C227" i="1"/>
  <c r="D227" i="1"/>
  <c r="B227" i="1"/>
  <c r="A227" i="1"/>
  <c r="H227" i="1"/>
  <c r="E363" i="1"/>
  <c r="H363" i="1"/>
  <c r="G363" i="1"/>
  <c r="A363" i="1"/>
  <c r="D363" i="1"/>
  <c r="C363" i="1"/>
  <c r="B363" i="1"/>
  <c r="F363" i="1"/>
  <c r="E131" i="1"/>
  <c r="B131" i="1"/>
  <c r="A131" i="1"/>
  <c r="C131" i="1"/>
  <c r="F131" i="1"/>
  <c r="D131" i="1"/>
  <c r="H131" i="1"/>
  <c r="G131" i="1"/>
  <c r="B342" i="1"/>
  <c r="E342" i="1"/>
  <c r="D342" i="1"/>
  <c r="F342" i="1"/>
  <c r="H342" i="1"/>
  <c r="A342" i="1"/>
  <c r="G342" i="1"/>
  <c r="C342" i="1"/>
  <c r="C77" i="1"/>
  <c r="D77" i="1"/>
  <c r="B77" i="1"/>
  <c r="E77" i="1"/>
  <c r="A77" i="1"/>
  <c r="H77" i="1"/>
  <c r="G77" i="1"/>
  <c r="F77" i="1"/>
  <c r="H360" i="1"/>
  <c r="G360" i="1"/>
  <c r="F360" i="1"/>
  <c r="B360" i="1"/>
  <c r="A360" i="1"/>
  <c r="E360" i="1"/>
  <c r="D360" i="1"/>
  <c r="C360" i="1"/>
  <c r="D68" i="1"/>
  <c r="B68" i="1"/>
  <c r="A68" i="1"/>
  <c r="H68" i="1"/>
  <c r="G68" i="1"/>
  <c r="F68" i="1"/>
  <c r="E68" i="1"/>
  <c r="C68" i="1"/>
  <c r="D268" i="1"/>
  <c r="C268" i="1"/>
  <c r="B268" i="1"/>
  <c r="F268" i="1"/>
  <c r="H268" i="1"/>
  <c r="G268" i="1"/>
  <c r="E268" i="1"/>
  <c r="A268" i="1"/>
  <c r="D26" i="1"/>
  <c r="C26" i="1"/>
  <c r="A26" i="1"/>
  <c r="H26" i="1"/>
  <c r="G26" i="1"/>
  <c r="F26" i="1"/>
  <c r="E26" i="1"/>
  <c r="B26" i="1"/>
  <c r="G401" i="1"/>
  <c r="D401" i="1"/>
  <c r="C401" i="1"/>
  <c r="F401" i="1"/>
  <c r="E401" i="1"/>
  <c r="H401" i="1"/>
  <c r="B401" i="1"/>
  <c r="A401" i="1"/>
  <c r="H272" i="1"/>
  <c r="D272" i="1"/>
  <c r="C272" i="1"/>
  <c r="A272" i="1"/>
  <c r="G272" i="1"/>
  <c r="F272" i="1"/>
  <c r="E272" i="1"/>
  <c r="B272" i="1"/>
  <c r="G63" i="1"/>
  <c r="F63" i="1"/>
  <c r="H63" i="1"/>
  <c r="E63" i="1"/>
  <c r="D63" i="1"/>
  <c r="C63" i="1"/>
  <c r="B63" i="1"/>
  <c r="A63" i="1"/>
  <c r="B214" i="1"/>
  <c r="E214" i="1"/>
  <c r="D214" i="1"/>
  <c r="H214" i="1"/>
  <c r="G214" i="1"/>
  <c r="F214" i="1"/>
  <c r="C214" i="1"/>
  <c r="A214" i="1"/>
  <c r="G486" i="1"/>
  <c r="A486" i="1"/>
  <c r="C486" i="1"/>
  <c r="B486" i="1"/>
  <c r="D486" i="1"/>
  <c r="E486" i="1"/>
  <c r="H486" i="1"/>
  <c r="F486" i="1"/>
  <c r="C458" i="1"/>
  <c r="F458" i="1"/>
  <c r="D458" i="1"/>
  <c r="B458" i="1"/>
  <c r="E458" i="1"/>
  <c r="H458" i="1"/>
  <c r="G458" i="1"/>
  <c r="A458" i="1"/>
  <c r="F106" i="1"/>
  <c r="H106" i="1"/>
  <c r="G106" i="1"/>
  <c r="E106" i="1"/>
  <c r="D106" i="1"/>
  <c r="C106" i="1"/>
  <c r="B106" i="1"/>
  <c r="A106" i="1"/>
  <c r="G297" i="1"/>
  <c r="H297" i="1"/>
  <c r="F297" i="1"/>
  <c r="E297" i="1"/>
  <c r="D297" i="1"/>
  <c r="C297" i="1"/>
  <c r="B297" i="1"/>
  <c r="A297" i="1"/>
  <c r="H493" i="1"/>
  <c r="B493" i="1"/>
  <c r="C493" i="1"/>
  <c r="A493" i="1"/>
  <c r="E493" i="1"/>
  <c r="D493" i="1"/>
  <c r="G493" i="1"/>
  <c r="F493" i="1"/>
  <c r="G185" i="1"/>
  <c r="A185" i="1"/>
  <c r="D185" i="1"/>
  <c r="F185" i="1"/>
  <c r="E185" i="1"/>
  <c r="C185" i="1"/>
  <c r="B185" i="1"/>
  <c r="H185" i="1"/>
  <c r="E315" i="1"/>
  <c r="A315" i="1"/>
  <c r="D315" i="1"/>
  <c r="G315" i="1"/>
  <c r="F315" i="1"/>
  <c r="C315" i="1"/>
  <c r="B315" i="1"/>
  <c r="H315" i="1"/>
  <c r="G462" i="1"/>
  <c r="F462" i="1"/>
  <c r="D462" i="1"/>
  <c r="C462" i="1"/>
  <c r="H462" i="1"/>
  <c r="E462" i="1"/>
  <c r="B462" i="1"/>
  <c r="A462" i="1"/>
  <c r="C117" i="1"/>
  <c r="H117" i="1"/>
  <c r="F117" i="1"/>
  <c r="E117" i="1"/>
  <c r="D117" i="1"/>
  <c r="B117" i="1"/>
  <c r="A117" i="1"/>
  <c r="G117" i="1"/>
  <c r="H304" i="1"/>
  <c r="G304" i="1"/>
  <c r="E304" i="1"/>
  <c r="B304" i="1"/>
  <c r="F304" i="1"/>
  <c r="D304" i="1"/>
  <c r="C304" i="1"/>
  <c r="A304" i="1"/>
  <c r="D433" i="1"/>
  <c r="B433" i="1"/>
  <c r="H433" i="1"/>
  <c r="F433" i="1"/>
  <c r="G433" i="1"/>
  <c r="E433" i="1"/>
  <c r="C433" i="1"/>
  <c r="A433" i="1"/>
  <c r="A127" i="1"/>
  <c r="B127" i="1"/>
  <c r="C127" i="1"/>
  <c r="H127" i="1"/>
  <c r="G127" i="1"/>
  <c r="F127" i="1"/>
  <c r="E127" i="1"/>
  <c r="D127" i="1"/>
  <c r="A255" i="1"/>
  <c r="B255" i="1"/>
  <c r="G255" i="1"/>
  <c r="E255" i="1"/>
  <c r="D255" i="1"/>
  <c r="C255" i="1"/>
  <c r="H255" i="1"/>
  <c r="F255" i="1"/>
  <c r="A319" i="1"/>
  <c r="B319" i="1"/>
  <c r="E319" i="1"/>
  <c r="F319" i="1"/>
  <c r="C319" i="1"/>
  <c r="H319" i="1"/>
  <c r="G319" i="1"/>
  <c r="D319" i="1"/>
  <c r="A383" i="1"/>
  <c r="B383" i="1"/>
  <c r="C383" i="1"/>
  <c r="G383" i="1"/>
  <c r="F383" i="1"/>
  <c r="E383" i="1"/>
  <c r="D383" i="1"/>
  <c r="H383" i="1"/>
  <c r="D417" i="1"/>
  <c r="G417" i="1"/>
  <c r="F417" i="1"/>
  <c r="H417" i="1"/>
  <c r="E417" i="1"/>
  <c r="C417" i="1"/>
  <c r="B417" i="1"/>
  <c r="A417" i="1"/>
  <c r="A460" i="1"/>
  <c r="F460" i="1"/>
  <c r="G460" i="1"/>
  <c r="E460" i="1"/>
  <c r="H460" i="1"/>
  <c r="D460" i="1"/>
  <c r="C460" i="1"/>
  <c r="B460" i="1"/>
  <c r="H216" i="1"/>
  <c r="E216" i="1"/>
  <c r="D216" i="1"/>
  <c r="F216" i="1"/>
  <c r="G216" i="1"/>
  <c r="C216" i="1"/>
  <c r="B216" i="1"/>
  <c r="A216" i="1"/>
  <c r="F322" i="1"/>
  <c r="B322" i="1"/>
  <c r="A322" i="1"/>
  <c r="C322" i="1"/>
  <c r="G322" i="1"/>
  <c r="H322" i="1"/>
  <c r="E322" i="1"/>
  <c r="D322" i="1"/>
  <c r="G39" i="1"/>
  <c r="F39" i="1"/>
  <c r="B39" i="1"/>
  <c r="E39" i="1"/>
  <c r="D39" i="1"/>
  <c r="C39" i="1"/>
  <c r="A39" i="1"/>
  <c r="H39" i="1"/>
  <c r="H400" i="1"/>
  <c r="D400" i="1"/>
  <c r="C400" i="1"/>
  <c r="G400" i="1"/>
  <c r="A400" i="1"/>
  <c r="E400" i="1"/>
  <c r="B400" i="1"/>
  <c r="F400" i="1"/>
  <c r="B134" i="1"/>
  <c r="C134" i="1"/>
  <c r="A134" i="1"/>
  <c r="F134" i="1"/>
  <c r="E134" i="1"/>
  <c r="D134" i="1"/>
  <c r="H134" i="1"/>
  <c r="G134" i="1"/>
  <c r="F503" i="1"/>
  <c r="C503" i="1"/>
  <c r="G503" i="1"/>
  <c r="E503" i="1"/>
  <c r="B503" i="1"/>
  <c r="A503" i="1"/>
  <c r="H503" i="1"/>
  <c r="D503" i="1"/>
  <c r="F218" i="1"/>
  <c r="E218" i="1"/>
  <c r="D218" i="1"/>
  <c r="B218" i="1"/>
  <c r="A218" i="1"/>
  <c r="H218" i="1"/>
  <c r="G218" i="1"/>
  <c r="C218" i="1"/>
  <c r="E496" i="1"/>
  <c r="B496" i="1"/>
  <c r="G496" i="1"/>
  <c r="F496" i="1"/>
  <c r="A496" i="1"/>
  <c r="H496" i="1"/>
  <c r="D496" i="1"/>
  <c r="C496" i="1"/>
  <c r="E275" i="1"/>
  <c r="D275" i="1"/>
  <c r="C275" i="1"/>
  <c r="A275" i="1"/>
  <c r="H275" i="1"/>
  <c r="G275" i="1"/>
  <c r="F275" i="1"/>
  <c r="B275" i="1"/>
  <c r="E41" i="1"/>
  <c r="D41" i="1"/>
  <c r="F41" i="1"/>
  <c r="H41" i="1"/>
  <c r="G41" i="1"/>
  <c r="C41" i="1"/>
  <c r="B41" i="1"/>
  <c r="A41" i="1"/>
  <c r="C261" i="1"/>
  <c r="B261" i="1"/>
  <c r="A261" i="1"/>
  <c r="D261" i="1"/>
  <c r="H261" i="1"/>
  <c r="G261" i="1"/>
  <c r="F261" i="1"/>
  <c r="E261" i="1"/>
  <c r="E163" i="1"/>
  <c r="G163" i="1"/>
  <c r="F163" i="1"/>
  <c r="H163" i="1"/>
  <c r="D163" i="1"/>
  <c r="C163" i="1"/>
  <c r="B163" i="1"/>
  <c r="A163" i="1"/>
  <c r="H445" i="1"/>
  <c r="D445" i="1"/>
  <c r="F445" i="1"/>
  <c r="E445" i="1"/>
  <c r="G445" i="1"/>
  <c r="C445" i="1"/>
  <c r="B445" i="1"/>
  <c r="A445" i="1"/>
  <c r="C149" i="1"/>
  <c r="E149" i="1"/>
  <c r="D149" i="1"/>
  <c r="H149" i="1"/>
  <c r="G149" i="1"/>
  <c r="F149" i="1"/>
  <c r="B149" i="1"/>
  <c r="A149" i="1"/>
  <c r="E387" i="1"/>
  <c r="B387" i="1"/>
  <c r="A387" i="1"/>
  <c r="C387" i="1"/>
  <c r="G387" i="1"/>
  <c r="F387" i="1"/>
  <c r="H387" i="1"/>
  <c r="D387" i="1"/>
  <c r="F495" i="1"/>
  <c r="B495" i="1"/>
  <c r="E495" i="1"/>
  <c r="D495" i="1"/>
  <c r="G495" i="1"/>
  <c r="H495" i="1"/>
  <c r="C495" i="1"/>
  <c r="A495" i="1"/>
  <c r="D465" i="1"/>
  <c r="G465" i="1"/>
  <c r="C465" i="1"/>
  <c r="B465" i="1"/>
  <c r="H465" i="1"/>
  <c r="A465" i="1"/>
  <c r="F465" i="1"/>
  <c r="E465" i="1"/>
  <c r="B110" i="1"/>
  <c r="H110" i="1"/>
  <c r="G110" i="1"/>
  <c r="F110" i="1"/>
  <c r="E110" i="1"/>
  <c r="D110" i="1"/>
  <c r="C110" i="1"/>
  <c r="A110" i="1"/>
  <c r="C301" i="1"/>
  <c r="H301" i="1"/>
  <c r="G301" i="1"/>
  <c r="A301" i="1"/>
  <c r="E301" i="1"/>
  <c r="D301" i="1"/>
  <c r="B301" i="1"/>
  <c r="F301" i="1"/>
  <c r="E504" i="1"/>
  <c r="C504" i="1"/>
  <c r="H504" i="1"/>
  <c r="G504" i="1"/>
  <c r="F504" i="1"/>
  <c r="D504" i="1"/>
  <c r="B504" i="1"/>
  <c r="A504" i="1"/>
  <c r="F186" i="1"/>
  <c r="A186" i="1"/>
  <c r="G186" i="1"/>
  <c r="H186" i="1"/>
  <c r="E186" i="1"/>
  <c r="D186" i="1"/>
  <c r="C186" i="1"/>
  <c r="B186" i="1"/>
  <c r="D316" i="1"/>
  <c r="A316" i="1"/>
  <c r="G316" i="1"/>
  <c r="E316" i="1"/>
  <c r="H316" i="1"/>
  <c r="F316" i="1"/>
  <c r="C316" i="1"/>
  <c r="B316" i="1"/>
  <c r="A53" i="1"/>
  <c r="H53" i="1"/>
  <c r="D53" i="1"/>
  <c r="B53" i="1"/>
  <c r="G53" i="1"/>
  <c r="F53" i="1"/>
  <c r="E53" i="1"/>
  <c r="C53" i="1"/>
  <c r="H240" i="1"/>
  <c r="G240" i="1"/>
  <c r="A240" i="1"/>
  <c r="F240" i="1"/>
  <c r="E240" i="1"/>
  <c r="D240" i="1"/>
  <c r="C240" i="1"/>
  <c r="B240" i="1"/>
  <c r="F370" i="1"/>
  <c r="H370" i="1"/>
  <c r="E370" i="1"/>
  <c r="D370" i="1"/>
  <c r="C370" i="1"/>
  <c r="B370" i="1"/>
  <c r="A370" i="1"/>
  <c r="G370" i="1"/>
  <c r="E440" i="1"/>
  <c r="C440" i="1"/>
  <c r="H440" i="1"/>
  <c r="G440" i="1"/>
  <c r="F440" i="1"/>
  <c r="D440" i="1"/>
  <c r="B440" i="1"/>
  <c r="A440" i="1"/>
  <c r="A135" i="1"/>
  <c r="C135" i="1"/>
  <c r="B135" i="1"/>
  <c r="D135" i="1"/>
  <c r="H135" i="1"/>
  <c r="G135" i="1"/>
  <c r="F135" i="1"/>
  <c r="E135" i="1"/>
  <c r="A263" i="1"/>
  <c r="C263" i="1"/>
  <c r="B263" i="1"/>
  <c r="H263" i="1"/>
  <c r="G263" i="1"/>
  <c r="F263" i="1"/>
  <c r="E263" i="1"/>
  <c r="D263" i="1"/>
  <c r="A327" i="1"/>
  <c r="C327" i="1"/>
  <c r="B327" i="1"/>
  <c r="F327" i="1"/>
  <c r="D327" i="1"/>
  <c r="H327" i="1"/>
  <c r="G327" i="1"/>
  <c r="E327" i="1"/>
  <c r="A391" i="1"/>
  <c r="C391" i="1"/>
  <c r="B391" i="1"/>
  <c r="D391" i="1"/>
  <c r="H391" i="1"/>
  <c r="G391" i="1"/>
  <c r="F391" i="1"/>
  <c r="E391" i="1"/>
  <c r="C418" i="1"/>
  <c r="H418" i="1"/>
  <c r="G418" i="1"/>
  <c r="B418" i="1"/>
  <c r="D418" i="1"/>
  <c r="A418" i="1"/>
  <c r="F418" i="1"/>
  <c r="E418" i="1"/>
  <c r="B483" i="1"/>
  <c r="H483" i="1"/>
  <c r="G483" i="1"/>
  <c r="C483" i="1"/>
  <c r="F483" i="1"/>
  <c r="E483" i="1"/>
  <c r="D483" i="1"/>
  <c r="A483" i="1"/>
  <c r="G89" i="1"/>
  <c r="E89" i="1"/>
  <c r="D89" i="1"/>
  <c r="B89" i="1"/>
  <c r="H89" i="1"/>
  <c r="F89" i="1"/>
  <c r="C89" i="1"/>
  <c r="A89" i="1"/>
  <c r="G329" i="1"/>
  <c r="C329" i="1"/>
  <c r="B329" i="1"/>
  <c r="H329" i="1"/>
  <c r="F329" i="1"/>
  <c r="E329" i="1"/>
  <c r="D329" i="1"/>
  <c r="A329" i="1"/>
  <c r="C43" i="1"/>
  <c r="B43" i="1"/>
  <c r="H43" i="1"/>
  <c r="F43" i="1"/>
  <c r="E43" i="1"/>
  <c r="D43" i="1"/>
  <c r="A43" i="1"/>
  <c r="G43" i="1"/>
  <c r="B406" i="1"/>
  <c r="E406" i="1"/>
  <c r="D406" i="1"/>
  <c r="A406" i="1"/>
  <c r="C406" i="1"/>
  <c r="G406" i="1"/>
  <c r="F406" i="1"/>
  <c r="H406" i="1"/>
  <c r="G145" i="1"/>
  <c r="D145" i="1"/>
  <c r="C145" i="1"/>
  <c r="E145" i="1"/>
  <c r="B145" i="1"/>
  <c r="A145" i="1"/>
  <c r="H145" i="1"/>
  <c r="F145" i="1"/>
  <c r="B358" i="1"/>
  <c r="G358" i="1"/>
  <c r="F358" i="1"/>
  <c r="H358" i="1"/>
  <c r="C358" i="1"/>
  <c r="A358" i="1"/>
  <c r="E358" i="1"/>
  <c r="D358" i="1"/>
  <c r="G510" i="1"/>
  <c r="D510" i="1"/>
  <c r="F510" i="1"/>
  <c r="E510" i="1"/>
  <c r="B510" i="1"/>
  <c r="A510" i="1"/>
  <c r="H510" i="1"/>
  <c r="C510" i="1"/>
  <c r="E259" i="1"/>
  <c r="B259" i="1"/>
  <c r="A259" i="1"/>
  <c r="H259" i="1"/>
  <c r="C259" i="1"/>
  <c r="G259" i="1"/>
  <c r="F259" i="1"/>
  <c r="D259" i="1"/>
  <c r="H501" i="1"/>
  <c r="C501" i="1"/>
  <c r="D501" i="1"/>
  <c r="B501" i="1"/>
  <c r="G501" i="1"/>
  <c r="E501" i="1"/>
  <c r="A501" i="1"/>
  <c r="F501" i="1"/>
  <c r="D164" i="1"/>
  <c r="G164" i="1"/>
  <c r="F164" i="1"/>
  <c r="A164" i="1"/>
  <c r="H164" i="1"/>
  <c r="E164" i="1"/>
  <c r="C164" i="1"/>
  <c r="B164" i="1"/>
  <c r="F346" i="1"/>
  <c r="E346" i="1"/>
  <c r="D346" i="1"/>
  <c r="G346" i="1"/>
  <c r="H346" i="1"/>
  <c r="C346" i="1"/>
  <c r="B346" i="1"/>
  <c r="A346" i="1"/>
  <c r="G169" i="1"/>
  <c r="H169" i="1"/>
  <c r="F169" i="1"/>
  <c r="B169" i="1"/>
  <c r="E169" i="1"/>
  <c r="D169" i="1"/>
  <c r="C169" i="1"/>
  <c r="A169" i="1"/>
  <c r="C466" i="1"/>
  <c r="G466" i="1"/>
  <c r="E466" i="1"/>
  <c r="D466" i="1"/>
  <c r="A466" i="1"/>
  <c r="H466" i="1"/>
  <c r="F466" i="1"/>
  <c r="B466" i="1"/>
  <c r="G281" i="1"/>
  <c r="E281" i="1"/>
  <c r="D281" i="1"/>
  <c r="F281" i="1"/>
  <c r="H281" i="1"/>
  <c r="C281" i="1"/>
  <c r="B281" i="1"/>
  <c r="A281" i="1"/>
  <c r="B70" i="1"/>
  <c r="C70" i="1"/>
  <c r="A70" i="1"/>
  <c r="D70" i="1"/>
  <c r="H70" i="1"/>
  <c r="G70" i="1"/>
  <c r="F70" i="1"/>
  <c r="E70" i="1"/>
  <c r="F258" i="1"/>
  <c r="B258" i="1"/>
  <c r="A258" i="1"/>
  <c r="E258" i="1"/>
  <c r="H258" i="1"/>
  <c r="G258" i="1"/>
  <c r="D258" i="1"/>
  <c r="C258" i="1"/>
  <c r="D388" i="1"/>
  <c r="B388" i="1"/>
  <c r="A388" i="1"/>
  <c r="F388" i="1"/>
  <c r="H388" i="1"/>
  <c r="G388" i="1"/>
  <c r="E388" i="1"/>
  <c r="C388" i="1"/>
  <c r="B334" i="1"/>
  <c r="D334" i="1"/>
  <c r="C334" i="1"/>
  <c r="E334" i="1"/>
  <c r="H334" i="1"/>
  <c r="G334" i="1"/>
  <c r="F334" i="1"/>
  <c r="A334" i="1"/>
  <c r="D50" i="1"/>
  <c r="C50" i="1"/>
  <c r="E50" i="1"/>
  <c r="B50" i="1"/>
  <c r="A50" i="1"/>
  <c r="H50" i="1"/>
  <c r="G50" i="1"/>
  <c r="F50" i="1"/>
  <c r="C221" i="1"/>
  <c r="F221" i="1"/>
  <c r="E221" i="1"/>
  <c r="B221" i="1"/>
  <c r="A221" i="1"/>
  <c r="H221" i="1"/>
  <c r="G221" i="1"/>
  <c r="D221" i="1"/>
  <c r="D425" i="1"/>
  <c r="A425" i="1"/>
  <c r="H425" i="1"/>
  <c r="G425" i="1"/>
  <c r="C425" i="1"/>
  <c r="B425" i="1"/>
  <c r="F425" i="1"/>
  <c r="E425" i="1"/>
  <c r="F122" i="1"/>
  <c r="A122" i="1"/>
  <c r="C122" i="1"/>
  <c r="B122" i="1"/>
  <c r="H122" i="1"/>
  <c r="G122" i="1"/>
  <c r="E122" i="1"/>
  <c r="D122" i="1"/>
  <c r="D252" i="1"/>
  <c r="A252" i="1"/>
  <c r="H252" i="1"/>
  <c r="B252" i="1"/>
  <c r="G252" i="1"/>
  <c r="F252" i="1"/>
  <c r="E252" i="1"/>
  <c r="C252" i="1"/>
  <c r="B382" i="1"/>
  <c r="A382" i="1"/>
  <c r="H382" i="1"/>
  <c r="G382" i="1"/>
  <c r="F382" i="1"/>
  <c r="E382" i="1"/>
  <c r="D382" i="1"/>
  <c r="C382" i="1"/>
  <c r="B499" i="1"/>
  <c r="C499" i="1"/>
  <c r="F499" i="1"/>
  <c r="E499" i="1"/>
  <c r="H499" i="1"/>
  <c r="G499" i="1"/>
  <c r="D499" i="1"/>
  <c r="A499" i="1"/>
  <c r="H176" i="1"/>
  <c r="G176" i="1"/>
  <c r="A176" i="1"/>
  <c r="D176" i="1"/>
  <c r="C176" i="1"/>
  <c r="B176" i="1"/>
  <c r="F176" i="1"/>
  <c r="E176" i="1"/>
  <c r="F306" i="1"/>
  <c r="H306" i="1"/>
  <c r="A306" i="1"/>
  <c r="G306" i="1"/>
  <c r="E306" i="1"/>
  <c r="D306" i="1"/>
  <c r="C306" i="1"/>
  <c r="B306" i="1"/>
  <c r="F447" i="1"/>
  <c r="D447" i="1"/>
  <c r="H447" i="1"/>
  <c r="E447" i="1"/>
  <c r="G447" i="1"/>
  <c r="C447" i="1"/>
  <c r="B447" i="1"/>
  <c r="A447" i="1"/>
  <c r="A143" i="1"/>
  <c r="D143" i="1"/>
  <c r="C143" i="1"/>
  <c r="E143" i="1"/>
  <c r="H143" i="1"/>
  <c r="G143" i="1"/>
  <c r="F143" i="1"/>
  <c r="B143" i="1"/>
  <c r="A412" i="1"/>
  <c r="H412" i="1"/>
  <c r="B412" i="1"/>
  <c r="G412" i="1"/>
  <c r="F412" i="1"/>
  <c r="E412" i="1"/>
  <c r="D412" i="1"/>
  <c r="C412" i="1"/>
  <c r="D92" i="1"/>
  <c r="F92" i="1"/>
  <c r="E92" i="1"/>
  <c r="H92" i="1"/>
  <c r="G92" i="1"/>
  <c r="C92" i="1"/>
  <c r="B92" i="1"/>
  <c r="A92" i="1"/>
  <c r="F338" i="1"/>
  <c r="D338" i="1"/>
  <c r="C338" i="1"/>
  <c r="E338" i="1"/>
  <c r="A338" i="1"/>
  <c r="H338" i="1"/>
  <c r="G338" i="1"/>
  <c r="B338" i="1"/>
  <c r="H54" i="1"/>
  <c r="G54" i="1"/>
  <c r="E54" i="1"/>
  <c r="D54" i="1"/>
  <c r="C54" i="1"/>
  <c r="B54" i="1"/>
  <c r="A54" i="1"/>
  <c r="F54" i="1"/>
  <c r="B278" i="1"/>
  <c r="E278" i="1"/>
  <c r="D278" i="1"/>
  <c r="H278" i="1"/>
  <c r="F278" i="1"/>
  <c r="C278" i="1"/>
  <c r="A278" i="1"/>
  <c r="G278" i="1"/>
  <c r="H80" i="1"/>
  <c r="D80" i="1"/>
  <c r="C80" i="1"/>
  <c r="E80" i="1"/>
  <c r="B80" i="1"/>
  <c r="A80" i="1"/>
  <c r="G80" i="1"/>
  <c r="F80" i="1"/>
  <c r="H264" i="1"/>
  <c r="C264" i="1"/>
  <c r="B264" i="1"/>
  <c r="E264" i="1"/>
  <c r="D264" i="1"/>
  <c r="A264" i="1"/>
  <c r="G264" i="1"/>
  <c r="F264" i="1"/>
  <c r="C27" i="1"/>
  <c r="B27" i="1"/>
  <c r="D27" i="1"/>
  <c r="E27" i="1"/>
  <c r="A27" i="1"/>
  <c r="H27" i="1"/>
  <c r="G27" i="1"/>
  <c r="F27" i="1"/>
  <c r="E291" i="1"/>
  <c r="G291" i="1"/>
  <c r="F291" i="1"/>
  <c r="A291" i="1"/>
  <c r="H291" i="1"/>
  <c r="D291" i="1"/>
  <c r="C291" i="1"/>
  <c r="B291" i="1"/>
  <c r="C19" i="1"/>
  <c r="B19" i="1"/>
  <c r="D19" i="1"/>
  <c r="A19" i="1"/>
  <c r="H19" i="1"/>
  <c r="G19" i="1"/>
  <c r="F19" i="1"/>
  <c r="E19" i="1"/>
  <c r="B198" i="1"/>
  <c r="C198" i="1"/>
  <c r="A198" i="1"/>
  <c r="H198" i="1"/>
  <c r="G198" i="1"/>
  <c r="F198" i="1"/>
  <c r="E198" i="1"/>
  <c r="D198" i="1"/>
  <c r="F386" i="1"/>
  <c r="B386" i="1"/>
  <c r="A386" i="1"/>
  <c r="C386" i="1"/>
  <c r="H386" i="1"/>
  <c r="G386" i="1"/>
  <c r="E386" i="1"/>
  <c r="D386" i="1"/>
  <c r="F90" i="1"/>
  <c r="E90" i="1"/>
  <c r="D90" i="1"/>
  <c r="G90" i="1"/>
  <c r="H90" i="1"/>
  <c r="C90" i="1"/>
  <c r="B90" i="1"/>
  <c r="A90" i="1"/>
  <c r="H288" i="1"/>
  <c r="F288" i="1"/>
  <c r="E288" i="1"/>
  <c r="C288" i="1"/>
  <c r="G288" i="1"/>
  <c r="D288" i="1"/>
  <c r="B288" i="1"/>
  <c r="A288" i="1"/>
  <c r="H200" i="1"/>
  <c r="C200" i="1"/>
  <c r="B200" i="1"/>
  <c r="D200" i="1"/>
  <c r="G200" i="1"/>
  <c r="F200" i="1"/>
  <c r="E200" i="1"/>
  <c r="A200" i="1"/>
  <c r="C325" i="1"/>
  <c r="B325" i="1"/>
  <c r="A325" i="1"/>
  <c r="G325" i="1"/>
  <c r="H325" i="1"/>
  <c r="F325" i="1"/>
  <c r="E325" i="1"/>
  <c r="D325" i="1"/>
  <c r="G81" i="1"/>
  <c r="D81" i="1"/>
  <c r="C81" i="1"/>
  <c r="A81" i="1"/>
  <c r="H81" i="1"/>
  <c r="F81" i="1"/>
  <c r="E81" i="1"/>
  <c r="B81" i="1"/>
  <c r="B174" i="1"/>
  <c r="H174" i="1"/>
  <c r="G174" i="1"/>
  <c r="E174" i="1"/>
  <c r="F174" i="1"/>
  <c r="D174" i="1"/>
  <c r="C174" i="1"/>
  <c r="A174" i="1"/>
  <c r="C410" i="1"/>
  <c r="H410" i="1"/>
  <c r="G410" i="1"/>
  <c r="F410" i="1"/>
  <c r="D410" i="1"/>
  <c r="E410" i="1"/>
  <c r="B410" i="1"/>
  <c r="A410" i="1"/>
  <c r="F511" i="1"/>
  <c r="D511" i="1"/>
  <c r="H511" i="1"/>
  <c r="G511" i="1"/>
  <c r="A511" i="1"/>
  <c r="E511" i="1"/>
  <c r="C511" i="1"/>
  <c r="B511" i="1"/>
  <c r="C474" i="1"/>
  <c r="H474" i="1"/>
  <c r="F474" i="1"/>
  <c r="E474" i="1"/>
  <c r="G474" i="1"/>
  <c r="D474" i="1"/>
  <c r="B474" i="1"/>
  <c r="A474" i="1"/>
  <c r="C141" i="1"/>
  <c r="D141" i="1"/>
  <c r="B141" i="1"/>
  <c r="H141" i="1"/>
  <c r="G141" i="1"/>
  <c r="F141" i="1"/>
  <c r="E141" i="1"/>
  <c r="A141" i="1"/>
  <c r="D332" i="1"/>
  <c r="C332" i="1"/>
  <c r="B332" i="1"/>
  <c r="H332" i="1"/>
  <c r="G332" i="1"/>
  <c r="F332" i="1"/>
  <c r="E332" i="1"/>
  <c r="A332" i="1"/>
  <c r="B28" i="1"/>
  <c r="A28" i="1"/>
  <c r="E28" i="1"/>
  <c r="G28" i="1"/>
  <c r="F28" i="1"/>
  <c r="D28" i="1"/>
  <c r="C28" i="1"/>
  <c r="H28" i="1"/>
  <c r="D188" i="1"/>
  <c r="A188" i="1"/>
  <c r="B188" i="1"/>
  <c r="G188" i="1"/>
  <c r="F188" i="1"/>
  <c r="E188" i="1"/>
  <c r="C188" i="1"/>
  <c r="H188" i="1"/>
  <c r="C253" i="1"/>
  <c r="A253" i="1"/>
  <c r="B253" i="1"/>
  <c r="G253" i="1"/>
  <c r="F253" i="1"/>
  <c r="E253" i="1"/>
  <c r="D253" i="1"/>
  <c r="H253" i="1"/>
  <c r="B427" i="1"/>
  <c r="A427" i="1"/>
  <c r="E427" i="1"/>
  <c r="C427" i="1"/>
  <c r="F427" i="1"/>
  <c r="D427" i="1"/>
  <c r="H427" i="1"/>
  <c r="G427" i="1"/>
  <c r="H112" i="1"/>
  <c r="G112" i="1"/>
  <c r="C112" i="1"/>
  <c r="F112" i="1"/>
  <c r="E112" i="1"/>
  <c r="D112" i="1"/>
  <c r="B112" i="1"/>
  <c r="A112" i="1"/>
  <c r="F242" i="1"/>
  <c r="H242" i="1"/>
  <c r="C242" i="1"/>
  <c r="B242" i="1"/>
  <c r="G242" i="1"/>
  <c r="E242" i="1"/>
  <c r="D242" i="1"/>
  <c r="A242" i="1"/>
  <c r="E307" i="1"/>
  <c r="H307" i="1"/>
  <c r="C307" i="1"/>
  <c r="B307" i="1"/>
  <c r="G307" i="1"/>
  <c r="F307" i="1"/>
  <c r="D307" i="1"/>
  <c r="A307" i="1"/>
  <c r="A87" i="1"/>
  <c r="E87" i="1"/>
  <c r="D87" i="1"/>
  <c r="H87" i="1"/>
  <c r="G87" i="1"/>
  <c r="F87" i="1"/>
  <c r="C87" i="1"/>
  <c r="B87" i="1"/>
  <c r="A420" i="1"/>
  <c r="B420" i="1"/>
  <c r="C420" i="1"/>
  <c r="E420" i="1"/>
  <c r="D420" i="1"/>
  <c r="H420" i="1"/>
  <c r="G420" i="1"/>
  <c r="F420" i="1"/>
  <c r="G47" i="1"/>
  <c r="F47" i="1"/>
  <c r="D47" i="1"/>
  <c r="H47" i="1"/>
  <c r="E47" i="1"/>
  <c r="C47" i="1"/>
  <c r="B47" i="1"/>
  <c r="A47" i="1"/>
  <c r="G233" i="1"/>
  <c r="H233" i="1"/>
  <c r="F233" i="1"/>
  <c r="E233" i="1"/>
  <c r="D233" i="1"/>
  <c r="C233" i="1"/>
  <c r="B233" i="1"/>
  <c r="A233" i="1"/>
  <c r="D66" i="1"/>
  <c r="C66" i="1"/>
  <c r="E66" i="1"/>
  <c r="G66" i="1"/>
  <c r="F66" i="1"/>
  <c r="B66" i="1"/>
  <c r="A66" i="1"/>
  <c r="H66" i="1"/>
  <c r="B294" i="1"/>
  <c r="G294" i="1"/>
  <c r="F294" i="1"/>
  <c r="H294" i="1"/>
  <c r="D294" i="1"/>
  <c r="C294" i="1"/>
  <c r="A294" i="1"/>
  <c r="E294" i="1"/>
  <c r="B507" i="1"/>
  <c r="D507" i="1"/>
  <c r="A507" i="1"/>
  <c r="H507" i="1"/>
  <c r="F507" i="1"/>
  <c r="E507" i="1"/>
  <c r="C507" i="1"/>
  <c r="G507" i="1"/>
  <c r="C173" i="1"/>
  <c r="H173" i="1"/>
  <c r="G173" i="1"/>
  <c r="B173" i="1"/>
  <c r="D173" i="1"/>
  <c r="A173" i="1"/>
  <c r="F173" i="1"/>
  <c r="E173" i="1"/>
  <c r="H392" i="1"/>
  <c r="C392" i="1"/>
  <c r="B392" i="1"/>
  <c r="F392" i="1"/>
  <c r="D392" i="1"/>
  <c r="A392" i="1"/>
  <c r="G392" i="1"/>
  <c r="E392" i="1"/>
  <c r="E139" i="1"/>
  <c r="C139" i="1"/>
  <c r="B139" i="1"/>
  <c r="D139" i="1"/>
  <c r="A139" i="1"/>
  <c r="H139" i="1"/>
  <c r="G139" i="1"/>
  <c r="F139" i="1"/>
  <c r="D409" i="1"/>
  <c r="H409" i="1"/>
  <c r="F409" i="1"/>
  <c r="E409" i="1"/>
  <c r="C409" i="1"/>
  <c r="B409" i="1"/>
  <c r="G409" i="1"/>
  <c r="A409" i="1"/>
  <c r="H22" i="1"/>
  <c r="G22" i="1"/>
  <c r="E22" i="1"/>
  <c r="A22" i="1"/>
  <c r="F22" i="1"/>
  <c r="D22" i="1"/>
  <c r="C22" i="1"/>
  <c r="B22" i="1"/>
  <c r="G209" i="1"/>
  <c r="D209" i="1"/>
  <c r="C209" i="1"/>
  <c r="H209" i="1"/>
  <c r="F209" i="1"/>
  <c r="E209" i="1"/>
  <c r="B209" i="1"/>
  <c r="A209" i="1"/>
  <c r="H421" i="1"/>
  <c r="A421" i="1"/>
  <c r="C421" i="1"/>
  <c r="B421" i="1"/>
  <c r="D421" i="1"/>
  <c r="G421" i="1"/>
  <c r="F421" i="1"/>
  <c r="E421" i="1"/>
  <c r="C93" i="1"/>
  <c r="F93" i="1"/>
  <c r="E93" i="1"/>
  <c r="B93" i="1"/>
  <c r="H93" i="1"/>
  <c r="G93" i="1"/>
  <c r="D93" i="1"/>
  <c r="A93" i="1"/>
  <c r="B302" i="1"/>
  <c r="H302" i="1"/>
  <c r="G302" i="1"/>
  <c r="E302" i="1"/>
  <c r="F302" i="1"/>
  <c r="D302" i="1"/>
  <c r="C302" i="1"/>
  <c r="A302" i="1"/>
  <c r="E203" i="1"/>
  <c r="C203" i="1"/>
  <c r="B203" i="1"/>
  <c r="H203" i="1"/>
  <c r="G203" i="1"/>
  <c r="F203" i="1"/>
  <c r="D203" i="1"/>
  <c r="A203" i="1"/>
  <c r="H485" i="1"/>
  <c r="A485" i="1"/>
  <c r="B485" i="1"/>
  <c r="E485" i="1"/>
  <c r="D485" i="1"/>
  <c r="G485" i="1"/>
  <c r="F485" i="1"/>
  <c r="C485" i="1"/>
  <c r="D84" i="1"/>
  <c r="E84" i="1"/>
  <c r="C84" i="1"/>
  <c r="H84" i="1"/>
  <c r="G84" i="1"/>
  <c r="F84" i="1"/>
  <c r="B84" i="1"/>
  <c r="A84" i="1"/>
  <c r="E299" i="1"/>
  <c r="H299" i="1"/>
  <c r="G299" i="1"/>
  <c r="B299" i="1"/>
  <c r="D299" i="1"/>
  <c r="F299" i="1"/>
  <c r="C299" i="1"/>
  <c r="A299" i="1"/>
  <c r="C405" i="1"/>
  <c r="E405" i="1"/>
  <c r="D405" i="1"/>
  <c r="H405" i="1"/>
  <c r="G405" i="1"/>
  <c r="F405" i="1"/>
  <c r="B405" i="1"/>
  <c r="A405" i="1"/>
  <c r="H517" i="1"/>
  <c r="E517" i="1"/>
  <c r="F517" i="1"/>
  <c r="D517" i="1"/>
  <c r="B517" i="1"/>
  <c r="A517" i="1"/>
  <c r="G517" i="1"/>
  <c r="C517" i="1"/>
  <c r="E488" i="1"/>
  <c r="A488" i="1"/>
  <c r="F488" i="1"/>
  <c r="D488" i="1"/>
  <c r="H488" i="1"/>
  <c r="G488" i="1"/>
  <c r="C488" i="1"/>
  <c r="B488" i="1"/>
  <c r="H152" i="1"/>
  <c r="E152" i="1"/>
  <c r="D152" i="1"/>
  <c r="G152" i="1"/>
  <c r="F152" i="1"/>
  <c r="C152" i="1"/>
  <c r="B152" i="1"/>
  <c r="A152" i="1"/>
  <c r="E347" i="1"/>
  <c r="F347" i="1"/>
  <c r="D347" i="1"/>
  <c r="C347" i="1"/>
  <c r="G347" i="1"/>
  <c r="B347" i="1"/>
  <c r="A347" i="1"/>
  <c r="H347" i="1"/>
  <c r="B36" i="1"/>
  <c r="A36" i="1"/>
  <c r="G36" i="1"/>
  <c r="H36" i="1"/>
  <c r="F36" i="1"/>
  <c r="E36" i="1"/>
  <c r="D36" i="1"/>
  <c r="C36" i="1"/>
  <c r="C189" i="1"/>
  <c r="A189" i="1"/>
  <c r="E189" i="1"/>
  <c r="H189" i="1"/>
  <c r="G189" i="1"/>
  <c r="F189" i="1"/>
  <c r="D189" i="1"/>
  <c r="B189" i="1"/>
  <c r="H376" i="1"/>
  <c r="A376" i="1"/>
  <c r="D376" i="1"/>
  <c r="G376" i="1"/>
  <c r="F376" i="1"/>
  <c r="E376" i="1"/>
  <c r="C376" i="1"/>
  <c r="B376" i="1"/>
  <c r="D513" i="1"/>
  <c r="E513" i="1"/>
  <c r="H513" i="1"/>
  <c r="G513" i="1"/>
  <c r="F513" i="1"/>
  <c r="C513" i="1"/>
  <c r="B513" i="1"/>
  <c r="A513" i="1"/>
  <c r="F178" i="1"/>
  <c r="H178" i="1"/>
  <c r="E178" i="1"/>
  <c r="A178" i="1"/>
  <c r="G178" i="1"/>
  <c r="D178" i="1"/>
  <c r="C178" i="1"/>
  <c r="B178" i="1"/>
  <c r="D308" i="1"/>
  <c r="H308" i="1"/>
  <c r="F308" i="1"/>
  <c r="G308" i="1"/>
  <c r="E308" i="1"/>
  <c r="C308" i="1"/>
  <c r="B308" i="1"/>
  <c r="A308" i="1"/>
  <c r="H461" i="1"/>
  <c r="F461" i="1"/>
  <c r="G461" i="1"/>
  <c r="D461" i="1"/>
  <c r="E461" i="1"/>
  <c r="C461" i="1"/>
  <c r="B461" i="1"/>
  <c r="A461" i="1"/>
  <c r="A159" i="1"/>
  <c r="F159" i="1"/>
  <c r="E159" i="1"/>
  <c r="G159" i="1"/>
  <c r="C159" i="1"/>
  <c r="B159" i="1"/>
  <c r="H159" i="1"/>
  <c r="D159" i="1"/>
  <c r="A428" i="1"/>
  <c r="B428" i="1"/>
  <c r="C428" i="1"/>
  <c r="H428" i="1"/>
  <c r="G428" i="1"/>
  <c r="F428" i="1"/>
  <c r="E428" i="1"/>
  <c r="D428" i="1"/>
  <c r="C59" i="1"/>
  <c r="B59" i="1"/>
  <c r="D59" i="1"/>
  <c r="H59" i="1"/>
  <c r="G59" i="1"/>
  <c r="F59" i="1"/>
  <c r="E59" i="1"/>
  <c r="A59" i="1"/>
  <c r="D260" i="1"/>
  <c r="B260" i="1"/>
  <c r="A260" i="1"/>
  <c r="G260" i="1"/>
  <c r="H260" i="1"/>
  <c r="F260" i="1"/>
  <c r="E260" i="1"/>
  <c r="C260" i="1"/>
  <c r="B86" i="1"/>
  <c r="E86" i="1"/>
  <c r="D86" i="1"/>
  <c r="F86" i="1"/>
  <c r="G86" i="1"/>
  <c r="C86" i="1"/>
  <c r="A86" i="1"/>
  <c r="H86" i="1"/>
  <c r="H296" i="1"/>
  <c r="G296" i="1"/>
  <c r="F296" i="1"/>
  <c r="D296" i="1"/>
  <c r="C296" i="1"/>
  <c r="B296" i="1"/>
  <c r="A296" i="1"/>
  <c r="E296" i="1"/>
  <c r="G105" i="1"/>
  <c r="H105" i="1"/>
  <c r="F105" i="1"/>
  <c r="D105" i="1"/>
  <c r="B105" i="1"/>
  <c r="A105" i="1"/>
  <c r="E105" i="1"/>
  <c r="C105" i="1"/>
  <c r="G289" i="1"/>
  <c r="F289" i="1"/>
  <c r="E289" i="1"/>
  <c r="H289" i="1"/>
  <c r="B289" i="1"/>
  <c r="A289" i="1"/>
  <c r="D289" i="1"/>
  <c r="C289" i="1"/>
  <c r="D42" i="1"/>
  <c r="C42" i="1"/>
  <c r="G42" i="1"/>
  <c r="B42" i="1"/>
  <c r="A42" i="1"/>
  <c r="H42" i="1"/>
  <c r="F42" i="1"/>
  <c r="E42" i="1"/>
  <c r="B326" i="1"/>
  <c r="C326" i="1"/>
  <c r="A326" i="1"/>
  <c r="D326" i="1"/>
  <c r="E326" i="1"/>
  <c r="H326" i="1"/>
  <c r="G326" i="1"/>
  <c r="F326" i="1"/>
  <c r="D34" i="1"/>
  <c r="C34" i="1"/>
  <c r="E34" i="1"/>
  <c r="A34" i="1"/>
  <c r="H34" i="1"/>
  <c r="G34" i="1"/>
  <c r="F34" i="1"/>
  <c r="B34" i="1"/>
  <c r="D212" i="1"/>
  <c r="E212" i="1"/>
  <c r="C212" i="1"/>
  <c r="F212" i="1"/>
  <c r="H212" i="1"/>
  <c r="G212" i="1"/>
  <c r="B212" i="1"/>
  <c r="A212" i="1"/>
  <c r="B435" i="1"/>
  <c r="C435" i="1"/>
  <c r="A435" i="1"/>
  <c r="D435" i="1"/>
  <c r="H435" i="1"/>
  <c r="G435" i="1"/>
  <c r="F435" i="1"/>
  <c r="E435" i="1"/>
  <c r="E195" i="1"/>
  <c r="B195" i="1"/>
  <c r="A195" i="1"/>
  <c r="H195" i="1"/>
  <c r="G195" i="1"/>
  <c r="F195" i="1"/>
  <c r="D195" i="1"/>
  <c r="C195" i="1"/>
  <c r="G73" i="1"/>
  <c r="C73" i="1"/>
  <c r="B73" i="1"/>
  <c r="H73" i="1"/>
  <c r="F73" i="1"/>
  <c r="E73" i="1"/>
  <c r="D73" i="1"/>
  <c r="A73" i="1"/>
  <c r="B350" i="1"/>
  <c r="F350" i="1"/>
  <c r="E350" i="1"/>
  <c r="G350" i="1"/>
  <c r="D350" i="1"/>
  <c r="H350" i="1"/>
  <c r="C350" i="1"/>
  <c r="A350" i="1"/>
  <c r="C109" i="1"/>
  <c r="H109" i="1"/>
  <c r="G109" i="1"/>
  <c r="E109" i="1"/>
  <c r="F109" i="1"/>
  <c r="D109" i="1"/>
  <c r="B109" i="1"/>
  <c r="A109" i="1"/>
  <c r="H320" i="1"/>
  <c r="B320" i="1"/>
  <c r="A320" i="1"/>
  <c r="G320" i="1"/>
  <c r="F320" i="1"/>
  <c r="E320" i="1"/>
  <c r="D320" i="1"/>
  <c r="C320" i="1"/>
  <c r="E456" i="1"/>
  <c r="F456" i="1"/>
  <c r="A456" i="1"/>
  <c r="H456" i="1"/>
  <c r="G456" i="1"/>
  <c r="D456" i="1"/>
  <c r="C456" i="1"/>
  <c r="B456" i="1"/>
  <c r="D396" i="1"/>
  <c r="C396" i="1"/>
  <c r="B396" i="1"/>
  <c r="G396" i="1"/>
  <c r="H396" i="1"/>
  <c r="A396" i="1"/>
  <c r="F396" i="1"/>
  <c r="E396" i="1"/>
  <c r="H72" i="1"/>
  <c r="C72" i="1"/>
  <c r="B72" i="1"/>
  <c r="F72" i="1"/>
  <c r="E72" i="1"/>
  <c r="D72" i="1"/>
  <c r="A72" i="1"/>
  <c r="G72" i="1"/>
  <c r="E267" i="1"/>
  <c r="C267" i="1"/>
  <c r="B267" i="1"/>
  <c r="H267" i="1"/>
  <c r="G267" i="1"/>
  <c r="F267" i="1"/>
  <c r="D267" i="1"/>
  <c r="A267" i="1"/>
  <c r="B459" i="1"/>
  <c r="F459" i="1"/>
  <c r="E459" i="1"/>
  <c r="D459" i="1"/>
  <c r="H459" i="1"/>
  <c r="G459" i="1"/>
  <c r="C459" i="1"/>
  <c r="A459" i="1"/>
  <c r="C125" i="1"/>
  <c r="A125" i="1"/>
  <c r="G125" i="1"/>
  <c r="D125" i="1"/>
  <c r="B125" i="1"/>
  <c r="H125" i="1"/>
  <c r="F125" i="1"/>
  <c r="E125" i="1"/>
  <c r="B190" i="1"/>
  <c r="A190" i="1"/>
  <c r="G190" i="1"/>
  <c r="D190" i="1"/>
  <c r="C190" i="1"/>
  <c r="H190" i="1"/>
  <c r="F190" i="1"/>
  <c r="E190" i="1"/>
  <c r="G377" i="1"/>
  <c r="A377" i="1"/>
  <c r="F377" i="1"/>
  <c r="E377" i="1"/>
  <c r="D377" i="1"/>
  <c r="C377" i="1"/>
  <c r="B377" i="1"/>
  <c r="H377" i="1"/>
  <c r="D441" i="1"/>
  <c r="C441" i="1"/>
  <c r="E441" i="1"/>
  <c r="B441" i="1"/>
  <c r="A441" i="1"/>
  <c r="G441" i="1"/>
  <c r="F441" i="1"/>
  <c r="H441" i="1"/>
  <c r="A21" i="1"/>
  <c r="H21" i="1"/>
  <c r="D21" i="1"/>
  <c r="G21" i="1"/>
  <c r="F21" i="1"/>
  <c r="E21" i="1"/>
  <c r="C21" i="1"/>
  <c r="B21" i="1"/>
  <c r="F114" i="1"/>
  <c r="H114" i="1"/>
  <c r="D114" i="1"/>
  <c r="C114" i="1"/>
  <c r="B114" i="1"/>
  <c r="A114" i="1"/>
  <c r="G114" i="1"/>
  <c r="E114" i="1"/>
  <c r="E179" i="1"/>
  <c r="H179" i="1"/>
  <c r="D179" i="1"/>
  <c r="C179" i="1"/>
  <c r="B179" i="1"/>
  <c r="A179" i="1"/>
  <c r="G179" i="1"/>
  <c r="F179" i="1"/>
  <c r="D244" i="1"/>
  <c r="H244" i="1"/>
  <c r="G244" i="1"/>
  <c r="F244" i="1"/>
  <c r="E244" i="1"/>
  <c r="C244" i="1"/>
  <c r="B244" i="1"/>
  <c r="A244" i="1"/>
  <c r="C309" i="1"/>
  <c r="H309" i="1"/>
  <c r="G309" i="1"/>
  <c r="F309" i="1"/>
  <c r="E309" i="1"/>
  <c r="D309" i="1"/>
  <c r="B309" i="1"/>
  <c r="A309" i="1"/>
  <c r="B374" i="1"/>
  <c r="H374" i="1"/>
  <c r="C374" i="1"/>
  <c r="A374" i="1"/>
  <c r="G374" i="1"/>
  <c r="F374" i="1"/>
  <c r="E374" i="1"/>
  <c r="D374" i="1"/>
  <c r="B491" i="1"/>
  <c r="A491" i="1"/>
  <c r="H491" i="1"/>
  <c r="D491" i="1"/>
  <c r="C491" i="1"/>
  <c r="G491" i="1"/>
  <c r="F491" i="1"/>
  <c r="E491" i="1"/>
  <c r="A103" i="1"/>
  <c r="G103" i="1"/>
  <c r="F103" i="1"/>
  <c r="E103" i="1"/>
  <c r="D103" i="1"/>
  <c r="C103" i="1"/>
  <c r="B103" i="1"/>
  <c r="H103" i="1"/>
  <c r="A167" i="1"/>
  <c r="G167" i="1"/>
  <c r="F167" i="1"/>
  <c r="H167" i="1"/>
  <c r="B167" i="1"/>
  <c r="E167" i="1"/>
  <c r="D167" i="1"/>
  <c r="C167" i="1"/>
  <c r="A231" i="1"/>
  <c r="G231" i="1"/>
  <c r="F231" i="1"/>
  <c r="D231" i="1"/>
  <c r="H231" i="1"/>
  <c r="E231" i="1"/>
  <c r="C231" i="1"/>
  <c r="B231" i="1"/>
  <c r="A295" i="1"/>
  <c r="G295" i="1"/>
  <c r="F295" i="1"/>
  <c r="B295" i="1"/>
  <c r="H295" i="1"/>
  <c r="E295" i="1"/>
  <c r="D295" i="1"/>
  <c r="C295" i="1"/>
  <c r="A359" i="1"/>
  <c r="G359" i="1"/>
  <c r="F359" i="1"/>
  <c r="H359" i="1"/>
  <c r="E359" i="1"/>
  <c r="D359" i="1"/>
  <c r="C359" i="1"/>
  <c r="B359" i="1"/>
  <c r="G414" i="1"/>
  <c r="C414" i="1"/>
  <c r="B414" i="1"/>
  <c r="F414" i="1"/>
  <c r="E414" i="1"/>
  <c r="H414" i="1"/>
  <c r="D414" i="1"/>
  <c r="A414" i="1"/>
  <c r="F479" i="1"/>
  <c r="C479" i="1"/>
  <c r="B479" i="1"/>
  <c r="H479" i="1"/>
  <c r="D479" i="1"/>
  <c r="A479" i="1"/>
  <c r="G479" i="1"/>
  <c r="E479" i="1"/>
  <c r="A436" i="1"/>
  <c r="C436" i="1"/>
  <c r="D436" i="1"/>
  <c r="B436" i="1"/>
  <c r="G436" i="1"/>
  <c r="H436" i="1"/>
  <c r="F436" i="1"/>
  <c r="E436" i="1"/>
  <c r="C157" i="1"/>
  <c r="F157" i="1"/>
  <c r="E157" i="1"/>
  <c r="H157" i="1"/>
  <c r="G157" i="1"/>
  <c r="D157" i="1"/>
  <c r="B157" i="1"/>
  <c r="A157" i="1"/>
  <c r="G97" i="1"/>
  <c r="F97" i="1"/>
  <c r="E97" i="1"/>
  <c r="C97" i="1"/>
  <c r="D97" i="1"/>
  <c r="B97" i="1"/>
  <c r="A97" i="1"/>
  <c r="H97" i="1"/>
  <c r="D324" i="1"/>
  <c r="B324" i="1"/>
  <c r="A324" i="1"/>
  <c r="H324" i="1"/>
  <c r="C324" i="1"/>
  <c r="F324" i="1"/>
  <c r="E324" i="1"/>
  <c r="G324" i="1"/>
  <c r="D196" i="1"/>
  <c r="B196" i="1"/>
  <c r="A196" i="1"/>
  <c r="C196" i="1"/>
  <c r="F196" i="1"/>
  <c r="E196" i="1"/>
  <c r="H196" i="1"/>
  <c r="G196" i="1"/>
  <c r="G430" i="1"/>
  <c r="B430" i="1"/>
  <c r="E430" i="1"/>
  <c r="D430" i="1"/>
  <c r="F430" i="1"/>
  <c r="H430" i="1"/>
  <c r="C430" i="1"/>
  <c r="A430" i="1"/>
  <c r="E65" i="1"/>
  <c r="D65" i="1"/>
  <c r="B65" i="1"/>
  <c r="C65" i="1"/>
  <c r="A65" i="1"/>
  <c r="H65" i="1"/>
  <c r="G65" i="1"/>
  <c r="F65" i="1"/>
  <c r="G153" i="1"/>
  <c r="E153" i="1"/>
  <c r="D153" i="1"/>
  <c r="B153" i="1"/>
  <c r="A153" i="1"/>
  <c r="H153" i="1"/>
  <c r="F153" i="1"/>
  <c r="C153" i="1"/>
  <c r="H344" i="1"/>
  <c r="E344" i="1"/>
  <c r="D344" i="1"/>
  <c r="C344" i="1"/>
  <c r="A344" i="1"/>
  <c r="G344" i="1"/>
  <c r="F344" i="1"/>
  <c r="B344" i="1"/>
  <c r="G470" i="1"/>
  <c r="H470" i="1"/>
  <c r="A470" i="1"/>
  <c r="F470" i="1"/>
  <c r="B470" i="1"/>
  <c r="E470" i="1"/>
  <c r="D470" i="1"/>
  <c r="C470" i="1"/>
  <c r="E49" i="1"/>
  <c r="D49" i="1"/>
  <c r="H49" i="1"/>
  <c r="A49" i="1"/>
  <c r="G49" i="1"/>
  <c r="F49" i="1"/>
  <c r="C49" i="1"/>
  <c r="B49" i="1"/>
  <c r="H144" i="1"/>
  <c r="D144" i="1"/>
  <c r="C144" i="1"/>
  <c r="G144" i="1"/>
  <c r="F144" i="1"/>
  <c r="E144" i="1"/>
  <c r="B144" i="1"/>
  <c r="A144" i="1"/>
  <c r="F226" i="1"/>
  <c r="G226" i="1"/>
  <c r="E226" i="1"/>
  <c r="A226" i="1"/>
  <c r="H226" i="1"/>
  <c r="D226" i="1"/>
  <c r="C226" i="1"/>
  <c r="B226" i="1"/>
  <c r="G321" i="1"/>
  <c r="B321" i="1"/>
  <c r="A321" i="1"/>
  <c r="C321" i="1"/>
  <c r="H321" i="1"/>
  <c r="F321" i="1"/>
  <c r="E321" i="1"/>
  <c r="D321" i="1"/>
  <c r="F487" i="1"/>
  <c r="A487" i="1"/>
  <c r="D487" i="1"/>
  <c r="C487" i="1"/>
  <c r="H487" i="1"/>
  <c r="B487" i="1"/>
  <c r="G487" i="1"/>
  <c r="E487" i="1"/>
  <c r="E107" i="1"/>
  <c r="H107" i="1"/>
  <c r="G107" i="1"/>
  <c r="F107" i="1"/>
  <c r="D107" i="1"/>
  <c r="C107" i="1"/>
  <c r="B107" i="1"/>
  <c r="A107" i="1"/>
  <c r="D220" i="1"/>
  <c r="F220" i="1"/>
  <c r="E220" i="1"/>
  <c r="G220" i="1"/>
  <c r="H220" i="1"/>
  <c r="C220" i="1"/>
  <c r="B220" i="1"/>
  <c r="A220" i="1"/>
  <c r="E355" i="1"/>
  <c r="G355" i="1"/>
  <c r="F355" i="1"/>
  <c r="B355" i="1"/>
  <c r="H355" i="1"/>
  <c r="D355" i="1"/>
  <c r="C355" i="1"/>
  <c r="A355" i="1"/>
  <c r="F98" i="1"/>
  <c r="G98" i="1"/>
  <c r="E98" i="1"/>
  <c r="H98" i="1"/>
  <c r="D98" i="1"/>
  <c r="C98" i="1"/>
  <c r="B98" i="1"/>
  <c r="A98" i="1"/>
  <c r="H256" i="1"/>
  <c r="B256" i="1"/>
  <c r="A256" i="1"/>
  <c r="C256" i="1"/>
  <c r="G256" i="1"/>
  <c r="F256" i="1"/>
  <c r="E256" i="1"/>
  <c r="D256" i="1"/>
  <c r="C357" i="1"/>
  <c r="G357" i="1"/>
  <c r="F357" i="1"/>
  <c r="D357" i="1"/>
  <c r="H357" i="1"/>
  <c r="E357" i="1"/>
  <c r="B357" i="1"/>
  <c r="A357" i="1"/>
  <c r="F40" i="1"/>
  <c r="E40" i="1"/>
  <c r="C40" i="1"/>
  <c r="H40" i="1"/>
  <c r="G40" i="1"/>
  <c r="D40" i="1"/>
  <c r="B40" i="1"/>
  <c r="A40" i="1"/>
  <c r="G129" i="1"/>
  <c r="B129" i="1"/>
  <c r="A129" i="1"/>
  <c r="H129" i="1"/>
  <c r="F129" i="1"/>
  <c r="E129" i="1"/>
  <c r="D129" i="1"/>
  <c r="C129" i="1"/>
  <c r="H208" i="1"/>
  <c r="D208" i="1"/>
  <c r="C208" i="1"/>
  <c r="E208" i="1"/>
  <c r="G208" i="1"/>
  <c r="F208" i="1"/>
  <c r="B208" i="1"/>
  <c r="A208" i="1"/>
  <c r="H336" i="1"/>
  <c r="D336" i="1"/>
  <c r="C336" i="1"/>
  <c r="F336" i="1"/>
  <c r="G336" i="1"/>
  <c r="E336" i="1"/>
  <c r="B336" i="1"/>
  <c r="A336" i="1"/>
  <c r="C450" i="1"/>
  <c r="E450" i="1"/>
  <c r="B450" i="1"/>
  <c r="A450" i="1"/>
  <c r="G450" i="1"/>
  <c r="H450" i="1"/>
  <c r="F450" i="1"/>
  <c r="D450" i="1"/>
  <c r="F463" i="1"/>
  <c r="G463" i="1"/>
  <c r="A463" i="1"/>
  <c r="B463" i="1"/>
  <c r="H463" i="1"/>
  <c r="E463" i="1"/>
  <c r="D463" i="1"/>
  <c r="C463" i="1"/>
  <c r="C269" i="1"/>
  <c r="D269" i="1"/>
  <c r="B269" i="1"/>
  <c r="E269" i="1"/>
  <c r="G269" i="1"/>
  <c r="F269" i="1"/>
  <c r="A269" i="1"/>
  <c r="H269" i="1"/>
  <c r="C442" i="1"/>
  <c r="D442" i="1"/>
  <c r="A442" i="1"/>
  <c r="H442" i="1"/>
  <c r="G442" i="1"/>
  <c r="F442" i="1"/>
  <c r="E442" i="1"/>
  <c r="B442" i="1"/>
  <c r="B515" i="1"/>
  <c r="E515" i="1"/>
  <c r="C515" i="1"/>
  <c r="A515" i="1"/>
  <c r="G515" i="1"/>
  <c r="F515" i="1"/>
  <c r="H515" i="1"/>
  <c r="D515" i="1"/>
  <c r="D76" i="1"/>
  <c r="C76" i="1"/>
  <c r="B76" i="1"/>
  <c r="H76" i="1"/>
  <c r="G76" i="1"/>
  <c r="F76" i="1"/>
  <c r="E76" i="1"/>
  <c r="A76" i="1"/>
  <c r="E171" i="1"/>
  <c r="H171" i="1"/>
  <c r="G171" i="1"/>
  <c r="F171" i="1"/>
  <c r="D171" i="1"/>
  <c r="C171" i="1"/>
  <c r="B171" i="1"/>
  <c r="A171" i="1"/>
  <c r="F282" i="1"/>
  <c r="E282" i="1"/>
  <c r="D282" i="1"/>
  <c r="C282" i="1"/>
  <c r="A282" i="1"/>
  <c r="H282" i="1"/>
  <c r="G282" i="1"/>
  <c r="B282" i="1"/>
  <c r="B366" i="1"/>
  <c r="H366" i="1"/>
  <c r="G366" i="1"/>
  <c r="A366" i="1"/>
  <c r="F366" i="1"/>
  <c r="E366" i="1"/>
  <c r="D366" i="1"/>
  <c r="C366" i="1"/>
  <c r="D473" i="1"/>
  <c r="H473" i="1"/>
  <c r="E473" i="1"/>
  <c r="C473" i="1"/>
  <c r="A473" i="1"/>
  <c r="G473" i="1"/>
  <c r="F473" i="1"/>
  <c r="B473" i="1"/>
  <c r="B52" i="1"/>
  <c r="A52" i="1"/>
  <c r="C52" i="1"/>
  <c r="H52" i="1"/>
  <c r="G52" i="1"/>
  <c r="F52" i="1"/>
  <c r="E52" i="1"/>
  <c r="D52" i="1"/>
  <c r="B126" i="1"/>
  <c r="A126" i="1"/>
  <c r="G126" i="1"/>
  <c r="F126" i="1"/>
  <c r="E126" i="1"/>
  <c r="D126" i="1"/>
  <c r="C126" i="1"/>
  <c r="H126" i="1"/>
  <c r="H248" i="1"/>
  <c r="A248" i="1"/>
  <c r="D248" i="1"/>
  <c r="E248" i="1"/>
  <c r="C248" i="1"/>
  <c r="B248" i="1"/>
  <c r="G248" i="1"/>
  <c r="F248" i="1"/>
  <c r="G313" i="1"/>
  <c r="A313" i="1"/>
  <c r="D313" i="1"/>
  <c r="H313" i="1"/>
  <c r="F313" i="1"/>
  <c r="E313" i="1"/>
  <c r="C313" i="1"/>
  <c r="B313" i="1"/>
  <c r="F378" i="1"/>
  <c r="A378" i="1"/>
  <c r="D378" i="1"/>
  <c r="C378" i="1"/>
  <c r="H378" i="1"/>
  <c r="G378" i="1"/>
  <c r="E378" i="1"/>
  <c r="B378" i="1"/>
  <c r="E448" i="1"/>
  <c r="D448" i="1"/>
  <c r="C448" i="1"/>
  <c r="B448" i="1"/>
  <c r="G448" i="1"/>
  <c r="F448" i="1"/>
  <c r="A448" i="1"/>
  <c r="H448" i="1"/>
  <c r="A29" i="1"/>
  <c r="H29" i="1"/>
  <c r="F29" i="1"/>
  <c r="G29" i="1"/>
  <c r="E29" i="1"/>
  <c r="D29" i="1"/>
  <c r="C29" i="1"/>
  <c r="B29" i="1"/>
  <c r="E115" i="1"/>
  <c r="H115" i="1"/>
  <c r="A115" i="1"/>
  <c r="G115" i="1"/>
  <c r="F115" i="1"/>
  <c r="D115" i="1"/>
  <c r="C115" i="1"/>
  <c r="B115" i="1"/>
  <c r="D180" i="1"/>
  <c r="H180" i="1"/>
  <c r="A180" i="1"/>
  <c r="G180" i="1"/>
  <c r="F180" i="1"/>
  <c r="E180" i="1"/>
  <c r="C180" i="1"/>
  <c r="B180" i="1"/>
  <c r="C245" i="1"/>
  <c r="H245" i="1"/>
  <c r="A245" i="1"/>
  <c r="D245" i="1"/>
  <c r="G245" i="1"/>
  <c r="F245" i="1"/>
  <c r="E245" i="1"/>
  <c r="B245" i="1"/>
  <c r="B310" i="1"/>
  <c r="H310" i="1"/>
  <c r="A310" i="1"/>
  <c r="D310" i="1"/>
  <c r="E310" i="1"/>
  <c r="C310" i="1"/>
  <c r="G310" i="1"/>
  <c r="F310" i="1"/>
  <c r="B411" i="1"/>
  <c r="H411" i="1"/>
  <c r="G411" i="1"/>
  <c r="C411" i="1"/>
  <c r="A411" i="1"/>
  <c r="F411" i="1"/>
  <c r="E411" i="1"/>
  <c r="D411" i="1"/>
  <c r="C498" i="1"/>
  <c r="B498" i="1"/>
  <c r="H498" i="1"/>
  <c r="F498" i="1"/>
  <c r="D498" i="1"/>
  <c r="A498" i="1"/>
  <c r="G498" i="1"/>
  <c r="E498" i="1"/>
  <c r="A111" i="1"/>
  <c r="H111" i="1"/>
  <c r="G111" i="1"/>
  <c r="D111" i="1"/>
  <c r="C111" i="1"/>
  <c r="B111" i="1"/>
  <c r="F111" i="1"/>
  <c r="E111" i="1"/>
  <c r="A175" i="1"/>
  <c r="H175" i="1"/>
  <c r="G175" i="1"/>
  <c r="F175" i="1"/>
  <c r="E175" i="1"/>
  <c r="D175" i="1"/>
  <c r="C175" i="1"/>
  <c r="B175" i="1"/>
  <c r="A239" i="1"/>
  <c r="H239" i="1"/>
  <c r="G239" i="1"/>
  <c r="E239" i="1"/>
  <c r="F239" i="1"/>
  <c r="D239" i="1"/>
  <c r="C239" i="1"/>
  <c r="B239" i="1"/>
  <c r="A303" i="1"/>
  <c r="H303" i="1"/>
  <c r="G303" i="1"/>
  <c r="C303" i="1"/>
  <c r="D303" i="1"/>
  <c r="B303" i="1"/>
  <c r="F303" i="1"/>
  <c r="E303" i="1"/>
  <c r="A367" i="1"/>
  <c r="H367" i="1"/>
  <c r="G367" i="1"/>
  <c r="E367" i="1"/>
  <c r="B367" i="1"/>
  <c r="F367" i="1"/>
  <c r="D367" i="1"/>
  <c r="C367" i="1"/>
  <c r="F415" i="1"/>
  <c r="D415" i="1"/>
  <c r="C415" i="1"/>
  <c r="A415" i="1"/>
  <c r="G415" i="1"/>
  <c r="E415" i="1"/>
  <c r="B415" i="1"/>
  <c r="H415" i="1"/>
  <c r="E480" i="1"/>
  <c r="D480" i="1"/>
  <c r="C480" i="1"/>
  <c r="A480" i="1"/>
  <c r="B480" i="1"/>
  <c r="H480" i="1"/>
  <c r="G480" i="1"/>
  <c r="F480" i="1"/>
  <c r="A444" i="1"/>
  <c r="D444" i="1"/>
  <c r="E444" i="1"/>
  <c r="C444" i="1"/>
  <c r="F444" i="1"/>
  <c r="H444" i="1"/>
  <c r="G444" i="1"/>
  <c r="B444" i="1"/>
  <c r="A508" i="1"/>
  <c r="D508" i="1"/>
  <c r="C508" i="1"/>
  <c r="B508" i="1"/>
  <c r="F508" i="1"/>
  <c r="E508" i="1"/>
  <c r="H508" i="1"/>
  <c r="G508" i="1"/>
  <c r="C205" i="1"/>
  <c r="D205" i="1"/>
  <c r="B205" i="1"/>
  <c r="G205" i="1"/>
  <c r="H205" i="1"/>
  <c r="F205" i="1"/>
  <c r="E205" i="1"/>
  <c r="A205" i="1"/>
  <c r="B443" i="1"/>
  <c r="D443" i="1"/>
  <c r="C443" i="1"/>
  <c r="A443" i="1"/>
  <c r="H443" i="1"/>
  <c r="G443" i="1"/>
  <c r="F443" i="1"/>
  <c r="E443" i="1"/>
  <c r="H224" i="1"/>
  <c r="F224" i="1"/>
  <c r="E224" i="1"/>
  <c r="G224" i="1"/>
  <c r="C224" i="1"/>
  <c r="B224" i="1"/>
  <c r="A224" i="1"/>
  <c r="D224" i="1"/>
  <c r="H46" i="1"/>
  <c r="G46" i="1"/>
  <c r="C46" i="1"/>
  <c r="D46" i="1"/>
  <c r="B46" i="1"/>
  <c r="A46" i="1"/>
  <c r="F46" i="1"/>
  <c r="E46" i="1"/>
  <c r="E235" i="1"/>
  <c r="H235" i="1"/>
  <c r="G235" i="1"/>
  <c r="D235" i="1"/>
  <c r="B235" i="1"/>
  <c r="A235" i="1"/>
  <c r="F235" i="1"/>
  <c r="C235" i="1"/>
  <c r="B451" i="1"/>
  <c r="E451" i="1"/>
  <c r="D451" i="1"/>
  <c r="C451" i="1"/>
  <c r="H451" i="1"/>
  <c r="G451" i="1"/>
  <c r="F451" i="1"/>
  <c r="A451" i="1"/>
  <c r="D204" i="1"/>
  <c r="C204" i="1"/>
  <c r="B204" i="1"/>
  <c r="E204" i="1"/>
  <c r="A204" i="1"/>
  <c r="H204" i="1"/>
  <c r="G204" i="1"/>
  <c r="F204" i="1"/>
  <c r="D489" i="1"/>
  <c r="A489" i="1"/>
  <c r="G489" i="1"/>
  <c r="F489" i="1"/>
  <c r="C489" i="1"/>
  <c r="H489" i="1"/>
  <c r="E489" i="1"/>
  <c r="B489" i="1"/>
  <c r="B150" i="1"/>
  <c r="E150" i="1"/>
  <c r="D150" i="1"/>
  <c r="A150" i="1"/>
  <c r="H150" i="1"/>
  <c r="G150" i="1"/>
  <c r="F150" i="1"/>
  <c r="C150" i="1"/>
  <c r="G337" i="1"/>
  <c r="D337" i="1"/>
  <c r="C337" i="1"/>
  <c r="A337" i="1"/>
  <c r="H337" i="1"/>
  <c r="F337" i="1"/>
  <c r="E337" i="1"/>
  <c r="B337" i="1"/>
  <c r="E155" i="1"/>
  <c r="F155" i="1"/>
  <c r="D155" i="1"/>
  <c r="G155" i="1"/>
  <c r="H155" i="1"/>
  <c r="C155" i="1"/>
  <c r="B155" i="1"/>
  <c r="A155" i="1"/>
  <c r="C237" i="1"/>
  <c r="H237" i="1"/>
  <c r="G237" i="1"/>
  <c r="F237" i="1"/>
  <c r="E237" i="1"/>
  <c r="D237" i="1"/>
  <c r="B237" i="1"/>
  <c r="A237" i="1"/>
  <c r="F138" i="1"/>
  <c r="C138" i="1"/>
  <c r="B138" i="1"/>
  <c r="H138" i="1"/>
  <c r="G138" i="1"/>
  <c r="E138" i="1"/>
  <c r="D138" i="1"/>
  <c r="A138" i="1"/>
  <c r="G438" i="1"/>
  <c r="C438" i="1"/>
  <c r="F438" i="1"/>
  <c r="E438" i="1"/>
  <c r="B438" i="1"/>
  <c r="H438" i="1"/>
  <c r="D438" i="1"/>
  <c r="A438" i="1"/>
  <c r="F146" i="1"/>
  <c r="D146" i="1"/>
  <c r="C146" i="1"/>
  <c r="A146" i="1"/>
  <c r="H146" i="1"/>
  <c r="G146" i="1"/>
  <c r="E146" i="1"/>
  <c r="B146" i="1"/>
  <c r="G361" i="1"/>
  <c r="H361" i="1"/>
  <c r="F361" i="1"/>
  <c r="D361" i="1"/>
  <c r="C361" i="1"/>
  <c r="E361" i="1"/>
  <c r="B361" i="1"/>
  <c r="A361" i="1"/>
  <c r="H509" i="1"/>
  <c r="D509" i="1"/>
  <c r="E509" i="1"/>
  <c r="C509" i="1"/>
  <c r="F509" i="1"/>
  <c r="G509" i="1"/>
  <c r="B509" i="1"/>
  <c r="A509" i="1"/>
  <c r="E283" i="1"/>
  <c r="F283" i="1"/>
  <c r="D283" i="1"/>
  <c r="H283" i="1"/>
  <c r="G283" i="1"/>
  <c r="C283" i="1"/>
  <c r="B283" i="1"/>
  <c r="A283" i="1"/>
  <c r="F24" i="1"/>
  <c r="E24" i="1"/>
  <c r="G24" i="1"/>
  <c r="D24" i="1"/>
  <c r="C24" i="1"/>
  <c r="B24" i="1"/>
  <c r="A24" i="1"/>
  <c r="H24" i="1"/>
  <c r="B206" i="1"/>
  <c r="D206" i="1"/>
  <c r="C206" i="1"/>
  <c r="H206" i="1"/>
  <c r="G206" i="1"/>
  <c r="F206" i="1"/>
  <c r="E206" i="1"/>
  <c r="A206" i="1"/>
  <c r="C397" i="1"/>
  <c r="D397" i="1"/>
  <c r="B397" i="1"/>
  <c r="H397" i="1"/>
  <c r="G397" i="1"/>
  <c r="F397" i="1"/>
  <c r="E397" i="1"/>
  <c r="A397" i="1"/>
  <c r="H120" i="1"/>
  <c r="A120" i="1"/>
  <c r="D120" i="1"/>
  <c r="F120" i="1"/>
  <c r="E120" i="1"/>
  <c r="C120" i="1"/>
  <c r="B120" i="1"/>
  <c r="G120" i="1"/>
  <c r="F250" i="1"/>
  <c r="A250" i="1"/>
  <c r="D250" i="1"/>
  <c r="C250" i="1"/>
  <c r="B250" i="1"/>
  <c r="H250" i="1"/>
  <c r="G250" i="1"/>
  <c r="E250" i="1"/>
  <c r="D380" i="1"/>
  <c r="A380" i="1"/>
  <c r="E380" i="1"/>
  <c r="H380" i="1"/>
  <c r="G380" i="1"/>
  <c r="F380" i="1"/>
  <c r="C380" i="1"/>
  <c r="B380" i="1"/>
  <c r="A45" i="1"/>
  <c r="H45" i="1"/>
  <c r="B45" i="1"/>
  <c r="G45" i="1"/>
  <c r="F45" i="1"/>
  <c r="E45" i="1"/>
  <c r="D45" i="1"/>
  <c r="C45" i="1"/>
  <c r="B182" i="1"/>
  <c r="H182" i="1"/>
  <c r="F182" i="1"/>
  <c r="E182" i="1"/>
  <c r="D182" i="1"/>
  <c r="C182" i="1"/>
  <c r="A182" i="1"/>
  <c r="G182" i="1"/>
  <c r="G369" i="1"/>
  <c r="H369" i="1"/>
  <c r="E369" i="1"/>
  <c r="B369" i="1"/>
  <c r="F369" i="1"/>
  <c r="D369" i="1"/>
  <c r="C369" i="1"/>
  <c r="A369" i="1"/>
  <c r="E512" i="1"/>
  <c r="D512" i="1"/>
  <c r="H512" i="1"/>
  <c r="F512" i="1"/>
  <c r="A512" i="1"/>
  <c r="C512" i="1"/>
  <c r="B512" i="1"/>
  <c r="G512" i="1"/>
  <c r="A191" i="1"/>
  <c r="B191" i="1"/>
  <c r="G191" i="1"/>
  <c r="F191" i="1"/>
  <c r="E191" i="1"/>
  <c r="D191" i="1"/>
  <c r="C191" i="1"/>
  <c r="H191" i="1"/>
  <c r="C482" i="1"/>
  <c r="G482" i="1"/>
  <c r="F482" i="1"/>
  <c r="A482" i="1"/>
  <c r="H482" i="1"/>
  <c r="E482" i="1"/>
  <c r="D482" i="1"/>
  <c r="B482" i="1"/>
  <c r="C514" i="1"/>
  <c r="E514" i="1"/>
  <c r="A514" i="1"/>
  <c r="B514" i="1"/>
  <c r="H514" i="1"/>
  <c r="G514" i="1"/>
  <c r="F514" i="1"/>
  <c r="D514" i="1"/>
  <c r="G446" i="1"/>
  <c r="D446" i="1"/>
  <c r="H446" i="1"/>
  <c r="F446" i="1"/>
  <c r="A446" i="1"/>
  <c r="E446" i="1"/>
  <c r="C446" i="1"/>
  <c r="B446" i="1"/>
  <c r="B230" i="1"/>
  <c r="G230" i="1"/>
  <c r="F230" i="1"/>
  <c r="A230" i="1"/>
  <c r="E230" i="1"/>
  <c r="D230" i="1"/>
  <c r="C230" i="1"/>
  <c r="H230" i="1"/>
  <c r="D58" i="1"/>
  <c r="C58" i="1"/>
  <c r="A58" i="1"/>
  <c r="F58" i="1"/>
  <c r="E58" i="1"/>
  <c r="B58" i="1"/>
  <c r="H58" i="1"/>
  <c r="G58" i="1"/>
  <c r="B238" i="1"/>
  <c r="H238" i="1"/>
  <c r="G238" i="1"/>
  <c r="C238" i="1"/>
  <c r="D238" i="1"/>
  <c r="A238" i="1"/>
  <c r="F238" i="1"/>
  <c r="E238" i="1"/>
  <c r="C349" i="1"/>
  <c r="F349" i="1"/>
  <c r="E349" i="1"/>
  <c r="B349" i="1"/>
  <c r="D349" i="1"/>
  <c r="A349" i="1"/>
  <c r="H349" i="1"/>
  <c r="G349" i="1"/>
  <c r="H88" i="1"/>
  <c r="E88" i="1"/>
  <c r="D88" i="1"/>
  <c r="B88" i="1"/>
  <c r="A88" i="1"/>
  <c r="G88" i="1"/>
  <c r="F88" i="1"/>
  <c r="C88" i="1"/>
  <c r="H384" i="1"/>
  <c r="B384" i="1"/>
  <c r="A384" i="1"/>
  <c r="E384" i="1"/>
  <c r="F384" i="1"/>
  <c r="D384" i="1"/>
  <c r="G384" i="1"/>
  <c r="C384" i="1"/>
  <c r="F82" i="1"/>
  <c r="D82" i="1"/>
  <c r="C82" i="1"/>
  <c r="E82" i="1"/>
  <c r="H82" i="1"/>
  <c r="G82" i="1"/>
  <c r="B82" i="1"/>
  <c r="A82" i="1"/>
  <c r="G161" i="1"/>
  <c r="F161" i="1"/>
  <c r="E161" i="1"/>
  <c r="A161" i="1"/>
  <c r="H161" i="1"/>
  <c r="D161" i="1"/>
  <c r="C161" i="1"/>
  <c r="B161" i="1"/>
  <c r="E339" i="1"/>
  <c r="D339" i="1"/>
  <c r="C339" i="1"/>
  <c r="H339" i="1"/>
  <c r="G339" i="1"/>
  <c r="F339" i="1"/>
  <c r="B339" i="1"/>
  <c r="A339" i="1"/>
  <c r="B158" i="1"/>
  <c r="F158" i="1"/>
  <c r="E158" i="1"/>
  <c r="C158" i="1"/>
  <c r="H158" i="1"/>
  <c r="G158" i="1"/>
  <c r="D158" i="1"/>
  <c r="A158" i="1"/>
  <c r="E403" i="1"/>
  <c r="D403" i="1"/>
  <c r="C403" i="1"/>
  <c r="F403" i="1"/>
  <c r="A403" i="1"/>
  <c r="H403" i="1"/>
  <c r="G403" i="1"/>
  <c r="B403" i="1"/>
  <c r="F274" i="1"/>
  <c r="D274" i="1"/>
  <c r="C274" i="1"/>
  <c r="H274" i="1"/>
  <c r="G274" i="1"/>
  <c r="E274" i="1"/>
  <c r="B274" i="1"/>
  <c r="A274" i="1"/>
  <c r="C67" i="1"/>
  <c r="B67" i="1"/>
  <c r="F67" i="1"/>
  <c r="H67" i="1"/>
  <c r="G67" i="1"/>
  <c r="E67" i="1"/>
  <c r="D67" i="1"/>
  <c r="A67" i="1"/>
  <c r="G225" i="1"/>
  <c r="F225" i="1"/>
  <c r="E225" i="1"/>
  <c r="H225" i="1"/>
  <c r="D225" i="1"/>
  <c r="C225" i="1"/>
  <c r="B225" i="1"/>
  <c r="A225" i="1"/>
  <c r="G385" i="1"/>
  <c r="B385" i="1"/>
  <c r="A385" i="1"/>
  <c r="H385" i="1"/>
  <c r="F385" i="1"/>
  <c r="E385" i="1"/>
  <c r="D385" i="1"/>
  <c r="C385" i="1"/>
  <c r="E331" i="1"/>
  <c r="C331" i="1"/>
  <c r="B331" i="1"/>
  <c r="G331" i="1"/>
  <c r="F331" i="1"/>
  <c r="D331" i="1"/>
  <c r="A331" i="1"/>
  <c r="H331" i="1"/>
  <c r="H30" i="1"/>
  <c r="G30" i="1"/>
  <c r="B30" i="1"/>
  <c r="A30" i="1"/>
  <c r="F30" i="1"/>
  <c r="E30" i="1"/>
  <c r="D30" i="1"/>
  <c r="C30" i="1"/>
  <c r="G217" i="1"/>
  <c r="E217" i="1"/>
  <c r="D217" i="1"/>
  <c r="H217" i="1"/>
  <c r="F217" i="1"/>
  <c r="C217" i="1"/>
  <c r="B217" i="1"/>
  <c r="A217" i="1"/>
  <c r="H408" i="1"/>
  <c r="E408" i="1"/>
  <c r="D408" i="1"/>
  <c r="F408" i="1"/>
  <c r="C408" i="1"/>
  <c r="B408" i="1"/>
  <c r="A408" i="1"/>
  <c r="G408" i="1"/>
  <c r="G121" i="1"/>
  <c r="A121" i="1"/>
  <c r="F121" i="1"/>
  <c r="H121" i="1"/>
  <c r="E121" i="1"/>
  <c r="D121" i="1"/>
  <c r="C121" i="1"/>
  <c r="B121" i="1"/>
  <c r="E251" i="1"/>
  <c r="A251" i="1"/>
  <c r="G251" i="1"/>
  <c r="D251" i="1"/>
  <c r="H251" i="1"/>
  <c r="F251" i="1"/>
  <c r="C251" i="1"/>
  <c r="B251" i="1"/>
  <c r="C381" i="1"/>
  <c r="A381" i="1"/>
  <c r="G381" i="1"/>
  <c r="E381" i="1"/>
  <c r="D381" i="1"/>
  <c r="H381" i="1"/>
  <c r="F381" i="1"/>
  <c r="B381" i="1"/>
  <c r="H469" i="1"/>
  <c r="G469" i="1"/>
  <c r="C469" i="1"/>
  <c r="E469" i="1"/>
  <c r="D469" i="1"/>
  <c r="F469" i="1"/>
  <c r="B469" i="1"/>
  <c r="A469" i="1"/>
  <c r="B118" i="1"/>
  <c r="H118" i="1"/>
  <c r="G118" i="1"/>
  <c r="F118" i="1"/>
  <c r="E118" i="1"/>
  <c r="D118" i="1"/>
  <c r="C118" i="1"/>
  <c r="A118" i="1"/>
  <c r="G305" i="1"/>
  <c r="H305" i="1"/>
  <c r="E305" i="1"/>
  <c r="B305" i="1"/>
  <c r="A305" i="1"/>
  <c r="F305" i="1"/>
  <c r="D305" i="1"/>
  <c r="C305" i="1"/>
  <c r="A71" i="1"/>
  <c r="C71" i="1"/>
  <c r="B71" i="1"/>
  <c r="F71" i="1"/>
  <c r="H71" i="1"/>
  <c r="G71" i="1"/>
  <c r="E71" i="1"/>
  <c r="D71" i="1"/>
  <c r="A199" i="1"/>
  <c r="C199" i="1"/>
  <c r="B199" i="1"/>
  <c r="F199" i="1"/>
  <c r="E199" i="1"/>
  <c r="D199" i="1"/>
  <c r="H199" i="1"/>
  <c r="G199" i="1"/>
  <c r="A468" i="1"/>
  <c r="G468" i="1"/>
  <c r="H468" i="1"/>
  <c r="F468" i="1"/>
  <c r="E468" i="1"/>
  <c r="D468" i="1"/>
  <c r="C468" i="1"/>
  <c r="B468" i="1"/>
  <c r="E219" i="1"/>
  <c r="F219" i="1"/>
  <c r="D219" i="1"/>
  <c r="B219" i="1"/>
  <c r="H219" i="1"/>
  <c r="G219" i="1"/>
  <c r="C219" i="1"/>
  <c r="A219" i="1"/>
  <c r="C51" i="1"/>
  <c r="B51" i="1"/>
  <c r="G51" i="1"/>
  <c r="F51" i="1"/>
  <c r="E51" i="1"/>
  <c r="D51" i="1"/>
  <c r="A51" i="1"/>
  <c r="H51" i="1"/>
  <c r="B262" i="1"/>
  <c r="C262" i="1"/>
  <c r="A262" i="1"/>
  <c r="F262" i="1"/>
  <c r="D262" i="1"/>
  <c r="G262" i="1"/>
  <c r="E262" i="1"/>
  <c r="H262" i="1"/>
  <c r="C69" i="1"/>
  <c r="B69" i="1"/>
  <c r="A69" i="1"/>
  <c r="F69" i="1"/>
  <c r="E69" i="1"/>
  <c r="D69" i="1"/>
  <c r="H69" i="1"/>
  <c r="G69" i="1"/>
  <c r="G257" i="1"/>
  <c r="B257" i="1"/>
  <c r="A257" i="1"/>
  <c r="C257" i="1"/>
  <c r="F257" i="1"/>
  <c r="D257" i="1"/>
  <c r="H257" i="1"/>
  <c r="E257" i="1"/>
  <c r="B102" i="1"/>
  <c r="G102" i="1"/>
  <c r="F102" i="1"/>
  <c r="H102" i="1"/>
  <c r="A102" i="1"/>
  <c r="E102" i="1"/>
  <c r="D102" i="1"/>
  <c r="C102" i="1"/>
  <c r="B390" i="1"/>
  <c r="C390" i="1"/>
  <c r="A390" i="1"/>
  <c r="G390" i="1"/>
  <c r="F390" i="1"/>
  <c r="H390" i="1"/>
  <c r="E390" i="1"/>
  <c r="D390" i="1"/>
  <c r="C85" i="1"/>
  <c r="E85" i="1"/>
  <c r="D85" i="1"/>
  <c r="A85" i="1"/>
  <c r="H85" i="1"/>
  <c r="G85" i="1"/>
  <c r="F85" i="1"/>
  <c r="B85" i="1"/>
  <c r="C277" i="1"/>
  <c r="E277" i="1"/>
  <c r="D277" i="1"/>
  <c r="F277" i="1"/>
  <c r="H277" i="1"/>
  <c r="G277" i="1"/>
  <c r="B277" i="1"/>
  <c r="A277" i="1"/>
  <c r="F64" i="1"/>
  <c r="E64" i="1"/>
  <c r="A64" i="1"/>
  <c r="H64" i="1"/>
  <c r="G64" i="1"/>
  <c r="D64" i="1"/>
  <c r="C64" i="1"/>
  <c r="B64" i="1"/>
  <c r="B270" i="1"/>
  <c r="D270" i="1"/>
  <c r="C270" i="1"/>
  <c r="G270" i="1"/>
  <c r="H270" i="1"/>
  <c r="F270" i="1"/>
  <c r="E270" i="1"/>
  <c r="A270" i="1"/>
  <c r="B166" i="1"/>
  <c r="G166" i="1"/>
  <c r="F166" i="1"/>
  <c r="D166" i="1"/>
  <c r="H166" i="1"/>
  <c r="E166" i="1"/>
  <c r="C166" i="1"/>
  <c r="A166" i="1"/>
  <c r="E464" i="1"/>
  <c r="G464" i="1"/>
  <c r="B464" i="1"/>
  <c r="A464" i="1"/>
  <c r="F464" i="1"/>
  <c r="C464" i="1"/>
  <c r="H464" i="1"/>
  <c r="D464" i="1"/>
  <c r="H160" i="1"/>
  <c r="F160" i="1"/>
  <c r="E160" i="1"/>
  <c r="G160" i="1"/>
  <c r="D160" i="1"/>
  <c r="C160" i="1"/>
  <c r="B160" i="1"/>
  <c r="A160" i="1"/>
  <c r="C389" i="1"/>
  <c r="B389" i="1"/>
  <c r="A389" i="1"/>
  <c r="H389" i="1"/>
  <c r="D389" i="1"/>
  <c r="G389" i="1"/>
  <c r="F389" i="1"/>
  <c r="E389" i="1"/>
  <c r="G502" i="1"/>
  <c r="C502" i="1"/>
  <c r="E502" i="1"/>
  <c r="D502" i="1"/>
  <c r="H502" i="1"/>
  <c r="F502" i="1"/>
  <c r="B502" i="1"/>
  <c r="A502" i="1"/>
  <c r="B467" i="1"/>
  <c r="G467" i="1"/>
  <c r="F467" i="1"/>
  <c r="E467" i="1"/>
  <c r="H467" i="1"/>
  <c r="D467" i="1"/>
  <c r="C467" i="1"/>
  <c r="A467" i="1"/>
  <c r="G137" i="1"/>
  <c r="C137" i="1"/>
  <c r="B137" i="1"/>
  <c r="F137" i="1"/>
  <c r="E137" i="1"/>
  <c r="D137" i="1"/>
  <c r="A137" i="1"/>
  <c r="H137" i="1"/>
  <c r="H328" i="1"/>
  <c r="C328" i="1"/>
  <c r="B328" i="1"/>
  <c r="G328" i="1"/>
  <c r="A328" i="1"/>
  <c r="F328" i="1"/>
  <c r="E328" i="1"/>
  <c r="D328" i="1"/>
  <c r="B20" i="1"/>
  <c r="A20" i="1"/>
  <c r="C20" i="1"/>
  <c r="F20" i="1"/>
  <c r="E20" i="1"/>
  <c r="D20" i="1"/>
  <c r="H20" i="1"/>
  <c r="G20" i="1"/>
  <c r="E187" i="1"/>
  <c r="A187" i="1"/>
  <c r="C187" i="1"/>
  <c r="B187" i="1"/>
  <c r="H187" i="1"/>
  <c r="G187" i="1"/>
  <c r="F187" i="1"/>
  <c r="D187" i="1"/>
  <c r="C317" i="1"/>
  <c r="A317" i="1"/>
  <c r="H317" i="1"/>
  <c r="E317" i="1"/>
  <c r="D317" i="1"/>
  <c r="B317" i="1"/>
  <c r="G317" i="1"/>
  <c r="F317" i="1"/>
  <c r="A61" i="1"/>
  <c r="H61" i="1"/>
  <c r="F61" i="1"/>
  <c r="C61" i="1"/>
  <c r="B61" i="1"/>
  <c r="G61" i="1"/>
  <c r="E61" i="1"/>
  <c r="D61" i="1"/>
  <c r="G241" i="1"/>
  <c r="H241" i="1"/>
  <c r="A241" i="1"/>
  <c r="D241" i="1"/>
  <c r="C241" i="1"/>
  <c r="B241" i="1"/>
  <c r="F241" i="1"/>
  <c r="E241" i="1"/>
  <c r="E371" i="1"/>
  <c r="H371" i="1"/>
  <c r="A371" i="1"/>
  <c r="G371" i="1"/>
  <c r="F371" i="1"/>
  <c r="D371" i="1"/>
  <c r="C371" i="1"/>
  <c r="B371" i="1"/>
  <c r="A79" i="1"/>
  <c r="D79" i="1"/>
  <c r="C79" i="1"/>
  <c r="G79" i="1"/>
  <c r="H79" i="1"/>
  <c r="F79" i="1"/>
  <c r="E79" i="1"/>
  <c r="B79" i="1"/>
  <c r="A207" i="1"/>
  <c r="D207" i="1"/>
  <c r="C207" i="1"/>
  <c r="E207" i="1"/>
  <c r="B207" i="1"/>
  <c r="H207" i="1"/>
  <c r="G207" i="1"/>
  <c r="F207" i="1"/>
  <c r="A271" i="1"/>
  <c r="D271" i="1"/>
  <c r="C271" i="1"/>
  <c r="F271" i="1"/>
  <c r="E271" i="1"/>
  <c r="B271" i="1"/>
  <c r="H271" i="1"/>
  <c r="G271" i="1"/>
  <c r="A335" i="1"/>
  <c r="D335" i="1"/>
  <c r="C335" i="1"/>
  <c r="G335" i="1"/>
  <c r="B335" i="1"/>
  <c r="H335" i="1"/>
  <c r="F335" i="1"/>
  <c r="E335" i="1"/>
  <c r="A399" i="1"/>
  <c r="D399" i="1"/>
  <c r="C399" i="1"/>
  <c r="E399" i="1"/>
  <c r="H399" i="1"/>
  <c r="G399" i="1"/>
  <c r="F399" i="1"/>
  <c r="B399" i="1"/>
  <c r="B419" i="1"/>
  <c r="H419" i="1"/>
  <c r="F419" i="1"/>
  <c r="G419" i="1"/>
  <c r="E419" i="1"/>
  <c r="D419" i="1"/>
  <c r="C419" i="1"/>
  <c r="A419" i="1"/>
  <c r="A476" i="1"/>
  <c r="H476" i="1"/>
  <c r="G476" i="1"/>
  <c r="E476" i="1"/>
  <c r="D476" i="1"/>
  <c r="F476" i="1"/>
  <c r="C476" i="1"/>
  <c r="B476" i="1"/>
  <c r="B222" i="1"/>
  <c r="F222" i="1"/>
  <c r="E222" i="1"/>
  <c r="H222" i="1"/>
  <c r="G222" i="1"/>
  <c r="D222" i="1"/>
  <c r="C222" i="1"/>
  <c r="A222" i="1"/>
  <c r="E83" i="1"/>
  <c r="D83" i="1"/>
  <c r="C83" i="1"/>
  <c r="H83" i="1"/>
  <c r="F83" i="1"/>
  <c r="B83" i="1"/>
  <c r="A83" i="1"/>
  <c r="G83" i="1"/>
  <c r="E432" i="1"/>
  <c r="B432" i="1"/>
  <c r="H432" i="1"/>
  <c r="G432" i="1"/>
  <c r="A432" i="1"/>
  <c r="D432" i="1"/>
  <c r="C432" i="1"/>
  <c r="F432" i="1"/>
  <c r="F170" i="1"/>
  <c r="H170" i="1"/>
  <c r="G170" i="1"/>
  <c r="D170" i="1"/>
  <c r="B170" i="1"/>
  <c r="A170" i="1"/>
  <c r="E170" i="1"/>
  <c r="C170" i="1"/>
  <c r="C365" i="1"/>
  <c r="H365" i="1"/>
  <c r="G365" i="1"/>
  <c r="E365" i="1"/>
  <c r="B365" i="1"/>
  <c r="A365" i="1"/>
  <c r="F365" i="1"/>
  <c r="D365" i="1"/>
  <c r="H136" i="1"/>
  <c r="C136" i="1"/>
  <c r="B136" i="1"/>
  <c r="F136" i="1"/>
  <c r="A136" i="1"/>
  <c r="G136" i="1"/>
  <c r="E136" i="1"/>
  <c r="D136" i="1"/>
  <c r="F394" i="1"/>
  <c r="C394" i="1"/>
  <c r="B394" i="1"/>
  <c r="D394" i="1"/>
  <c r="A394" i="1"/>
  <c r="H394" i="1"/>
  <c r="G394" i="1"/>
  <c r="E394" i="1"/>
  <c r="H96" i="1"/>
  <c r="F96" i="1"/>
  <c r="E96" i="1"/>
  <c r="A96" i="1"/>
  <c r="G96" i="1"/>
  <c r="D96" i="1"/>
  <c r="C96" i="1"/>
  <c r="B96" i="1"/>
  <c r="D284" i="1"/>
  <c r="F284" i="1"/>
  <c r="E284" i="1"/>
  <c r="B284" i="1"/>
  <c r="H284" i="1"/>
  <c r="G284" i="1"/>
  <c r="C284" i="1"/>
  <c r="A284" i="1"/>
  <c r="D172" i="1"/>
  <c r="H172" i="1"/>
  <c r="G172" i="1"/>
  <c r="F172" i="1"/>
  <c r="E172" i="1"/>
  <c r="C172" i="1"/>
  <c r="B172" i="1"/>
  <c r="A172" i="1"/>
  <c r="E33" i="1"/>
  <c r="D33" i="1"/>
  <c r="B33" i="1"/>
  <c r="H33" i="1"/>
  <c r="G33" i="1"/>
  <c r="F33" i="1"/>
  <c r="C33" i="1"/>
  <c r="A33" i="1"/>
  <c r="F471" i="1"/>
  <c r="H471" i="1"/>
  <c r="B471" i="1"/>
  <c r="A471" i="1"/>
  <c r="D471" i="1"/>
  <c r="C471" i="1"/>
  <c r="G471" i="1"/>
  <c r="E471" i="1"/>
  <c r="F290" i="1"/>
  <c r="G290" i="1"/>
  <c r="E290" i="1"/>
  <c r="B290" i="1"/>
  <c r="H290" i="1"/>
  <c r="D290" i="1"/>
  <c r="C290" i="1"/>
  <c r="A290" i="1"/>
  <c r="F402" i="1"/>
  <c r="D402" i="1"/>
  <c r="C402" i="1"/>
  <c r="A402" i="1"/>
  <c r="E402" i="1"/>
  <c r="B402" i="1"/>
  <c r="H402" i="1"/>
  <c r="G402" i="1"/>
  <c r="G345" i="1"/>
  <c r="E345" i="1"/>
  <c r="D345" i="1"/>
  <c r="B345" i="1"/>
  <c r="H345" i="1"/>
  <c r="F345" i="1"/>
  <c r="C345" i="1"/>
  <c r="A345" i="1"/>
  <c r="F56" i="1"/>
  <c r="E56" i="1"/>
  <c r="H56" i="1"/>
  <c r="G56" i="1"/>
  <c r="D56" i="1"/>
  <c r="C56" i="1"/>
  <c r="B56" i="1"/>
  <c r="A56" i="1"/>
  <c r="H232" i="1"/>
  <c r="G232" i="1"/>
  <c r="F232" i="1"/>
  <c r="B232" i="1"/>
  <c r="A232" i="1"/>
  <c r="E232" i="1"/>
  <c r="D232" i="1"/>
  <c r="C232" i="1"/>
  <c r="F439" i="1"/>
  <c r="C439" i="1"/>
  <c r="H439" i="1"/>
  <c r="G439" i="1"/>
  <c r="D439" i="1"/>
  <c r="B439" i="1"/>
  <c r="A439" i="1"/>
  <c r="E439" i="1"/>
  <c r="E123" i="1"/>
  <c r="A123" i="1"/>
  <c r="B123" i="1"/>
  <c r="G123" i="1"/>
  <c r="F123" i="1"/>
  <c r="D123" i="1"/>
  <c r="C123" i="1"/>
  <c r="H123" i="1"/>
  <c r="B318" i="1"/>
  <c r="A318" i="1"/>
  <c r="C318" i="1"/>
  <c r="H318" i="1"/>
  <c r="G318" i="1"/>
  <c r="F318" i="1"/>
  <c r="E318" i="1"/>
  <c r="D318" i="1"/>
  <c r="C506" i="1"/>
  <c r="D506" i="1"/>
  <c r="E506" i="1"/>
  <c r="G506" i="1"/>
  <c r="F506" i="1"/>
  <c r="H506" i="1"/>
  <c r="B506" i="1"/>
  <c r="A506" i="1"/>
  <c r="G177" i="1"/>
  <c r="H177" i="1"/>
  <c r="C177" i="1"/>
  <c r="F177" i="1"/>
  <c r="E177" i="1"/>
  <c r="D177" i="1"/>
  <c r="B177" i="1"/>
  <c r="A177" i="1"/>
  <c r="D372" i="1"/>
  <c r="H372" i="1"/>
  <c r="C372" i="1"/>
  <c r="B372" i="1"/>
  <c r="E372" i="1"/>
  <c r="A372" i="1"/>
  <c r="G372" i="1"/>
  <c r="F372" i="1"/>
  <c r="G454" i="1"/>
  <c r="E454" i="1"/>
  <c r="H454" i="1"/>
  <c r="F454" i="1"/>
  <c r="D454" i="1"/>
  <c r="C454" i="1"/>
  <c r="B454" i="1"/>
  <c r="A454" i="1"/>
  <c r="A151" i="1"/>
  <c r="E151" i="1"/>
  <c r="D151" i="1"/>
  <c r="F151" i="1"/>
  <c r="G151" i="1"/>
  <c r="C151" i="1"/>
  <c r="B151" i="1"/>
  <c r="H151" i="1"/>
  <c r="A215" i="1"/>
  <c r="E215" i="1"/>
  <c r="D215" i="1"/>
  <c r="B215" i="1"/>
  <c r="H215" i="1"/>
  <c r="G215" i="1"/>
  <c r="F215" i="1"/>
  <c r="C215" i="1"/>
  <c r="A279" i="1"/>
  <c r="E279" i="1"/>
  <c r="D279" i="1"/>
  <c r="C279" i="1"/>
  <c r="H279" i="1"/>
  <c r="G279" i="1"/>
  <c r="F279" i="1"/>
  <c r="B279" i="1"/>
  <c r="A343" i="1"/>
  <c r="E343" i="1"/>
  <c r="D343" i="1"/>
  <c r="H343" i="1"/>
  <c r="G343" i="1"/>
  <c r="F343" i="1"/>
  <c r="C343" i="1"/>
  <c r="B343" i="1"/>
  <c r="A407" i="1"/>
  <c r="E407" i="1"/>
  <c r="D407" i="1"/>
  <c r="F407" i="1"/>
  <c r="H407" i="1"/>
  <c r="G407" i="1"/>
  <c r="C407" i="1"/>
  <c r="B407" i="1"/>
  <c r="H477" i="1"/>
  <c r="A477" i="1"/>
  <c r="B477" i="1"/>
  <c r="C477" i="1"/>
  <c r="G477" i="1"/>
  <c r="F477" i="1"/>
  <c r="E477" i="1"/>
  <c r="D477" i="1"/>
  <c r="A484" i="1"/>
  <c r="H484" i="1"/>
  <c r="F484" i="1"/>
  <c r="C484" i="1"/>
  <c r="B484" i="1"/>
  <c r="G484" i="1"/>
  <c r="E484" i="1"/>
  <c r="D484" i="1"/>
  <c r="D140" i="1"/>
  <c r="C140" i="1"/>
  <c r="B140" i="1"/>
  <c r="G140" i="1"/>
  <c r="H140" i="1"/>
  <c r="F140" i="1"/>
  <c r="E140" i="1"/>
  <c r="A140" i="1"/>
  <c r="F354" i="1"/>
  <c r="G354" i="1"/>
  <c r="E354" i="1"/>
  <c r="H354" i="1"/>
  <c r="D354" i="1"/>
  <c r="C354" i="1"/>
  <c r="B354" i="1"/>
  <c r="A354" i="1"/>
  <c r="D100" i="1"/>
  <c r="G100" i="1"/>
  <c r="F100" i="1"/>
  <c r="A100" i="1"/>
  <c r="E100" i="1"/>
  <c r="C100" i="1"/>
  <c r="B100" i="1"/>
  <c r="H100" i="1"/>
  <c r="B94" i="1"/>
  <c r="F94" i="1"/>
  <c r="E94" i="1"/>
  <c r="G94" i="1"/>
  <c r="C94" i="1"/>
  <c r="A94" i="1"/>
  <c r="H94" i="1"/>
  <c r="D94" i="1"/>
  <c r="G273" i="1"/>
  <c r="D273" i="1"/>
  <c r="C273" i="1"/>
  <c r="E273" i="1"/>
  <c r="A273" i="1"/>
  <c r="B273" i="1"/>
  <c r="H273" i="1"/>
  <c r="F273" i="1"/>
  <c r="H38" i="1"/>
  <c r="G38" i="1"/>
  <c r="A38" i="1"/>
  <c r="C38" i="1"/>
  <c r="B38" i="1"/>
  <c r="F38" i="1"/>
  <c r="E38" i="1"/>
  <c r="D38" i="1"/>
  <c r="F298" i="1"/>
  <c r="H298" i="1"/>
  <c r="G298" i="1"/>
  <c r="A298" i="1"/>
  <c r="B298" i="1"/>
  <c r="E298" i="1"/>
  <c r="D298" i="1"/>
  <c r="C298" i="1"/>
  <c r="E99" i="1"/>
  <c r="G99" i="1"/>
  <c r="F99" i="1"/>
  <c r="A99" i="1"/>
  <c r="H99" i="1"/>
  <c r="D99" i="1"/>
  <c r="C99" i="1"/>
  <c r="B99" i="1"/>
  <c r="C293" i="1"/>
  <c r="G293" i="1"/>
  <c r="F293" i="1"/>
  <c r="H293" i="1"/>
  <c r="B293" i="1"/>
  <c r="E293" i="1"/>
  <c r="D293" i="1"/>
  <c r="A293" i="1"/>
  <c r="H192" i="1"/>
  <c r="B192" i="1"/>
  <c r="A192" i="1"/>
  <c r="C192" i="1"/>
  <c r="G192" i="1"/>
  <c r="F192" i="1"/>
  <c r="E192" i="1"/>
  <c r="D192" i="1"/>
  <c r="F48" i="1"/>
  <c r="E48" i="1"/>
  <c r="G48" i="1"/>
  <c r="H48" i="1"/>
  <c r="D48" i="1"/>
  <c r="C48" i="1"/>
  <c r="B48" i="1"/>
  <c r="A48" i="1"/>
  <c r="C341" i="1"/>
  <c r="E341" i="1"/>
  <c r="D341" i="1"/>
  <c r="A341" i="1"/>
  <c r="B341" i="1"/>
  <c r="H341" i="1"/>
  <c r="G341" i="1"/>
  <c r="F341" i="1"/>
  <c r="F194" i="1"/>
  <c r="B194" i="1"/>
  <c r="A194" i="1"/>
  <c r="H194" i="1"/>
  <c r="G194" i="1"/>
  <c r="E194" i="1"/>
  <c r="D194" i="1"/>
  <c r="C194" i="1"/>
  <c r="E424" i="1"/>
  <c r="A424" i="1"/>
  <c r="G424" i="1"/>
  <c r="F424" i="1"/>
  <c r="C424" i="1"/>
  <c r="H424" i="1"/>
  <c r="D424" i="1"/>
  <c r="B424" i="1"/>
  <c r="D348" i="1"/>
  <c r="F348" i="1"/>
  <c r="E348" i="1"/>
  <c r="H348" i="1"/>
  <c r="G348" i="1"/>
  <c r="C348" i="1"/>
  <c r="B348" i="1"/>
  <c r="A348" i="1"/>
  <c r="H62" i="1"/>
  <c r="G62" i="1"/>
  <c r="E62" i="1"/>
  <c r="D62" i="1"/>
  <c r="C62" i="1"/>
  <c r="B62" i="1"/>
  <c r="A62" i="1"/>
  <c r="F62" i="1"/>
  <c r="D236" i="1"/>
  <c r="H236" i="1"/>
  <c r="G236" i="1"/>
  <c r="F236" i="1"/>
  <c r="E236" i="1"/>
  <c r="C236" i="1"/>
  <c r="B236" i="1"/>
  <c r="A236" i="1"/>
  <c r="H453" i="1"/>
  <c r="E453" i="1"/>
  <c r="G453" i="1"/>
  <c r="F453" i="1"/>
  <c r="D453" i="1"/>
  <c r="C453" i="1"/>
  <c r="B453" i="1"/>
  <c r="A453" i="1"/>
  <c r="D124" i="1"/>
  <c r="A124" i="1"/>
  <c r="E124" i="1"/>
  <c r="H124" i="1"/>
  <c r="G124" i="1"/>
  <c r="F124" i="1"/>
  <c r="C124" i="1"/>
  <c r="B124" i="1"/>
  <c r="B254" i="1"/>
  <c r="A254" i="1"/>
  <c r="E254" i="1"/>
  <c r="F254" i="1"/>
  <c r="H254" i="1"/>
  <c r="G254" i="1"/>
  <c r="D254" i="1"/>
  <c r="C254" i="1"/>
  <c r="C434" i="1"/>
  <c r="B434" i="1"/>
  <c r="D434" i="1"/>
  <c r="A434" i="1"/>
  <c r="F434" i="1"/>
  <c r="E434" i="1"/>
  <c r="H434" i="1"/>
  <c r="G434" i="1"/>
  <c r="G113" i="1"/>
  <c r="H113" i="1"/>
  <c r="E113" i="1"/>
  <c r="A113" i="1"/>
  <c r="F113" i="1"/>
  <c r="D113" i="1"/>
  <c r="C113" i="1"/>
  <c r="B113" i="1"/>
  <c r="E243" i="1"/>
  <c r="H243" i="1"/>
  <c r="F243" i="1"/>
  <c r="G243" i="1"/>
  <c r="B243" i="1"/>
  <c r="A243" i="1"/>
  <c r="D243" i="1"/>
  <c r="C243" i="1"/>
  <c r="C373" i="1"/>
  <c r="H373" i="1"/>
  <c r="F373" i="1"/>
  <c r="G373" i="1"/>
  <c r="E373" i="1"/>
  <c r="D373" i="1"/>
  <c r="B373" i="1"/>
  <c r="A373" i="1"/>
  <c r="A95" i="1"/>
  <c r="F95" i="1"/>
  <c r="E95" i="1"/>
  <c r="H95" i="1"/>
  <c r="G95" i="1"/>
  <c r="D95" i="1"/>
  <c r="C95" i="1"/>
  <c r="B95" i="1"/>
  <c r="A223" i="1"/>
  <c r="F223" i="1"/>
  <c r="E223" i="1"/>
  <c r="C223" i="1"/>
  <c r="H223" i="1"/>
  <c r="G223" i="1"/>
  <c r="D223" i="1"/>
  <c r="B223" i="1"/>
  <c r="A287" i="1"/>
  <c r="F287" i="1"/>
  <c r="E287" i="1"/>
  <c r="B287" i="1"/>
  <c r="D287" i="1"/>
  <c r="C287" i="1"/>
  <c r="H287" i="1"/>
  <c r="G287" i="1"/>
  <c r="A351" i="1"/>
  <c r="F351" i="1"/>
  <c r="E351" i="1"/>
  <c r="B351" i="1"/>
  <c r="H351" i="1"/>
  <c r="G351" i="1"/>
  <c r="D351" i="1"/>
  <c r="C351" i="1"/>
  <c r="H413" i="1"/>
  <c r="B413" i="1"/>
  <c r="A413" i="1"/>
  <c r="E413" i="1"/>
  <c r="D413" i="1"/>
  <c r="C413" i="1"/>
  <c r="G413" i="1"/>
  <c r="F413" i="1"/>
  <c r="G478" i="1"/>
  <c r="B478" i="1"/>
  <c r="A478" i="1"/>
  <c r="E478" i="1"/>
  <c r="D478" i="1"/>
  <c r="C478" i="1"/>
  <c r="H478" i="1"/>
  <c r="F478" i="1"/>
  <c r="A492" i="1"/>
  <c r="B492" i="1"/>
  <c r="E492" i="1"/>
  <c r="F492" i="1"/>
  <c r="D492" i="1"/>
  <c r="H492" i="1"/>
  <c r="G492" i="1"/>
  <c r="C492" i="1"/>
  <c r="F154" i="1"/>
  <c r="E154" i="1"/>
  <c r="D154" i="1"/>
  <c r="B154" i="1"/>
  <c r="H154" i="1"/>
  <c r="G154" i="1"/>
  <c r="C154" i="1"/>
  <c r="A154" i="1"/>
  <c r="D404" i="1"/>
  <c r="E404" i="1"/>
  <c r="C404" i="1"/>
  <c r="H404" i="1"/>
  <c r="G404" i="1"/>
  <c r="F404" i="1"/>
  <c r="B404" i="1"/>
  <c r="A404" i="1"/>
  <c r="D148" i="1"/>
  <c r="E148" i="1"/>
  <c r="C148" i="1"/>
  <c r="H148" i="1"/>
  <c r="F148" i="1"/>
  <c r="B148" i="1"/>
  <c r="A148" i="1"/>
  <c r="G148" i="1"/>
  <c r="G23" i="1"/>
  <c r="F23" i="1"/>
  <c r="H23" i="1"/>
  <c r="C23" i="1"/>
  <c r="B23" i="1"/>
  <c r="A23" i="1"/>
  <c r="E23" i="1"/>
  <c r="D23" i="1"/>
  <c r="G193" i="1"/>
  <c r="B193" i="1"/>
  <c r="A193" i="1"/>
  <c r="E193" i="1"/>
  <c r="D193" i="1"/>
  <c r="C193" i="1"/>
  <c r="H193" i="1"/>
  <c r="F193" i="1"/>
  <c r="B398" i="1"/>
  <c r="D398" i="1"/>
  <c r="C398" i="1"/>
  <c r="F398" i="1"/>
  <c r="E398" i="1"/>
  <c r="A398" i="1"/>
  <c r="H398" i="1"/>
  <c r="G398" i="1"/>
  <c r="B142" i="1"/>
  <c r="D142" i="1"/>
  <c r="C142" i="1"/>
  <c r="E142" i="1"/>
  <c r="A142" i="1"/>
  <c r="H142" i="1"/>
  <c r="G142" i="1"/>
  <c r="F142" i="1"/>
  <c r="F423" i="1"/>
  <c r="A423" i="1"/>
  <c r="E423" i="1"/>
  <c r="D423" i="1"/>
  <c r="G423" i="1"/>
  <c r="C423" i="1"/>
  <c r="H423" i="1"/>
  <c r="B423" i="1"/>
  <c r="C133" i="1"/>
  <c r="B133" i="1"/>
  <c r="A133" i="1"/>
  <c r="H133" i="1"/>
  <c r="G133" i="1"/>
  <c r="F133" i="1"/>
  <c r="E133" i="1"/>
  <c r="D133" i="1"/>
  <c r="D300" i="1"/>
  <c r="H300" i="1"/>
  <c r="G300" i="1"/>
  <c r="E300" i="1"/>
  <c r="F300" i="1"/>
  <c r="C300" i="1"/>
  <c r="B300" i="1"/>
  <c r="A300" i="1"/>
  <c r="H104" i="1"/>
  <c r="G104" i="1"/>
  <c r="F104" i="1"/>
  <c r="B104" i="1"/>
  <c r="E104" i="1"/>
  <c r="D104" i="1"/>
  <c r="C104" i="1"/>
  <c r="A104" i="1"/>
  <c r="E323" i="1"/>
  <c r="B323" i="1"/>
  <c r="A323" i="1"/>
  <c r="F323" i="1"/>
  <c r="H323" i="1"/>
  <c r="G323" i="1"/>
  <c r="D323" i="1"/>
  <c r="C323" i="1"/>
  <c r="D228" i="1"/>
  <c r="G228" i="1"/>
  <c r="F228" i="1"/>
  <c r="H228" i="1"/>
  <c r="E228" i="1"/>
  <c r="C228" i="1"/>
  <c r="B228" i="1"/>
  <c r="A228" i="1"/>
  <c r="E25" i="1"/>
  <c r="D25" i="1"/>
  <c r="H25" i="1"/>
  <c r="G25" i="1"/>
  <c r="F25" i="1"/>
  <c r="C25" i="1"/>
  <c r="B25" i="1"/>
  <c r="A25" i="1"/>
  <c r="C197" i="1"/>
  <c r="B197" i="1"/>
  <c r="A197" i="1"/>
  <c r="F197" i="1"/>
  <c r="H197" i="1"/>
  <c r="G197" i="1"/>
  <c r="E197" i="1"/>
  <c r="D197" i="1"/>
  <c r="F431" i="1"/>
  <c r="B431" i="1"/>
  <c r="G431" i="1"/>
  <c r="E431" i="1"/>
  <c r="H431" i="1"/>
  <c r="D431" i="1"/>
  <c r="C431" i="1"/>
  <c r="A431" i="1"/>
  <c r="F266" i="1"/>
  <c r="C266" i="1"/>
  <c r="B266" i="1"/>
  <c r="G266" i="1"/>
  <c r="A266" i="1"/>
  <c r="H266" i="1"/>
  <c r="E266" i="1"/>
  <c r="D266" i="1"/>
  <c r="D497" i="1"/>
  <c r="B497" i="1"/>
  <c r="H497" i="1"/>
  <c r="G497" i="1"/>
  <c r="A497" i="1"/>
  <c r="F497" i="1"/>
  <c r="E497" i="1"/>
  <c r="C497" i="1"/>
  <c r="D156" i="1"/>
  <c r="F156" i="1"/>
  <c r="E156" i="1"/>
  <c r="B156" i="1"/>
  <c r="A156" i="1"/>
  <c r="H156" i="1"/>
  <c r="G156" i="1"/>
  <c r="C156" i="1"/>
  <c r="F362" i="1"/>
  <c r="H362" i="1"/>
  <c r="G362" i="1"/>
  <c r="E362" i="1"/>
  <c r="D362" i="1"/>
  <c r="C362" i="1"/>
  <c r="B362" i="1"/>
  <c r="A362" i="1"/>
  <c r="B44" i="1"/>
  <c r="A44" i="1"/>
  <c r="H44" i="1"/>
  <c r="G44" i="1"/>
  <c r="F44" i="1"/>
  <c r="E44" i="1"/>
  <c r="D44" i="1"/>
  <c r="C44" i="1"/>
  <c r="H312" i="1"/>
  <c r="A312" i="1"/>
  <c r="F312" i="1"/>
  <c r="C312" i="1"/>
  <c r="B312" i="1"/>
  <c r="G312" i="1"/>
  <c r="E312" i="1"/>
  <c r="D312" i="1"/>
  <c r="A500" i="1"/>
  <c r="C500" i="1"/>
  <c r="B500" i="1"/>
  <c r="D500" i="1"/>
  <c r="F500" i="1"/>
  <c r="E500" i="1"/>
  <c r="H500" i="1"/>
  <c r="G500" i="1"/>
  <c r="E75" i="1"/>
  <c r="C75" i="1"/>
  <c r="B75" i="1"/>
  <c r="G75" i="1"/>
  <c r="H75" i="1"/>
  <c r="F75" i="1"/>
  <c r="D75" i="1"/>
  <c r="A75" i="1"/>
  <c r="D276" i="1"/>
  <c r="E276" i="1"/>
  <c r="C276" i="1"/>
  <c r="A276" i="1"/>
  <c r="B276" i="1"/>
  <c r="H276" i="1"/>
  <c r="G276" i="1"/>
  <c r="F276" i="1"/>
  <c r="G422" i="1"/>
  <c r="A422" i="1"/>
  <c r="D422" i="1"/>
  <c r="C422" i="1"/>
  <c r="H422" i="1"/>
  <c r="F422" i="1"/>
  <c r="E422" i="1"/>
  <c r="B422" i="1"/>
  <c r="C165" i="1"/>
  <c r="G165" i="1"/>
  <c r="F165" i="1"/>
  <c r="A165" i="1"/>
  <c r="E165" i="1"/>
  <c r="D165" i="1"/>
  <c r="B165" i="1"/>
  <c r="H165" i="1"/>
  <c r="G31" i="1"/>
  <c r="F31" i="1"/>
  <c r="D31" i="1"/>
  <c r="C31" i="1"/>
  <c r="B31" i="1"/>
  <c r="A31" i="1"/>
  <c r="H31" i="1"/>
  <c r="E31" i="1"/>
  <c r="D108" i="1"/>
  <c r="H108" i="1"/>
  <c r="G108" i="1"/>
  <c r="B108" i="1"/>
  <c r="C108" i="1"/>
  <c r="A108" i="1"/>
  <c r="F108" i="1"/>
  <c r="E108" i="1"/>
  <c r="C333" i="1"/>
  <c r="D333" i="1"/>
  <c r="B333" i="1"/>
  <c r="F333" i="1"/>
  <c r="E333" i="1"/>
  <c r="A333" i="1"/>
  <c r="H333" i="1"/>
  <c r="G333" i="1"/>
  <c r="F32" i="1"/>
  <c r="E32" i="1"/>
  <c r="A32" i="1"/>
  <c r="H32" i="1"/>
  <c r="G32" i="1"/>
  <c r="D32" i="1"/>
  <c r="C32" i="1"/>
  <c r="B32" i="1"/>
  <c r="H168" i="1"/>
  <c r="G168" i="1"/>
  <c r="F168" i="1"/>
  <c r="E168" i="1"/>
  <c r="D168" i="1"/>
  <c r="C168" i="1"/>
  <c r="B168" i="1"/>
  <c r="A168" i="1"/>
  <c r="C285" i="1"/>
  <c r="F285" i="1"/>
  <c r="E285" i="1"/>
  <c r="G285" i="1"/>
  <c r="D285" i="1"/>
  <c r="H285" i="1"/>
  <c r="B285" i="1"/>
  <c r="A285" i="1"/>
  <c r="H429" i="1"/>
  <c r="B429" i="1"/>
  <c r="D429" i="1"/>
  <c r="C429" i="1"/>
  <c r="G429" i="1"/>
  <c r="F429" i="1"/>
  <c r="E429" i="1"/>
  <c r="A429" i="1"/>
  <c r="F162" i="1"/>
  <c r="G162" i="1"/>
  <c r="E162" i="1"/>
  <c r="C162" i="1"/>
  <c r="D162" i="1"/>
  <c r="B162" i="1"/>
  <c r="A162" i="1"/>
  <c r="H162" i="1"/>
  <c r="C213" i="1"/>
  <c r="E213" i="1"/>
  <c r="D213" i="1"/>
  <c r="H213" i="1"/>
  <c r="F213" i="1"/>
  <c r="B213" i="1"/>
  <c r="A213" i="1"/>
  <c r="G213" i="1"/>
  <c r="D356" i="1"/>
  <c r="G356" i="1"/>
  <c r="F356" i="1"/>
  <c r="A356" i="1"/>
  <c r="H356" i="1"/>
  <c r="C356" i="1"/>
  <c r="B356" i="1"/>
  <c r="E356" i="1"/>
  <c r="C35" i="1"/>
  <c r="B35" i="1"/>
  <c r="F35" i="1"/>
  <c r="E35" i="1"/>
  <c r="D35" i="1"/>
  <c r="A35" i="1"/>
  <c r="H35" i="1"/>
  <c r="G35" i="1"/>
  <c r="H128" i="1"/>
  <c r="B128" i="1"/>
  <c r="A128" i="1"/>
  <c r="E128" i="1"/>
  <c r="D128" i="1"/>
  <c r="C128" i="1"/>
  <c r="G128" i="1"/>
  <c r="F128" i="1"/>
  <c r="F210" i="1"/>
  <c r="D210" i="1"/>
  <c r="C210" i="1"/>
  <c r="E210" i="1"/>
  <c r="B210" i="1"/>
  <c r="A210" i="1"/>
  <c r="H210" i="1"/>
  <c r="G210" i="1"/>
  <c r="D340" i="1"/>
  <c r="E340" i="1"/>
  <c r="C340" i="1"/>
  <c r="F340" i="1"/>
  <c r="B340" i="1"/>
  <c r="A340" i="1"/>
  <c r="H340" i="1"/>
  <c r="G340" i="1"/>
  <c r="H437" i="1"/>
  <c r="C437" i="1"/>
  <c r="E437" i="1"/>
  <c r="D437" i="1"/>
  <c r="G437" i="1"/>
  <c r="F437" i="1"/>
  <c r="B437" i="1"/>
  <c r="A437" i="1"/>
  <c r="F74" i="1"/>
  <c r="C74" i="1"/>
  <c r="B74" i="1"/>
  <c r="D74" i="1"/>
  <c r="A74" i="1"/>
  <c r="H74" i="1"/>
  <c r="G74" i="1"/>
  <c r="E74" i="1"/>
  <c r="G201" i="1"/>
  <c r="C201" i="1"/>
  <c r="B201" i="1"/>
  <c r="F201" i="1"/>
  <c r="A201" i="1"/>
  <c r="H201" i="1"/>
  <c r="E201" i="1"/>
  <c r="D201" i="1"/>
  <c r="G353" i="1"/>
  <c r="F353" i="1"/>
  <c r="E353" i="1"/>
  <c r="C353" i="1"/>
  <c r="H353" i="1"/>
  <c r="D353" i="1"/>
  <c r="B353" i="1"/>
  <c r="A353" i="1"/>
  <c r="B475" i="1"/>
  <c r="H475" i="1"/>
  <c r="G475" i="1"/>
  <c r="F475" i="1"/>
  <c r="D475" i="1"/>
  <c r="E475" i="1"/>
  <c r="C475" i="1"/>
  <c r="A475" i="1"/>
  <c r="E57" i="1"/>
  <c r="D57" i="1"/>
  <c r="B57" i="1"/>
  <c r="A57" i="1"/>
  <c r="H57" i="1"/>
  <c r="G57" i="1"/>
  <c r="F57" i="1"/>
  <c r="C57" i="1"/>
  <c r="E147" i="1"/>
  <c r="D147" i="1"/>
  <c r="C147" i="1"/>
  <c r="F147" i="1"/>
  <c r="H147" i="1"/>
  <c r="G147" i="1"/>
  <c r="B147" i="1"/>
  <c r="A147" i="1"/>
  <c r="C229" i="1"/>
  <c r="G229" i="1"/>
  <c r="F229" i="1"/>
  <c r="A229" i="1"/>
  <c r="H229" i="1"/>
  <c r="E229" i="1"/>
  <c r="D229" i="1"/>
  <c r="B229" i="1"/>
  <c r="F330" i="1"/>
  <c r="C330" i="1"/>
  <c r="B330" i="1"/>
  <c r="D330" i="1"/>
  <c r="E330" i="1"/>
  <c r="H330" i="1"/>
  <c r="G330" i="1"/>
  <c r="A330" i="1"/>
  <c r="G494" i="1"/>
  <c r="B494" i="1"/>
  <c r="D494" i="1"/>
  <c r="C494" i="1"/>
  <c r="E494" i="1"/>
  <c r="A494" i="1"/>
  <c r="H494" i="1"/>
  <c r="F494" i="1"/>
  <c r="F130" i="1"/>
  <c r="B130" i="1"/>
  <c r="A130" i="1"/>
  <c r="H130" i="1"/>
  <c r="G130" i="1"/>
  <c r="E130" i="1"/>
  <c r="D130" i="1"/>
  <c r="C130" i="1"/>
  <c r="F234" i="1"/>
  <c r="H234" i="1"/>
  <c r="G234" i="1"/>
  <c r="B234" i="1"/>
  <c r="E234" i="1"/>
  <c r="D234" i="1"/>
  <c r="C234" i="1"/>
  <c r="A234" i="1"/>
  <c r="D364" i="1"/>
  <c r="H364" i="1"/>
  <c r="G364" i="1"/>
  <c r="B364" i="1"/>
  <c r="E364" i="1"/>
  <c r="F364" i="1"/>
  <c r="C364" i="1"/>
  <c r="A364" i="1"/>
  <c r="C101" i="1"/>
  <c r="G101" i="1"/>
  <c r="F101" i="1"/>
  <c r="D101" i="1"/>
  <c r="H101" i="1"/>
  <c r="E101" i="1"/>
  <c r="B101" i="1"/>
  <c r="A101" i="1"/>
  <c r="G265" i="1"/>
  <c r="C265" i="1"/>
  <c r="B265" i="1"/>
  <c r="D265" i="1"/>
  <c r="E265" i="1"/>
  <c r="H265" i="1"/>
  <c r="F265" i="1"/>
  <c r="A265" i="1"/>
  <c r="E395" i="1"/>
  <c r="C395" i="1"/>
  <c r="B395" i="1"/>
  <c r="D395" i="1"/>
  <c r="F395" i="1"/>
  <c r="A395" i="1"/>
  <c r="H395" i="1"/>
  <c r="G395" i="1"/>
  <c r="G55" i="1"/>
  <c r="F55" i="1"/>
  <c r="H55" i="1"/>
  <c r="E55" i="1"/>
  <c r="D55" i="1"/>
  <c r="C55" i="1"/>
  <c r="B55" i="1"/>
  <c r="A55" i="1"/>
  <c r="D132" i="1"/>
  <c r="B132" i="1"/>
  <c r="A132" i="1"/>
  <c r="F132" i="1"/>
  <c r="H132" i="1"/>
  <c r="G132" i="1"/>
  <c r="E132" i="1"/>
  <c r="C132" i="1"/>
  <c r="E211" i="1"/>
  <c r="D211" i="1"/>
  <c r="C211" i="1"/>
  <c r="A211" i="1"/>
  <c r="H211" i="1"/>
  <c r="G211" i="1"/>
  <c r="F211" i="1"/>
  <c r="B211" i="1"/>
  <c r="H352" i="1"/>
  <c r="F352" i="1"/>
  <c r="E352" i="1"/>
  <c r="A352" i="1"/>
  <c r="B352" i="1"/>
  <c r="G352" i="1"/>
  <c r="D352" i="1"/>
  <c r="C352" i="1"/>
  <c r="D457" i="1"/>
  <c r="F457" i="1"/>
  <c r="B457" i="1"/>
  <c r="A457" i="1"/>
  <c r="C457" i="1"/>
  <c r="H457" i="1"/>
  <c r="G457" i="1"/>
  <c r="E457" i="1"/>
  <c r="E472" i="1"/>
  <c r="H472" i="1"/>
  <c r="C472" i="1"/>
  <c r="B472" i="1"/>
  <c r="D472" i="1"/>
  <c r="A472" i="1"/>
  <c r="G472" i="1"/>
  <c r="F472" i="1"/>
  <c r="H280" i="1"/>
  <c r="E280" i="1"/>
  <c r="D280" i="1"/>
  <c r="B280" i="1"/>
  <c r="C280" i="1"/>
  <c r="A280" i="1"/>
  <c r="G280" i="1"/>
  <c r="F280" i="1"/>
  <c r="D449" i="1"/>
  <c r="E449" i="1"/>
  <c r="A449" i="1"/>
  <c r="B449" i="1"/>
  <c r="H449" i="1"/>
  <c r="G449" i="1"/>
  <c r="F449" i="1"/>
  <c r="C449" i="1"/>
  <c r="D18" i="1"/>
  <c r="C18" i="1"/>
  <c r="H18" i="1"/>
  <c r="G18" i="1"/>
  <c r="F18" i="1"/>
  <c r="E18" i="1"/>
  <c r="B18" i="1"/>
  <c r="A18" i="1"/>
  <c r="E91" i="1"/>
  <c r="F91" i="1"/>
  <c r="D91" i="1"/>
  <c r="B91" i="1"/>
  <c r="A91" i="1"/>
  <c r="H91" i="1"/>
  <c r="G91" i="1"/>
  <c r="C91" i="1"/>
  <c r="F202" i="1"/>
  <c r="C202" i="1"/>
  <c r="B202" i="1"/>
  <c r="G202" i="1"/>
  <c r="E202" i="1"/>
  <c r="D202" i="1"/>
  <c r="A202" i="1"/>
  <c r="H202" i="1"/>
  <c r="B286" i="1"/>
  <c r="F286" i="1"/>
  <c r="E286" i="1"/>
  <c r="H286" i="1"/>
  <c r="G286" i="1"/>
  <c r="D286" i="1"/>
  <c r="C286" i="1"/>
  <c r="A286" i="1"/>
  <c r="G393" i="1"/>
  <c r="C393" i="1"/>
  <c r="B393" i="1"/>
  <c r="H393" i="1"/>
  <c r="F393" i="1"/>
  <c r="E393" i="1"/>
  <c r="D393" i="1"/>
  <c r="A393" i="1"/>
  <c r="C490" i="1"/>
  <c r="A490" i="1"/>
  <c r="H490" i="1"/>
  <c r="G490" i="1"/>
  <c r="F490" i="1"/>
  <c r="E490" i="1"/>
  <c r="D490" i="1"/>
  <c r="B490" i="1"/>
  <c r="B60" i="1"/>
  <c r="A60" i="1"/>
  <c r="E60" i="1"/>
  <c r="H60" i="1"/>
  <c r="G60" i="1"/>
  <c r="F60" i="1"/>
  <c r="D60" i="1"/>
  <c r="C60" i="1"/>
  <c r="H184" i="1"/>
  <c r="A184" i="1"/>
  <c r="B184" i="1"/>
  <c r="C184" i="1"/>
  <c r="G184" i="1"/>
  <c r="F184" i="1"/>
  <c r="E184" i="1"/>
  <c r="D184" i="1"/>
  <c r="G249" i="1"/>
  <c r="A249" i="1"/>
  <c r="B249" i="1"/>
  <c r="H249" i="1"/>
  <c r="F249" i="1"/>
  <c r="E249" i="1"/>
  <c r="D249" i="1"/>
  <c r="C249" i="1"/>
  <c r="F314" i="1"/>
  <c r="A314" i="1"/>
  <c r="B314" i="1"/>
  <c r="H314" i="1"/>
  <c r="G314" i="1"/>
  <c r="E314" i="1"/>
  <c r="D314" i="1"/>
  <c r="C314" i="1"/>
  <c r="E379" i="1"/>
  <c r="A379" i="1"/>
  <c r="B379" i="1"/>
  <c r="H379" i="1"/>
  <c r="G379" i="1"/>
  <c r="F379" i="1"/>
  <c r="D379" i="1"/>
  <c r="C379" i="1"/>
  <c r="F455" i="1"/>
  <c r="E455" i="1"/>
  <c r="C455" i="1"/>
  <c r="D455" i="1"/>
  <c r="B455" i="1"/>
  <c r="H455" i="1"/>
  <c r="G455" i="1"/>
  <c r="A455" i="1"/>
  <c r="A37" i="1"/>
  <c r="H37" i="1"/>
  <c r="G37" i="1"/>
  <c r="F37" i="1"/>
  <c r="E37" i="1"/>
  <c r="D37" i="1"/>
  <c r="C37" i="1"/>
  <c r="B37" i="1"/>
  <c r="D116" i="1"/>
  <c r="H116" i="1"/>
  <c r="C116" i="1"/>
  <c r="A116" i="1"/>
  <c r="G116" i="1"/>
  <c r="F116" i="1"/>
  <c r="E116" i="1"/>
  <c r="B116" i="1"/>
  <c r="C181" i="1"/>
  <c r="H181" i="1"/>
  <c r="D181" i="1"/>
  <c r="A181" i="1"/>
  <c r="G181" i="1"/>
  <c r="F181" i="1"/>
  <c r="E181" i="1"/>
  <c r="B181" i="1"/>
  <c r="B246" i="1"/>
  <c r="H246" i="1"/>
  <c r="D246" i="1"/>
  <c r="G246" i="1"/>
  <c r="F246" i="1"/>
  <c r="E246" i="1"/>
  <c r="C246" i="1"/>
  <c r="A246" i="1"/>
  <c r="H368" i="1"/>
  <c r="G368" i="1"/>
  <c r="C368" i="1"/>
  <c r="F368" i="1"/>
  <c r="E368" i="1"/>
  <c r="D368" i="1"/>
  <c r="B368" i="1"/>
  <c r="A368" i="1"/>
  <c r="C426" i="1"/>
  <c r="A426" i="1"/>
  <c r="H426" i="1"/>
  <c r="G426" i="1"/>
  <c r="F426" i="1"/>
  <c r="E426" i="1"/>
  <c r="D426" i="1"/>
  <c r="B426" i="1"/>
  <c r="D505" i="1"/>
  <c r="C505" i="1"/>
  <c r="H505" i="1"/>
  <c r="A505" i="1"/>
  <c r="E505" i="1"/>
  <c r="B505" i="1"/>
  <c r="G505" i="1"/>
  <c r="F505" i="1"/>
  <c r="A119" i="1"/>
  <c r="H119" i="1"/>
  <c r="B119" i="1"/>
  <c r="C119" i="1"/>
  <c r="G119" i="1"/>
  <c r="F119" i="1"/>
  <c r="E119" i="1"/>
  <c r="D119" i="1"/>
  <c r="A183" i="1"/>
  <c r="H183" i="1"/>
  <c r="G183" i="1"/>
  <c r="F183" i="1"/>
  <c r="E183" i="1"/>
  <c r="D183" i="1"/>
  <c r="C183" i="1"/>
  <c r="B183" i="1"/>
  <c r="A247" i="1"/>
  <c r="H247" i="1"/>
  <c r="F247" i="1"/>
  <c r="G247" i="1"/>
  <c r="E247" i="1"/>
  <c r="D247" i="1"/>
  <c r="C247" i="1"/>
  <c r="B247" i="1"/>
  <c r="A311" i="1"/>
  <c r="H311" i="1"/>
  <c r="D311" i="1"/>
  <c r="G311" i="1"/>
  <c r="F311" i="1"/>
  <c r="E311" i="1"/>
  <c r="C311" i="1"/>
  <c r="B311" i="1"/>
  <c r="A375" i="1"/>
  <c r="H375" i="1"/>
  <c r="B375" i="1"/>
  <c r="D375" i="1"/>
  <c r="G375" i="1"/>
  <c r="F375" i="1"/>
  <c r="E375" i="1"/>
  <c r="C375" i="1"/>
  <c r="E416" i="1"/>
  <c r="F416" i="1"/>
  <c r="D416" i="1"/>
  <c r="G416" i="1"/>
  <c r="C416" i="1"/>
  <c r="B416" i="1"/>
  <c r="H416" i="1"/>
  <c r="A416" i="1"/>
  <c r="D481" i="1"/>
  <c r="F481" i="1"/>
  <c r="E481" i="1"/>
  <c r="G481" i="1"/>
  <c r="H481" i="1"/>
  <c r="C481" i="1"/>
  <c r="B481" i="1"/>
  <c r="A481" i="1"/>
  <c r="A452" i="1"/>
  <c r="E452" i="1"/>
  <c r="F452" i="1"/>
  <c r="D452" i="1"/>
  <c r="B452" i="1"/>
  <c r="H452" i="1"/>
  <c r="G452" i="1"/>
  <c r="C452" i="1"/>
  <c r="A516" i="1"/>
  <c r="E516" i="1"/>
  <c r="D516" i="1"/>
  <c r="C516" i="1"/>
  <c r="H516" i="1"/>
  <c r="G516" i="1"/>
  <c r="F516" i="1"/>
  <c r="B5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Nota</author>
  </authors>
  <commentList>
    <comment ref="A12" authorId="0" shapeId="0" xr:uid="{00000000-0006-0000-0000-000001000000}">
      <text>
        <r>
          <rPr>
            <sz val="11"/>
            <color theme="1"/>
            <rFont val="Calibri"/>
          </rPr>
          <t>Filtro por unidad municipal, distinto de la categoria tematica Residuos o Parques y viveros.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Fuente</author>
  </authors>
  <commentList>
    <comment ref="D2" authorId="0" shapeId="0" xr:uid="{00000000-0006-0000-0100-000001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 authorId="0" shapeId="0" xr:uid="{00000000-0006-0000-0100-000002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 authorId="0" shapeId="0" xr:uid="{00000000-0006-0000-0100-000003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 authorId="0" shapeId="0" xr:uid="{00000000-0006-0000-0100-000004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 authorId="0" shapeId="0" xr:uid="{00000000-0006-0000-0100-000005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 authorId="0" shapeId="0" xr:uid="{00000000-0006-0000-0100-000006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 authorId="0" shapeId="0" xr:uid="{00000000-0006-0000-0100-000007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 authorId="0" shapeId="0" xr:uid="{00000000-0006-0000-0100-000008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 authorId="0" shapeId="0" xr:uid="{00000000-0006-0000-0100-000009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 authorId="0" shapeId="0" xr:uid="{00000000-0006-0000-0100-00000A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 authorId="0" shapeId="0" xr:uid="{00000000-0006-0000-0100-00000B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3" authorId="0" shapeId="0" xr:uid="{00000000-0006-0000-0100-00000C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4" authorId="0" shapeId="0" xr:uid="{00000000-0006-0000-0100-00000D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5" authorId="0" shapeId="0" xr:uid="{00000000-0006-0000-0100-00000E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6" authorId="0" shapeId="0" xr:uid="{00000000-0006-0000-0100-00000F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7" authorId="0" shapeId="0" xr:uid="{00000000-0006-0000-0100-000010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8" authorId="0" shapeId="0" xr:uid="{00000000-0006-0000-0100-000011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9" authorId="0" shapeId="0" xr:uid="{00000000-0006-0000-0100-000012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0" authorId="0" shapeId="0" xr:uid="{00000000-0006-0000-0100-000013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1" authorId="0" shapeId="0" xr:uid="{00000000-0006-0000-0100-000014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2" authorId="0" shapeId="0" xr:uid="{00000000-0006-0000-0100-000015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3" authorId="0" shapeId="0" xr:uid="{00000000-0006-0000-0100-000016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4" authorId="0" shapeId="0" xr:uid="{00000000-0006-0000-0100-000017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5" authorId="0" shapeId="0" xr:uid="{00000000-0006-0000-0100-000018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6" authorId="0" shapeId="0" xr:uid="{00000000-0006-0000-0100-000019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7" authorId="0" shapeId="0" xr:uid="{00000000-0006-0000-0100-00001A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8" authorId="0" shapeId="0" xr:uid="{00000000-0006-0000-0100-00001B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29" authorId="0" shapeId="0" xr:uid="{00000000-0006-0000-0100-00001C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0" authorId="0" shapeId="0" xr:uid="{00000000-0006-0000-0100-00001D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1" authorId="0" shapeId="0" xr:uid="{00000000-0006-0000-0100-00001E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2" authorId="0" shapeId="0" xr:uid="{00000000-0006-0000-0100-00001F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3" authorId="0" shapeId="0" xr:uid="{00000000-0006-0000-0100-000020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4" authorId="0" shapeId="0" xr:uid="{00000000-0006-0000-0100-000021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5" authorId="0" shapeId="0" xr:uid="{00000000-0006-0000-0100-000022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6" authorId="0" shapeId="0" xr:uid="{00000000-0006-0000-0100-000023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7" authorId="0" shapeId="0" xr:uid="{00000000-0006-0000-0100-000024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8" authorId="0" shapeId="0" xr:uid="{00000000-0006-0000-0100-000025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39" authorId="0" shapeId="0" xr:uid="{00000000-0006-0000-0100-000026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0" authorId="0" shapeId="0" xr:uid="{00000000-0006-0000-0100-000027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1" authorId="0" shapeId="0" xr:uid="{00000000-0006-0000-0100-000028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2" authorId="0" shapeId="0" xr:uid="{00000000-0006-0000-0100-000029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3" authorId="0" shapeId="0" xr:uid="{00000000-0006-0000-0100-00002A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4" authorId="0" shapeId="0" xr:uid="{00000000-0006-0000-0100-00002B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5" authorId="0" shapeId="0" xr:uid="{00000000-0006-0000-0100-00002C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6" authorId="0" shapeId="0" xr:uid="{00000000-0006-0000-0100-00002D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7" authorId="0" shapeId="0" xr:uid="{00000000-0006-0000-0100-00002E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8" authorId="0" shapeId="0" xr:uid="{00000000-0006-0000-0100-00002F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49" authorId="0" shapeId="0" xr:uid="{00000000-0006-0000-0100-000030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0" authorId="0" shapeId="0" xr:uid="{00000000-0006-0000-0100-000031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1" authorId="0" shapeId="0" xr:uid="{00000000-0006-0000-0100-000032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2" authorId="0" shapeId="0" xr:uid="{00000000-0006-0000-0100-000033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3" authorId="0" shapeId="0" xr:uid="{00000000-0006-0000-0100-000034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4" authorId="0" shapeId="0" xr:uid="{00000000-0006-0000-0100-000035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5" authorId="0" shapeId="0" xr:uid="{00000000-0006-0000-0100-000036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6" authorId="0" shapeId="0" xr:uid="{00000000-0006-0000-0100-000037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7" authorId="0" shapeId="0" xr:uid="{00000000-0006-0000-0100-000038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8" authorId="0" shapeId="0" xr:uid="{00000000-0006-0000-0100-000039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59" authorId="0" shapeId="0" xr:uid="{00000000-0006-0000-0100-00003A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0" authorId="0" shapeId="0" xr:uid="{00000000-0006-0000-0100-00003B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1" authorId="0" shapeId="0" xr:uid="{00000000-0006-0000-0100-00003C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2" authorId="0" shapeId="0" xr:uid="{00000000-0006-0000-0100-00003D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3" authorId="0" shapeId="0" xr:uid="{00000000-0006-0000-0100-00003E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4" authorId="0" shapeId="0" xr:uid="{00000000-0006-0000-0100-00003F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5" authorId="0" shapeId="0" xr:uid="{00000000-0006-0000-0100-000040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6" authorId="0" shapeId="0" xr:uid="{00000000-0006-0000-0100-000041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7" authorId="0" shapeId="0" xr:uid="{00000000-0006-0000-0100-000042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8" authorId="0" shapeId="0" xr:uid="{00000000-0006-0000-0100-000043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69" authorId="0" shapeId="0" xr:uid="{00000000-0006-0000-0100-000044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0" authorId="0" shapeId="0" xr:uid="{00000000-0006-0000-0100-000045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1" authorId="0" shapeId="0" xr:uid="{00000000-0006-0000-0100-000046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2" authorId="0" shapeId="0" xr:uid="{00000000-0006-0000-0100-000047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3" authorId="0" shapeId="0" xr:uid="{00000000-0006-0000-0100-000048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4" authorId="0" shapeId="0" xr:uid="{00000000-0006-0000-0100-000049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5" authorId="0" shapeId="0" xr:uid="{00000000-0006-0000-0100-00004A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6" authorId="0" shapeId="0" xr:uid="{00000000-0006-0000-0100-00004B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7" authorId="0" shapeId="0" xr:uid="{00000000-0006-0000-0100-00004C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8" authorId="0" shapeId="0" xr:uid="{00000000-0006-0000-0100-00004D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79" authorId="0" shapeId="0" xr:uid="{00000000-0006-0000-0100-00004E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0" authorId="0" shapeId="0" xr:uid="{00000000-0006-0000-0100-00004F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1" authorId="0" shapeId="0" xr:uid="{00000000-0006-0000-0100-000050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2" authorId="0" shapeId="0" xr:uid="{00000000-0006-0000-0100-000051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3" authorId="0" shapeId="0" xr:uid="{00000000-0006-0000-0100-000052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4" authorId="0" shapeId="0" xr:uid="{00000000-0006-0000-0100-000053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5" authorId="0" shapeId="0" xr:uid="{00000000-0006-0000-0100-000054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6" authorId="0" shapeId="0" xr:uid="{00000000-0006-0000-0100-000055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7" authorId="0" shapeId="0" xr:uid="{00000000-0006-0000-0100-000056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8" authorId="0" shapeId="0" xr:uid="{00000000-0006-0000-0100-000057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89" authorId="0" shapeId="0" xr:uid="{00000000-0006-0000-0100-000058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0" authorId="0" shapeId="0" xr:uid="{00000000-0006-0000-0100-000059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1" authorId="0" shapeId="0" xr:uid="{00000000-0006-0000-0100-00005A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2" authorId="0" shapeId="0" xr:uid="{00000000-0006-0000-0100-00005B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3" authorId="0" shapeId="0" xr:uid="{00000000-0006-0000-0100-00005C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4" authorId="0" shapeId="0" xr:uid="{00000000-0006-0000-0100-00005D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5" authorId="0" shapeId="0" xr:uid="{00000000-0006-0000-0100-00005E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6" authorId="0" shapeId="0" xr:uid="{00000000-0006-0000-0100-00005F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7" authorId="0" shapeId="0" xr:uid="{00000000-0006-0000-0100-000060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8" authorId="0" shapeId="0" xr:uid="{00000000-0006-0000-0100-000061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99" authorId="0" shapeId="0" xr:uid="{00000000-0006-0000-0100-000062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0" authorId="0" shapeId="0" xr:uid="{00000000-0006-0000-0100-000063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1" authorId="0" shapeId="0" xr:uid="{00000000-0006-0000-0100-000064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2" authorId="0" shapeId="0" xr:uid="{00000000-0006-0000-0100-000065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3" authorId="0" shapeId="0" xr:uid="{00000000-0006-0000-0100-000066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4" authorId="0" shapeId="0" xr:uid="{00000000-0006-0000-0100-000067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5" authorId="0" shapeId="0" xr:uid="{00000000-0006-0000-0100-000068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6" authorId="0" shapeId="0" xr:uid="{00000000-0006-0000-0100-000069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7" authorId="0" shapeId="0" xr:uid="{00000000-0006-0000-0100-00006A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8" authorId="0" shapeId="0" xr:uid="{00000000-0006-0000-0100-00006B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09" authorId="0" shapeId="0" xr:uid="{00000000-0006-0000-0100-00006C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0" authorId="0" shapeId="0" xr:uid="{00000000-0006-0000-0100-00006D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1" authorId="0" shapeId="0" xr:uid="{00000000-0006-0000-0100-00006E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2" authorId="0" shapeId="0" xr:uid="{00000000-0006-0000-0100-00006F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3" authorId="0" shapeId="0" xr:uid="{00000000-0006-0000-0100-000070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4" authorId="0" shapeId="0" xr:uid="{00000000-0006-0000-0100-000071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5" authorId="0" shapeId="0" xr:uid="{00000000-0006-0000-0100-000072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6" authorId="0" shapeId="0" xr:uid="{00000000-0006-0000-0100-000073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7" authorId="0" shapeId="0" xr:uid="{00000000-0006-0000-0100-000074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8" authorId="0" shapeId="0" xr:uid="{00000000-0006-0000-0100-000075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19" authorId="0" shapeId="0" xr:uid="{00000000-0006-0000-0100-000076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0" authorId="0" shapeId="0" xr:uid="{00000000-0006-0000-0100-000077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1" authorId="0" shapeId="0" xr:uid="{00000000-0006-0000-0100-000078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2" authorId="0" shapeId="0" xr:uid="{00000000-0006-0000-0100-000079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3" authorId="0" shapeId="0" xr:uid="{00000000-0006-0000-0100-00007A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4" authorId="0" shapeId="0" xr:uid="{00000000-0006-0000-0100-00007B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5" authorId="0" shapeId="0" xr:uid="{00000000-0006-0000-0100-00007C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6" authorId="0" shapeId="0" xr:uid="{00000000-0006-0000-0100-00007D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7" authorId="0" shapeId="0" xr:uid="{00000000-0006-0000-0100-00007E000000}">
      <text>
        <r>
          <rPr>
            <sz val="11"/>
            <color theme="1"/>
            <rFont val="Calibri"/>
          </rPr>
          <t>Denominacion de la unidad municipal: https://sede.madrid.es/portal/site/tramites/menuitem.1f3361415fda829be152e15284f1a5a0/?vgnextoid=60cabf9b6f60f210VgnVCM2000000c205a0aRCRD&amp;vgnextchannel=518aa38813180210VgnVCM100000c90da8c0RCRD</t>
        </r>
      </text>
    </comment>
    <comment ref="D128" authorId="0" shapeId="0" xr:uid="{00000000-0006-0000-0100-00007F000000}">
      <text>
        <r>
          <rPr>
            <sz val="11"/>
            <color theme="1"/>
            <rFont val="Calibri"/>
          </rPr>
          <t>Denominacion de la unidad municipal: https://www.madrid.es/portales/munimadrid/es/Inicio/Medio-ambiente/Agua/Direcciones-y-telefonos/Direccion-General-de-Gestion-del-Agua-y-Zonas-Verdes/?vgnextoid=271189e2c9e5d010VgnVCM1000000b205a0aRCRD&amp;vgnextchannel=72fdb1b5ded4f510VgnVCM1000001d4a900aRCRD</t>
        </r>
      </text>
    </comment>
    <comment ref="D129" authorId="0" shapeId="0" xr:uid="{00000000-0006-0000-0100-000080000000}">
      <text>
        <r>
          <rPr>
            <sz val="11"/>
            <color theme="1"/>
            <rFont val="Calibri"/>
          </rPr>
          <t>Denominacion de la unidad municipal: https://www.madrid.es/portales/munimadrid/es/Inicio/Medio-ambiente/Agua/Direcciones-y-telefonos/Direccion-General-de-Gestion-del-Agua-y-Zonas-Verdes/?vgnextoid=271189e2c9e5d010VgnVCM1000000b205a0aRCRD&amp;vgnextchannel=72fdb1b5ded4f510VgnVCM1000001d4a900aRCRD</t>
        </r>
      </text>
    </comment>
    <comment ref="D130" authorId="0" shapeId="0" xr:uid="{00000000-0006-0000-0100-000081000000}">
      <text>
        <r>
          <rPr>
            <sz val="11"/>
            <color theme="1"/>
            <rFont val="Calibri"/>
          </rPr>
          <t>Denominacion de la unidad municipal: https://www.madrid.es/portales/munimadrid/es/Inicio/Medio-ambiente/Agua/Direcciones-y-telefonos/Direccion-General-de-Gestion-del-Agua-y-Zonas-Verdes/?vgnextoid=271189e2c9e5d010VgnVCM1000000b205a0aRCRD&amp;vgnextchannel=72fdb1b5ded4f510VgnVCM1000001d4a900aRCRD</t>
        </r>
      </text>
    </comment>
    <comment ref="D131" authorId="0" shapeId="0" xr:uid="{00000000-0006-0000-0100-000082000000}">
      <text>
        <r>
          <rPr>
            <sz val="11"/>
            <color theme="1"/>
            <rFont val="Calibri"/>
          </rPr>
          <t>Denominacion de la unidad municipal: https://www.madrid.es/portales/munimadrid/es/Inicio/Medio-ambiente/Agua/Direcciones-y-telefonos/Direccion-General-de-Gestion-del-Agua-y-Zonas-Verdes/?vgnextoid=271189e2c9e5d010VgnVCM1000000b205a0aRCRD&amp;vgnextchannel=72fdb1b5ded4f510VgnVCM1000001d4a900aRCRD</t>
        </r>
      </text>
    </comment>
    <comment ref="D132" authorId="0" shapeId="0" xr:uid="{00000000-0006-0000-0100-000083000000}">
      <text>
        <r>
          <rPr>
            <sz val="11"/>
            <color theme="1"/>
            <rFont val="Calibri"/>
          </rPr>
          <t>Denominacion de la unidad municipal: https://www.madrid.es/portales/munimadrid/es/Inicio/Medio-ambiente/Agua/Direcciones-y-telefonos/Direccion-General-de-Gestion-del-Agua-y-Zonas-Verdes/?vgnextoid=271189e2c9e5d010VgnVCM1000000b205a0aRCRD&amp;vgnextchannel=72fdb1b5ded4f510VgnVCM1000001d4a900aRCRD</t>
        </r>
      </text>
    </comment>
    <comment ref="D133" authorId="0" shapeId="0" xr:uid="{00000000-0006-0000-0100-000084000000}">
      <text>
        <r>
          <rPr>
            <sz val="11"/>
            <color theme="1"/>
            <rFont val="Calibri"/>
          </rPr>
          <t>Denominacion de la unidad municipal: https://www.madrid.es/portales/munimadrid/es/Inicio/Medio-ambiente/Agua/Direcciones-y-telefonos/Direccion-General-de-Gestion-del-Agua-y-Zonas-Verdes/?vgnextoid=271189e2c9e5d010VgnVCM1000000b205a0aRCRD&amp;vgnextchannel=72fdb1b5ded4f510VgnVCM1000001d4a900aRCRD</t>
        </r>
      </text>
    </comment>
    <comment ref="D134" authorId="0" shapeId="0" xr:uid="{00000000-0006-0000-0100-000085000000}">
      <text>
        <r>
          <rPr>
            <sz val="11"/>
            <color theme="1"/>
            <rFont val="Calibri"/>
          </rPr>
          <t>Denominacion de la unidad municipal: https://www.madrid.es/portales/munimadrid/es/Inicio/Medio-ambiente/Agua/Direcciones-y-telefonos/Direccion-General-de-Gestion-del-Agua-y-Zonas-Verdes/?vgnextoid=271189e2c9e5d010VgnVCM1000000b205a0aRCRD&amp;vgnextchannel=72fdb1b5ded4f510VgnVCM1000001d4a900aRCRD</t>
        </r>
      </text>
    </comment>
  </commentList>
</comments>
</file>

<file path=xl/sharedStrings.xml><?xml version="1.0" encoding="utf-8"?>
<sst xmlns="http://schemas.openxmlformats.org/spreadsheetml/2006/main" count="19932" uniqueCount="1997">
  <si>
    <t>CONSULTA DE CONTRATOS MUNICIPALES</t>
  </si>
  <si>
    <t>Seleccione uno o varios criterios. Para retirar un criterio, elija «Sin filtro» en su lista.</t>
  </si>
  <si>
    <t>Distrito</t>
  </si>
  <si>
    <t>Sin filtro</t>
  </si>
  <si>
    <t>▾</t>
  </si>
  <si>
    <t>Grupo empresarial</t>
  </si>
  <si>
    <t>Empresa / UTE</t>
  </si>
  <si>
    <t>Área de Gobierno</t>
  </si>
  <si>
    <t>Dirección General</t>
  </si>
  <si>
    <t>Subdirección General</t>
  </si>
  <si>
    <t>Denominación del contrato</t>
  </si>
  <si>
    <t>Lote</t>
  </si>
  <si>
    <t>Titular de la Dirección General</t>
  </si>
  <si>
    <t>Fin de vigencia registrado</t>
  </si>
  <si>
    <t>Prestación y particularidades</t>
  </si>
  <si>
    <t>Servicio</t>
  </si>
  <si>
    <t>Area de gobierno</t>
  </si>
  <si>
    <t>Direccion general</t>
  </si>
  <si>
    <t>Subdireccion / unidad</t>
  </si>
  <si>
    <t>Contrato</t>
  </si>
  <si>
    <t>Expediente</t>
  </si>
  <si>
    <t>Prestacion</t>
  </si>
  <si>
    <t>Cobertura</t>
  </si>
  <si>
    <t>Responsable DG</t>
  </si>
  <si>
    <t>Gestor del contrato</t>
  </si>
  <si>
    <t>Contacto publicado</t>
  </si>
  <si>
    <t>Excepciones / limites</t>
  </si>
  <si>
    <t>Estado / pendientes</t>
  </si>
  <si>
    <t>Fuente</t>
  </si>
  <si>
    <t>ID relacion (PK propuesta)</t>
  </si>
  <si>
    <t>ID lote (FK propuesta)</t>
  </si>
  <si>
    <t>ESTADO DE VIGENCIA · 16/10/2026</t>
  </si>
  <si>
    <t>GRUPO/FAMILIA PARA BÚSQUEDA</t>
  </si>
  <si>
    <t>CRITERIO VÍNCULO CORPORATIVO</t>
  </si>
  <si>
    <t>REVISIÓN</t>
  </si>
  <si>
    <t>ESTADO CONTRACTUAL</t>
  </si>
  <si>
    <t>COBERTURA DEL LOTE</t>
  </si>
  <si>
    <t>FECHAS: CRITERIO</t>
  </si>
  <si>
    <t>REVISADO EL</t>
  </si>
  <si>
    <t>CLAVES DE GRUPO</t>
  </si>
  <si>
    <t>Centro</t>
  </si>
  <si>
    <t>Residuos</t>
  </si>
  <si>
    <t>Área de Gobierno de Urbanismo, Medio Ambiente y Movilidad</t>
  </si>
  <si>
    <t>Dirección General de Servicios de Limpieza y Residuos</t>
  </si>
  <si>
    <t>Subdirección General de Recogida de Residuos</t>
  </si>
  <si>
    <t>Contenerización, recogida y transporte de residuos</t>
  </si>
  <si>
    <t>131/2021/06296</t>
  </si>
  <si>
    <t>1</t>
  </si>
  <si>
    <t>FCC MEDIO AMBIENTE, SA</t>
  </si>
  <si>
    <t>Recogida y transporte habitual</t>
  </si>
  <si>
    <t>Zona territorial del lote</t>
  </si>
  <si>
    <t>Víctor Manuel Sarabia Herrero</t>
  </si>
  <si>
    <t>No acreditado</t>
  </si>
  <si>
    <t>010 / 914 800 010 (atencion municipal, no gestor directo)</t>
  </si>
  <si>
    <t>Lote 1: eventos eje Castellana-Prado-Recoletos</t>
  </si>
  <si>
    <t>Concesión vigente; adjudicataria y fin 31/10/2028 contrastados en registro de concesiones municipal (15/10/2026). | FECHAS REVISADAS: Inicio 01/11/2022 acreditado por formalización de los cuatro lotes. | CONTROL DOCUMENTAL 21/10/2026: Adjudicación y fin publicados. Los cuatro lotes se pueden contrastar en el registro municipal de concesiones. Fin publicado: 31/10/2028. No generalizar ámbito de cada lote. [Base de evidencia: Portal municipal / resolución o resultado oficial consultado] | CONTRASTE ADICIONAL 21/10/2026: FUENTE MUNICIPAL: la concesión registra adjudicación diferenciada en los 4 lotes (FCC, UTE VAO, UTE Sur, CONTENUR) y fin contractual 31/10/2028.</t>
  </si>
  <si>
    <t>https://contratacion.madrid.es/concesiones/
https://contrataciondelestado.es/FileSystem/servlet/GetDocumentByIdServlet?DocumentIdParam=I52CDqtLbsdgHyWk6Tjc%2BH2t2QGKU1Ro9lcaZmb7V5J4T4CLRYtO18fD2fcADXQg90aL83OqQbUADSXvNu02Vt6kOzxNccJdTRf8umMgorI%3D&amp;cifrado=QUC1GjXXSiLkydRHJBmbpw%3D%3D</t>
  </si>
  <si>
    <t>REL-0001</t>
  </si>
  <si>
    <t>131/2021/06296|1</t>
  </si>
  <si>
    <t>FIN REGISTRADO POSTERIOR · EJECUCIÓN A CONFIRMAR</t>
  </si>
  <si>
    <t>FCC</t>
  </si>
  <si>
    <t>Grupo/familia pendiente de confirmar legalmente</t>
  </si>
  <si>
    <t>16/10/2026</t>
  </si>
  <si>
    <t>|FCC|</t>
  </si>
  <si>
    <t>4</t>
  </si>
  <si>
    <t>CONTENUR SL</t>
  </si>
  <si>
    <t>Suministro, mantenimiento y limpieza de contenedores</t>
  </si>
  <si>
    <t>Toda la ciudad</t>
  </si>
  <si>
    <t>No es vaciado ni recogida habitual</t>
  </si>
  <si>
    <t>REL-0002</t>
  </si>
  <si>
    <t>131/2021/06296|4</t>
  </si>
  <si>
    <t>Agrupación de consulta por nombre de adjudicataria; no consta matriz contrastada.</t>
  </si>
  <si>
    <t>|CONTENUR SL|</t>
  </si>
  <si>
    <t>3</t>
  </si>
  <si>
    <t>UTE 2022 Recogida Madrid Sur</t>
  </si>
  <si>
    <t>Recogida de pilas y baterias usadas</t>
  </si>
  <si>
    <t>Tarea especial del lote 3 fuera de su zona habitual</t>
  </si>
  <si>
    <t>REL-0003</t>
  </si>
  <si>
    <t>131/2021/06296|3</t>
  </si>
  <si>
    <t>PREZERO | URBASER</t>
  </si>
  <si>
    <t>UTE: vínculo comercial; no implica propiedad</t>
  </si>
  <si>
    <t>|PREZERO|URBASER|</t>
  </si>
  <si>
    <t>Asistencia técnica para el mantenimiento, ampliación y mejora continua del sistema de gestión de la información de limpieza urbana, recogida de residuos y equipamientos urbanos</t>
  </si>
  <si>
    <t>300/2025/00411</t>
  </si>
  <si>
    <t>Sin lotes</t>
  </si>
  <si>
    <t>APORTA PLATAFORMA COOPERATIVA SCCL</t>
  </si>
  <si>
    <t>Mantenimiento y mejora del sistema de informacion</t>
  </si>
  <si>
    <t>Ambito municipal; no contrato propio del distrito</t>
  </si>
  <si>
    <t>Adjudicado 27/01/2026 y formalizado 08/04/2026. Fin publicado 07/04/2028 (posible prórroga 12 meses). Inicio de prestación no acreditado. | FECHAS SIN ACREDITAR: Formalización 08/04/2026 y fin en agregador 07/04/2028; no consta fecha independiente de inicio de prestación. La formalización no se convierte en inicio automático. | FUENTES REVISADAS 21/10/2026: Ayuntamiento publica objeto y pliegos; registro TED del contrato identifica formalización el 08/04/2026 y adjudicataria Aporta. No equivale a fecha de inicio operativo. | CONTROL DOCUMENTAL 21/10/2026: Adjudicataria identificada. APORTA PLATAFORMA COOPERATIVA figura en la base y en fichas de licitación; comprobar firma e hitos en el expediente. [Base de evidencia: Datos confrontados con referencias aportadas; no hay resolución individual corroborada] | CONTRASTE ADICIONAL 21/10/2026: ADJUDICACIÓN: APORTA PLATAFORMA COOPERATIVA SCCL, resolución de 27/01/2026, contrastada con publicación de licitación.</t>
  </si>
  <si>
    <t>https://contratos.gobierto.es/adjudicatarios/aporta-plataforma-cooperativa-sccl?locale=es
https://www.madrid.es/portales/munimadrid/es/Inicio/Medio-ambiente/Limpieza-urbana/Contrato-de-servicio-de-asistencia-tecnica/?vgnextchannel=ddd2a694fde40910VgnVCM2000001f4a900aRCRD&amp;vgnextfmt=default&amp;vgnextoid=7c07475398a4e910VgnVCM200000f921e388RCRD
https://contratos.gobierto.es/licitaciones/4668721?locale=es</t>
  </si>
  <si>
    <t>REL-0004</t>
  </si>
  <si>
    <t>300/2025/00411|Sin lotes</t>
  </si>
  <si>
    <t>|APORTA PLATAFORMA COOPERATIVA SCCL|</t>
  </si>
  <si>
    <t>Gestión del servicio de explotación de puntos limpios, centros de reutilización de residuos y saneamiento de viviendas</t>
  </si>
  <si>
    <t>300/2023/00593</t>
  </si>
  <si>
    <t>PREZERO ESPAÑA SAU</t>
  </si>
  <si>
    <t>Gestión de puntos limpios y centros de reutilización; saneamientos por requerimiento.</t>
  </si>
  <si>
    <t>Ambito municipal; ubicaciones concretas no incluidas</t>
  </si>
  <si>
    <t>Saneamiento no es limpieza domestica ordinaria</t>
  </si>
  <si>
    <t>Vigente según Ayuntamiento; adjudicataria PREZERO acreditada (24/10/2024). Inicio contractual y fecha fin exacta sin acreditar. | FECHAS REVISADAS: Vigencia: 26/11/2024–25/11/2029. Inicio oficial; fin ordinario calculado por cinco años contractuales sin prórroga. | CONTROL DOCUMENTAL 21/10/2026: Adjudicataria identificada. PREZERO ESPAÑA figura adjudicataria de puntos limpios. El contrato es municipal; no son 21 concesiones independientes. [Base de evidencia: Datos confrontados con referencias aportadas; no hay resolución individual corroborada] | CONTRASTE ADICIONAL 21/10/2026: ADJUDICACIÓN: PREZERO ESPAÑA SA, 24/10/2024. El Ayuntamiento dispone de ficha oficial del contrato; compruébese formalización para fechas exactas.</t>
  </si>
  <si>
    <t>https://contratos.gobierto.es/licitaciones/4336157
https://contrataciondelestado.es/FileSystem/servlet/GetDocumentByIdServlet?DocumentIdParam=DX1ZAvwzaIUStPoibgXBVeTGIJOgffe86rdC19dt4dT5lTaSGg5Vq9cT4fT6Jv75jYAipcFv6g1zHenSv4lINo4IQyA7QON0MW%2BNRBCDa6cZyAJWGsSt0OzTSTyw9JAs&amp;cifrado=QUC1GjXXSiLkydRHJBmbpw%3D%3D
https://www.madrid.es/UnidadesDescentralizadas/LimpiezaUrbanaYResiduos/CONTRATOS_DG/CONTRATO-RES_PuntosLimpios/DocumentoPliegos_ContratoPuntosLimpios.pdf
https://www.madrid.es/portales/munimadrid/es/Inicio/Medio-ambiente/Recogida-de-residuos/Contrato-de-servicios-de-explotacion-de-puntos-limpios-centros-de-reutilizacion-de-residuos-y-saneamiento-de-viviendas-en-la-ciudad-de-Madrid/?vgnextchannel=f81379ed268fe410VgnVCM1000000b205a0aRCRD&amp;vgnextfmt=default&amp;vgnextoid=8177150aabc46710VgnVCM2000001f4a900aRCRD</t>
  </si>
  <si>
    <t>REL-0005</t>
  </si>
  <si>
    <t>300/2023/00593|Sin lotes</t>
  </si>
  <si>
    <t>PREZERO</t>
  </si>
  <si>
    <t>|PREZERO|</t>
  </si>
  <si>
    <t>Programa de actividades de sensibilización sobre separación de residuos y limpieza del espacio público</t>
  </si>
  <si>
    <t>300/2026/00024</t>
  </si>
  <si>
    <t>TALHER, S.A.</t>
  </si>
  <si>
    <t>Actividades educativas y de sensibilizacion</t>
  </si>
  <si>
    <t>Ambito municipal; no acredita actividad en cada distrito</t>
  </si>
  <si>
    <t>REL-0006</t>
  </si>
  <si>
    <t>300/2026/00024|Sin lotes</t>
  </si>
  <si>
    <t>ADJUDICACIÓN PUBLICADA EN DATOS PLACSP · FORMALIZACIÓN POR CONTRASTAR</t>
  </si>
  <si>
    <t>CLECE</t>
  </si>
  <si>
    <t>Grupo de empresa contrastado en fuente corporativa: https://clece.es/es/listado-clece-filiales/</t>
  </si>
  <si>
    <t>|CLECE|</t>
  </si>
  <si>
    <t>Arganzuela</t>
  </si>
  <si>
    <t>REL-0007</t>
  </si>
  <si>
    <t>REL-0008</t>
  </si>
  <si>
    <t>REL-0009</t>
  </si>
  <si>
    <t>REL-0010</t>
  </si>
  <si>
    <t>REL-0011</t>
  </si>
  <si>
    <t>REL-0012</t>
  </si>
  <si>
    <t>Retiro</t>
  </si>
  <si>
    <t>2</t>
  </si>
  <si>
    <t>UTE Recogida Madrid VAO</t>
  </si>
  <si>
    <t>REL-0013</t>
  </si>
  <si>
    <t>131/2021/06296|2</t>
  </si>
  <si>
    <t>ACCIONA | VALORIZA | OHL / INGESAN</t>
  </si>
  <si>
    <t>|ACCIONA|VALORIZA|OHL / INGESAN|</t>
  </si>
  <si>
    <t>REL-0014</t>
  </si>
  <si>
    <t>REL-0015</t>
  </si>
  <si>
    <t>REL-0016</t>
  </si>
  <si>
    <t>REL-0017</t>
  </si>
  <si>
    <t>REL-0018</t>
  </si>
  <si>
    <t>Salamanca</t>
  </si>
  <si>
    <t>REL-0019</t>
  </si>
  <si>
    <t>REL-0020</t>
  </si>
  <si>
    <t>REL-0021</t>
  </si>
  <si>
    <t>REL-0022</t>
  </si>
  <si>
    <t>REL-0023</t>
  </si>
  <si>
    <t>REL-0024</t>
  </si>
  <si>
    <t>Chamartín</t>
  </si>
  <si>
    <t>REL-0025</t>
  </si>
  <si>
    <t>REL-0026</t>
  </si>
  <si>
    <t>REL-0027</t>
  </si>
  <si>
    <t>REL-0028</t>
  </si>
  <si>
    <t>REL-0029</t>
  </si>
  <si>
    <t>REL-0030</t>
  </si>
  <si>
    <t>Tetuán</t>
  </si>
  <si>
    <t>REL-0031</t>
  </si>
  <si>
    <t>REL-0032</t>
  </si>
  <si>
    <t>REL-0033</t>
  </si>
  <si>
    <t>REL-0034</t>
  </si>
  <si>
    <t>REL-0035</t>
  </si>
  <si>
    <t>REL-0036</t>
  </si>
  <si>
    <t>Chamberí</t>
  </si>
  <si>
    <t>REL-0037</t>
  </si>
  <si>
    <t>REL-0038</t>
  </si>
  <si>
    <t>REL-0039</t>
  </si>
  <si>
    <t>REL-0040</t>
  </si>
  <si>
    <t>REL-0041</t>
  </si>
  <si>
    <t>REL-0042</t>
  </si>
  <si>
    <t>Fuencarral-El Pardo</t>
  </si>
  <si>
    <t>REL-0043</t>
  </si>
  <si>
    <t>REL-0044</t>
  </si>
  <si>
    <t>REL-0045</t>
  </si>
  <si>
    <t>REL-0046</t>
  </si>
  <si>
    <t>REL-0047</t>
  </si>
  <si>
    <t>REL-0048</t>
  </si>
  <si>
    <t>Moncloa-Aravaca</t>
  </si>
  <si>
    <t>REL-0049</t>
  </si>
  <si>
    <t>REL-0050</t>
  </si>
  <si>
    <t>REL-0051</t>
  </si>
  <si>
    <t>REL-0052</t>
  </si>
  <si>
    <t>REL-0053</t>
  </si>
  <si>
    <t>REL-0054</t>
  </si>
  <si>
    <t>Latina</t>
  </si>
  <si>
    <t>REL-0055</t>
  </si>
  <si>
    <t>REL-0056</t>
  </si>
  <si>
    <t>REL-0057</t>
  </si>
  <si>
    <t>REL-0058</t>
  </si>
  <si>
    <t>REL-0059</t>
  </si>
  <si>
    <t>REL-0060</t>
  </si>
  <si>
    <t>Carabanchel</t>
  </si>
  <si>
    <t>REL-0061</t>
  </si>
  <si>
    <t>REL-0062</t>
  </si>
  <si>
    <t>REL-0063</t>
  </si>
  <si>
    <t>REL-0064</t>
  </si>
  <si>
    <t>REL-0065</t>
  </si>
  <si>
    <t>REL-0066</t>
  </si>
  <si>
    <t>Usera</t>
  </si>
  <si>
    <t>REL-0067</t>
  </si>
  <si>
    <t>REL-0068</t>
  </si>
  <si>
    <t>REL-0069</t>
  </si>
  <si>
    <t>REL-0070</t>
  </si>
  <si>
    <t>REL-0071</t>
  </si>
  <si>
    <t>REL-0072</t>
  </si>
  <si>
    <t>Puente de Vallecas</t>
  </si>
  <si>
    <t>REL-0073</t>
  </si>
  <si>
    <t>REL-0074</t>
  </si>
  <si>
    <t>REL-0075</t>
  </si>
  <si>
    <t>REL-0076</t>
  </si>
  <si>
    <t>REL-0077</t>
  </si>
  <si>
    <t>REL-0078</t>
  </si>
  <si>
    <t>Moratalaz</t>
  </si>
  <si>
    <t>REL-0079</t>
  </si>
  <si>
    <t>REL-0080</t>
  </si>
  <si>
    <t>REL-0081</t>
  </si>
  <si>
    <t>REL-0082</t>
  </si>
  <si>
    <t>REL-0083</t>
  </si>
  <si>
    <t>REL-0084</t>
  </si>
  <si>
    <t>Ciudad Lineal</t>
  </si>
  <si>
    <t>REL-0085</t>
  </si>
  <si>
    <t>REL-0086</t>
  </si>
  <si>
    <t>REL-0087</t>
  </si>
  <si>
    <t>REL-0088</t>
  </si>
  <si>
    <t>REL-0089</t>
  </si>
  <si>
    <t>REL-0090</t>
  </si>
  <si>
    <t>Hortaleza</t>
  </si>
  <si>
    <t>REL-0091</t>
  </si>
  <si>
    <t>REL-0092</t>
  </si>
  <si>
    <t>REL-0093</t>
  </si>
  <si>
    <t>REL-0094</t>
  </si>
  <si>
    <t>REL-0095</t>
  </si>
  <si>
    <t>REL-0096</t>
  </si>
  <si>
    <t>Villaverde</t>
  </si>
  <si>
    <t>REL-0097</t>
  </si>
  <si>
    <t>REL-0098</t>
  </si>
  <si>
    <t>REL-0099</t>
  </si>
  <si>
    <t>REL-0100</t>
  </si>
  <si>
    <t>REL-0101</t>
  </si>
  <si>
    <t>REL-0102</t>
  </si>
  <si>
    <t>Villa de Vallecas</t>
  </si>
  <si>
    <t>REL-0103</t>
  </si>
  <si>
    <t>REL-0104</t>
  </si>
  <si>
    <t>REL-0105</t>
  </si>
  <si>
    <t>REL-0106</t>
  </si>
  <si>
    <t>REL-0107</t>
  </si>
  <si>
    <t>REL-0108</t>
  </si>
  <si>
    <t>Vicálvaro</t>
  </si>
  <si>
    <t>REL-0109</t>
  </si>
  <si>
    <t>REL-0110</t>
  </si>
  <si>
    <t>REL-0111</t>
  </si>
  <si>
    <t>REL-0112</t>
  </si>
  <si>
    <t>REL-0113</t>
  </si>
  <si>
    <t>REL-0114</t>
  </si>
  <si>
    <t>San Blas-Canillejas</t>
  </si>
  <si>
    <t>REL-0115</t>
  </si>
  <si>
    <t>REL-0116</t>
  </si>
  <si>
    <t>REL-0117</t>
  </si>
  <si>
    <t>REL-0118</t>
  </si>
  <si>
    <t>REL-0119</t>
  </si>
  <si>
    <t>REL-0120</t>
  </si>
  <si>
    <t>Barajas</t>
  </si>
  <si>
    <t>REL-0121</t>
  </si>
  <si>
    <t>REL-0122</t>
  </si>
  <si>
    <t>REL-0123</t>
  </si>
  <si>
    <t>REL-0124</t>
  </si>
  <si>
    <t>REL-0125</t>
  </si>
  <si>
    <t>REL-0126</t>
  </si>
  <si>
    <t>Parques y viveros</t>
  </si>
  <si>
    <t>Dirección General de Gestión del Agua y Zonas Verdes</t>
  </si>
  <si>
    <t>Subdirección General de Parques y Viveros</t>
  </si>
  <si>
    <t>Conservación integral de parques y viveros municipales</t>
  </si>
  <si>
    <t>300/2022/00034</t>
  </si>
  <si>
    <t>UTE PREZERO - GYOCIVIL - TEDAGUA (UTE JARDINES DEL RETIRO)</t>
  </si>
  <si>
    <t>Conservación integral de El Retiro: vegetación, riego, pavimentos y mobiliario.</t>
  </si>
  <si>
    <t>Jardines del Buen Retiro (distrito Retiro).</t>
  </si>
  <si>
    <t>Francisco Muñoz García</t>
  </si>
  <si>
    <t>Pendiente</t>
  </si>
  <si>
    <t>Exclusivo de El Retiro; no incluye todas las zonas verdes del distrito.</t>
  </si>
  <si>
    <t>Lote formalizado y vigente a 15/10/2026. Fin publicado 20/02/2028. Fecha exacta de inicio de prestación sin acreditar. | Contrato firmado: inicio PREVISTO 01/03/2024 (no confirmado como real). No se sustituye el inicio acreditado por fecha prevista. Fin registrado 20/02/2028 difiere de cuatro años desde inicio previsto; cotejar la ejecución real. | FECHAS SIN ACREDITAR: El contrato firmado del lote 1 prevé inicio 01/03/2024, pero no confirma el inicio real; la fecha de fin de la base procede de ficha previa y no debe confundirse con la firma. | CONTROL DOCUMENTAL 21/10/2026: Siete lotes relacionados. Expediente de conservación integral de parques; siete adjudicaciones/UTE diferentes. No mezclar Retiro y Casa de Campo. [Base de evidencia: Datos confrontados con referencias aportadas; no hay resolución individual corroborada]</t>
  </si>
  <si>
    <t>https://contratos.gobierto.es/licitaciones/1949358
https://contrataciondelestado.es/wps/wcm/connect/PLACE_es/Site/area/docAccCmpnt?DocumentIdParam=e39f9ece-4e4f-42a7-9941-d0f6917b6c66&amp;cmpntname=GetDocumentsById&amp;source=library&amp;srv=cmpnt</t>
  </si>
  <si>
    <t>REL-0127</t>
  </si>
  <si>
    <t>300/2022/00034|1</t>
  </si>
  <si>
    <t>ACCIONA MEDIO AMBIENTE SAU</t>
  </si>
  <si>
    <t>Conservación: Dehesa de la Villa; parque del Oeste (incluidos jardines del Templo de Debod y Príncipe Pío).</t>
  </si>
  <si>
    <t>Parques históricos del lote 2 en Moncloa-Aravaca.</t>
  </si>
  <si>
    <t>Ubicación vinculada al distrito concreto; un mismo lote cubre varios distritos. No equivale a un contrato distinto.</t>
  </si>
  <si>
    <t>Lote 2 (300/2022/00034) vigente según estado previamente verificado; distrito y zona asociados con documentación municipal. Fecha de fin contractual original conservada. | FECHAS SIN ACREDITAR: El contrato firmado del lote 1 prevé inicio 01/03/2024, pero no confirma el inicio real; la fecha de fin de la base procede de ficha previa y no debe confundirse con la firma. | CONTROL DOCUMENTAL 21/10/2026: Siete lotes relacionados. Expediente de conservación integral de parques; siete adjudicaciones/UTE diferentes. No mezclar Retiro y Casa de Campo. [Base de evidencia: Datos confrontados con referencias aportadas; no hay resolución individual corroborada]</t>
  </si>
  <si>
    <t>https://www.madrid.es/portales/munimadrid/es/Inicio/El-Ayuntamiento/Barajas/Programacion-cultural-de-Barajas/Parque-del-Oeste/?vgnextchannel=3488397137aec710VgnVCM1000001d4a900aRCRD&amp;vgnextfmt=default&amp;vgnextoid=0a57899a90c7e210VgnVCM2000000c205a0aRCRD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</si>
  <si>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REL-0128</t>
  </si>
  <si>
    <t>300/2022/00034|2</t>
  </si>
  <si>
    <t>ACCIONA</t>
  </si>
  <si>
    <t>Grupo de ACCIONA contrastado</t>
  </si>
  <si>
    <t>|ACCIONA|</t>
  </si>
  <si>
    <t>IMESAPI SA</t>
  </si>
  <si>
    <t>Conservación integral (lote 3): Parque Juan Carlos I.</t>
  </si>
  <si>
    <t>Parques singulares del este: parque Juan Carlos I.</t>
  </si>
  <si>
    <t>Lote 3 (300/2022/00034) vigente según estado previamente verificado; distrito y zona asociados con documentación municipal. Fecha de fin contractual original conservada. | FECHAS SIN ACREDITAR: El contrato firmado del lote 1 prevé inicio 01/03/2024, pero no confirma el inicio real; la fecha de fin de la base procede de ficha previa y no debe confundirse con la firma. | CONTROL DOCUMENTAL 21/10/2026: Siete lotes relacionados. Expediente de conservación integral de parques; siete adjudicaciones/UTE diferentes. No mezclar Retiro y Casa de Campo. [Base de evidencia: Datos confrontados con referencias aportadas; no hay resolución individual corroborada]</t>
  </si>
  <si>
    <t>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</si>
  <si>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REL-0129</t>
  </si>
  <si>
    <t>300/2022/00034|3</t>
  </si>
  <si>
    <t>IMESAPI</t>
  </si>
  <si>
    <t>|IMESAPI|</t>
  </si>
  <si>
    <t>UTE EULEN SA - INGENIERÍA Y DISEÑOS TÉCNICOS SAU (INDITEC)</t>
  </si>
  <si>
    <t>Conservación: Madrid Río (orilla de Arganzuela); Palacio de Cristal de la Arganzuela y Centro de Interpretación; pa</t>
  </si>
  <si>
    <t>Sectores de Madrid Río y parques singulares del oeste en Arganzuela.</t>
  </si>
  <si>
    <t>Lote 4 (300/2022/00034) vigente según estado previamente verificado; distrito y zona asociados con documentación municipal. Fecha de fin contractual original conservada. | FECHAS SIN ACREDITAR: El contrato firmado del lote 1 prevé inicio 01/03/2024, pero no confirma el inicio real; la fecha de fin de la base procede de ficha previa y no debe confundirse con la firma. | CONTROL DOCUMENTAL 21/10/2026: Siete lotes relacionados. Expediente de conservación integral de parques; siete adjudicaciones/UTE diferentes. No mezclar Retiro y Casa de Campo. [Base de evidencia: Datos confrontados con referencias aportadas; no hay resolución individual corroborada]</t>
  </si>
  <si>
    <t>https://www.madrid.es/portales/munimadrid/es/Inicio/El-Ayuntamiento/Arganzuela/Direcciones-y-telefonos/Parque-Madrid-Rio/?vgnextchannel=fbf1283017e28010VgnVCM100000dc0ca8c0RCRD&amp;vgnextfmt=default&amp;vgnextoid=4fec1d25e5356310VgnVCM2000000c205a0aRCRD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</si>
  <si>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REL-0130</t>
  </si>
  <si>
    <t>300/2022/00034|4</t>
  </si>
  <si>
    <t>INDITEC | EULEN</t>
  </si>
  <si>
    <t>|INDITEC|EULEN|</t>
  </si>
  <si>
    <t>5</t>
  </si>
  <si>
    <t>Conservación integral (lote 5): Cuña Verde de O’Donnell (sector sur) y Fuente Carrantona.</t>
  </si>
  <si>
    <t>Parques forestales del lote 5 en Moratalaz.</t>
  </si>
  <si>
    <t>Lote 5 (300/2022/00034) vigente según estado previamente verificado; distrito y zona asociados con documentación municipal. Fecha de fin contractual original conservada. | FECHAS SIN ACREDITAR: El contrato firmado del lote 1 prevé inicio 01/03/2024, pero no confirma el inicio real; la fecha de fin de la base procede de ficha previa y no debe confundirse con la firma. | CONTROL DOCUMENTAL 21/10/2026: Siete lotes relacionados. Expediente de conservación integral de parques; siete adjudicaciones/UTE diferentes. No mezclar Retiro y Casa de Campo. [Base de evidencia: Datos confrontados con referencias aportadas; no hay resolución individual corroborada]</t>
  </si>
  <si>
    <t>https://www.madrid.es/portales/munimadrid/es/Inicio/El-Ayuntamiento/Moratalaz/Parque-de-la-Cuna-Verde-de-ODonnell/?vgnextchannel=7cb0ca5d5fb96010VgnVCM100000dc0ca8c0RCRD&amp;vgnextfmt=default&amp;vgnextoid=8c86e2704a07e210VgnVCM1000000b205a0aRCRD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</si>
  <si>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REL-0131</t>
  </si>
  <si>
    <t>300/2022/00034|5</t>
  </si>
  <si>
    <t>6</t>
  </si>
  <si>
    <t>UTE MATINSA - INDITEC (UTE PARQUES MADRID LOTE 6)</t>
  </si>
  <si>
    <t>Conservación integral (lote 6): Conservación integral de la Casa de Campo.</t>
  </si>
  <si>
    <t>Casa de Campo, distrito Moncloa-Aravaca.</t>
  </si>
  <si>
    <t>Lote 6 (300/2022/00034) vigente según estado previamente verificado; distrito y zona asociados con documentación municipal. Fecha de fin contractual original conservada. | FECHAS SIN ACREDITAR: El contrato firmado del lote 1 prevé inicio 01/03/2024, pero no confirma el inicio real; la fecha de fin de la base procede de ficha previa y no debe confundirse con la firma. | CONTROL DOCUMENTAL 21/10/2026: Siete lotes relacionados. Expediente de conservación integral de parques; siete adjudicaciones/UTE diferentes. No mezclar Retiro y Casa de Campo. [Base de evidencia: Datos confrontados con referencias aportadas; no hay resolución individual corroborada]</t>
  </si>
  <si>
    <t>https://www.madrid.es/portales/munimadrid/es/Inicio/Contacto/Direcciones-y-telefonos?distrito=-1&amp;enviar=buscar&amp;tema=5adc04fb38827010VgnVCM100000dc0ca8c0TAXC&amp;thChannel=4b3a171c30036010VgnVCM100000dc0ca8c0RCRD&amp;tipo=e7d7e55a70616310VgnVCM100000171f5a0aTAXC&amp;tipoInstalacion=Parques+forestales+%28Parques+y+jardines%29&amp;vgnextchannel=bfa48ab43d6bb410VgnVCM100000171f5a0aRCRD&amp;vgnextfmt=default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</si>
  <si>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REL-0132</t>
  </si>
  <si>
    <t>300/2022/00034|6</t>
  </si>
  <si>
    <t>INDITEC</t>
  </si>
  <si>
    <t>|INDITEC|</t>
  </si>
  <si>
    <t>7</t>
  </si>
  <si>
    <t>GRUPORAGA SA</t>
  </si>
  <si>
    <t>Conservación integral (lote 7): Vivero de Estufas de El Retiro.</t>
  </si>
  <si>
    <t>Viveros del lote 7: Estufas de El Retiro.</t>
  </si>
  <si>
    <t>Lote 7 (300/2022/00034) vigente según estado previamente verificado; distrito y zona asociados con documentación municipal. Fecha de fin contractual original conservada. | FECHAS SIN ACREDITAR: El contrato firmado del lote 1 prevé inicio 01/03/2024, pero no confirma el inicio real; la fecha de fin de la base procede de ficha previa y no debe confundirse con la firma. | CONTROL DOCUMENTAL 21/10/2026: Siete lotes relacionados. Expediente de conservación integral de parques; siete adjudicaciones/UTE diferentes. No mezclar Retiro y Casa de Campo. [Base de evidencia: Datos confrontados con referencias aportadas; no hay resolución individual corroborada]</t>
  </si>
  <si>
    <t>https://www.madrid.es/portales/munimadrid/es/Inicio/Vivienda-urbanismo-y-obras/Urbanismo/Direcciones-y-telefonos/Vivero-Estufas-de-El-Retiro/?vgnextchannel=fb09c8eb248fe410VgnVCM1000000b205a0aRCRD&amp;vgnextfmt=default&amp;vgnextoid=00be21c051f2f210VgnVCM2000000c205a0aRCRD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</si>
  <si>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REL-0133</t>
  </si>
  <si>
    <t>300/2022/00034|7</t>
  </si>
  <si>
    <t>GRUPO RAGA</t>
  </si>
  <si>
    <t>Grupo de empresa contrastado en fuente corporativa: https://gruporaga.com/sobre-nosotros/</t>
  </si>
  <si>
    <t>|GRUPO RAGA|</t>
  </si>
  <si>
    <t>Zonas verdes y arbolado</t>
  </si>
  <si>
    <t>Subdirección General de Conservación de Zonas Verdes y Arbolado Urbano</t>
  </si>
  <si>
    <t>Conservación, mantenimiento y limpieza de zonas verdes y arbolado viario de Madrid</t>
  </si>
  <si>
    <t>300/2020/00480</t>
  </si>
  <si>
    <t>UTE CESPA SA - CYOCIVIL SA (UTE MADRID-ZONAS VERDES)</t>
  </si>
  <si>
    <t>Mantenimiento de jardines, arbolado viario, riego, podas y limpieza.</t>
  </si>
  <si>
    <t>Zona 1: Centro, Tetuán, Chamberí</t>
  </si>
  <si>
    <t>Excluye parques singulares y viveros. Nuevo concurso de 5 lotes aún sin adjudicar.</t>
  </si>
  <si>
    <t>Vigencia comprobada hasta 31/10/2026 por prórroga 2025–2026 (último año ordinario tras 4 años iniciales). Nuevo expediente 300/2025/02859 en evaluación para 5 lotes. No consta otra prórroga del contrato antiguo ni continuidad excepcional acreditada. No marcar el nuevo contrato como activo hasta resolución y formalización. | CONTROL DOCUMENTAL 21/10/2026: Vigencia no deducible del plazo inicial. Acuerdo anterior de zonas verdes con seis lotes. Hay actuaciones/modificaciones posteriores: no confirmar vigencia a 21/10/2026 sin prórroga documentada. [Base de evidencia: Datos confrontados con referencias aportadas; no hay resolución individual corroborada] | CONTRASTE ADICIONAL 21/10/2026: VIGENCIA: no considerar acreditada continuidad operativa en octubre de 2026 por la sola fecha del contrato originario; requiere resolución de prórroga/modificación.</t>
  </si>
  <si>
    <t>https://www.madrid.es/UnidadesDescentralizadas/JuntaDeGobierno/1.%20Acuerdos%20Transparencia/2025/1.%20Ficheros/2025.09.11%20Acuedos%20Web.pdf
https://contratos.gobierto.es/licitaciones/5146652?locale=es
https://contratos.gobierto.es/licitaciones/1949358</t>
  </si>
  <si>
    <t>REL-0134</t>
  </si>
  <si>
    <t>300/2020/00480|1</t>
  </si>
  <si>
    <t>UTE CESPA–CYOCIVIL</t>
  </si>
  <si>
    <t>Agrupación de la UTE para consulta, NO identificación de una matriz. Sus integrantes, cuando figuran en la denominación, no implican pertenencia a un mismo grupo empresarial.</t>
  </si>
  <si>
    <t>|UTE CESPA–CYOCIVIL|</t>
  </si>
  <si>
    <t>REL-0135</t>
  </si>
  <si>
    <t>REL-0136</t>
  </si>
  <si>
    <t>VALORIZA SERVICIOS MEDIOAMBIENTALES SA</t>
  </si>
  <si>
    <t>Zona 2: Arganzuela, Retiro, Salamanca, Chamartín</t>
  </si>
  <si>
    <t>REL-0137</t>
  </si>
  <si>
    <t>300/2020/00480|2</t>
  </si>
  <si>
    <t>VALORIZA</t>
  </si>
  <si>
    <t>|VALORIZA|</t>
  </si>
  <si>
    <t>REL-0138</t>
  </si>
  <si>
    <t>REL-0139</t>
  </si>
  <si>
    <t>REL-0140</t>
  </si>
  <si>
    <t>Zona 3: Fuencarral-El Pardo, Moncloa-Aravaca, Latina</t>
  </si>
  <si>
    <t>REL-0141</t>
  </si>
  <si>
    <t>300/2020/00480|3</t>
  </si>
  <si>
    <t>REL-0142</t>
  </si>
  <si>
    <t>REL-0143</t>
  </si>
  <si>
    <t>UTE CONSTRUCTORA SAN JOSÉ SA - EL EJIDILLO VIVEROS INTEGRALES SL</t>
  </si>
  <si>
    <t>Zona 4: Ciudad Lineal, Hortaleza, San Blas-Canillejas, Barajas</t>
  </si>
  <si>
    <t>REL-0144</t>
  </si>
  <si>
    <t>300/2020/00480|4</t>
  </si>
  <si>
    <t>SAN JOSÉ</t>
  </si>
  <si>
    <t>|SAN JOSÉ|</t>
  </si>
  <si>
    <t>REL-0145</t>
  </si>
  <si>
    <t>REL-0146</t>
  </si>
  <si>
    <t>REL-0147</t>
  </si>
  <si>
    <t>ALFONSO BENÍTEZ SA</t>
  </si>
  <si>
    <t>Zona 5: Puente de Vallecas, Moratalaz, Villa de Vallecas, Vicálvaro</t>
  </si>
  <si>
    <t>REL-0148</t>
  </si>
  <si>
    <t>300/2020/00480|5</t>
  </si>
  <si>
    <t>|ALFONSO BENÍTEZ SA|</t>
  </si>
  <si>
    <t>REL-0149</t>
  </si>
  <si>
    <t>REL-0150</t>
  </si>
  <si>
    <t>REL-0151</t>
  </si>
  <si>
    <t>FCC MEDIO AMBIENTE SA</t>
  </si>
  <si>
    <t>Zona 6: Carabanchel, Usera, Villaverde</t>
  </si>
  <si>
    <t>REL-0152</t>
  </si>
  <si>
    <t>300/2020/00480|6</t>
  </si>
  <si>
    <t>REL-0153</t>
  </si>
  <si>
    <t>REL-0154</t>
  </si>
  <si>
    <t>Conservación integral (lote 2): Quinta de los Molinos y Quinta de Torre Arias.</t>
  </si>
  <si>
    <t>Parques históricos del lote 2 en San Blas-Canillejas.</t>
  </si>
  <si>
    <t>https://www.madrid.es/portales/munimadrid/es/Inicio/El-Ayuntamiento/Moratalaz/Actividades-y-eventos/Quinta-de-Torre-Arias/?vgnextchannel=c505d47ffee28010VgnVCM100000dc0ca8c0RCRD&amp;vgnextfmt=default&amp;vgnextoid=84c7277160d88410VgnVCM2000000c205a0aRCRD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</si>
  <si>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REL-0155</t>
  </si>
  <si>
    <t>Conservación integral (lote 2): Quinta de la Fuente del Berro.</t>
  </si>
  <si>
    <t>Parque histórico del lote 2 en Salamanca.</t>
  </si>
  <si>
    <t>REL-0156</t>
  </si>
  <si>
    <t>Conservación integral (lote 2): Jardín de El Capricho (Alameda de Osuna).</t>
  </si>
  <si>
    <t>Parque histórico del lote 2 en Barajas.</t>
  </si>
  <si>
    <t>REL-0157</t>
  </si>
  <si>
    <t>Conservación integral (lote 3): Parque Juan Pablo II.</t>
  </si>
  <si>
    <t>Parques singulares del este: parque Juan Pablo II.</t>
  </si>
  <si>
    <t>https://www.madrid.es/portales/munimadrid/es/Inicio/Parque-Juan-Pablo-II/?vgnextchannel=1ccd566813946010VgnVCM100000dc0ca8c0RCRD&amp;vgnextfmt=default&amp;vgnextoid=ea452f20e2ebe210VgnVCM2000000c205a0aRCRD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</si>
  <si>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REL-0158</t>
  </si>
  <si>
    <t>Conservación: Parques de La Gavia y La Atalayuela; Árboles de Aire del Ecobulevar (Ensanche de Vallecas).</t>
  </si>
  <si>
    <t>Parques singulares del este en Villa de Vallecas.</t>
  </si>
  <si>
    <t>https://www.madrid.es/portales/munimadrid/es/Inicio/Medio-ambiente/Parques-y-jardines/Direcciones-y-telefonos/Parque-de-la-Gavia/?vgnextchannel=ebb679ed268fe410VgnVCM1000000b205a0aRCRD&amp;vgnextfmt=default&amp;vgnextoid=48a88d736701a410VgnVCM1000000b205a0aRCRD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</si>
  <si>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REL-0159</t>
  </si>
  <si>
    <t>Conservación integral (lote 3): Zonas verdes del Distrito C - Las Tablas.</t>
  </si>
  <si>
    <t>Parques singulares del este: Distrito C Las Tablas.</t>
  </si>
  <si>
    <t>REL-0160</t>
  </si>
  <si>
    <t>Conservación integral (lote 4): Madrid Río (sectores de la margen derecha en Latina).</t>
  </si>
  <si>
    <t>Tramo de Madrid Río correspondiente al distrito Latina.</t>
  </si>
  <si>
    <t>REL-0161</t>
  </si>
  <si>
    <t>Conservación integral (lote 4): Madrid Río (sectores de la margen derecha en Carabanchel).</t>
  </si>
  <si>
    <t>Tramo de Madrid Río correspondiente al distrito Carabanchel.</t>
  </si>
  <si>
    <t>REL-0162</t>
  </si>
  <si>
    <t>Conservación: Madrid Río (tramo sur en Usera) y Parque Lineal del Manzanares (sector Usera).</t>
  </si>
  <si>
    <t>Parques singulares del oeste: Madrid Río y Parque Lineal en Usera.</t>
  </si>
  <si>
    <t>https://www.madrid.es/portales/munimadrid/es/Inicio/Vivienda-urbanismo-y-obras/Urbanismo/Publicaciones/Parque-Lineal-del-Manzanares-Usera-Pte-de-Vallecas-/?vgnextchannel=dbaac8eb248fe410VgnVCM1000000b205a0aRCRD&amp;vgnextfmt=default&amp;vgnextoid=a0a4b0cedda9e210VgnVCM1000000b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</si>
  <si>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REL-0163</t>
  </si>
  <si>
    <t>Conservación: Parque Lineal del Manzanares (sectores en la margen de Puente de Vallecas).</t>
  </si>
  <si>
    <t>El Parque Lineal del Manzanares se extiende a ambos lados del río entre Usera y Puente de Vallecas.</t>
  </si>
  <si>
    <t>REL-0164</t>
  </si>
  <si>
    <t>Conservación: Jardines de la Plaza de Oriente, Lepanto y Cabo Noval; jardines de Sabatini; ámbito de plaza de Españ</t>
  </si>
  <si>
    <t>Jardines singulares del oeste situados en distrito Centro.</t>
  </si>
  <si>
    <t>https://www.madrid.es/portales/munimadrid/es/Inicio/El-Ayuntamiento/Centro/Direcciones-y-telefonos/Jardines-de-la-Plaza-de-Oriente-Lepanto-y-Cabo-Noval/?vgnextchannel=cac1d47ffee28010VgnVCM100000dc0ca8c0RCRD&amp;vgnextfmt=default&amp;vgnextoid=5089e51ecd6ee210VgnVCM2000000c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</si>
  <si>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REL-0165</t>
  </si>
  <si>
    <t>Conservación: Jardines de Aniceto Marinas; ámbito de plaza de España en Moncloa-Aravaca y extremo norte de Madrid R</t>
  </si>
  <si>
    <t>Jardines singulares del oeste en Moncloa-Aravaca.</t>
  </si>
  <si>
    <t>Lote compartido entre distritos; cada fila identifica un ámbito. Plaza de España es un espacio compartido con Centro.</t>
  </si>
  <si>
    <t>https://www.madrid.es/portales/munimadrid/es/Inicio/Medio-ambiente/Parques-y-jardines/Direcciones-y-telefonos/Jardines-de-la-Plaza-de-Espana/?vgnextchannel=ebb679ed268fe410VgnVCM1000000b205a0aRCRD&amp;vgnextfmt=default&amp;vgnextoid=e5021544198be210VgnVCM2000000c205a0aRCRD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</si>
  <si>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REL-0166</t>
  </si>
  <si>
    <t>Conservación: Cuña Norte de O’Donnell (franja forestal del entorno del Cementerio de la Almudena).</t>
  </si>
  <si>
    <t>Extensión de la Cuña Verde al distrito Ciudad Lineal.</t>
  </si>
  <si>
    <t>Lote compartido entre distritos; cada fila identifica un ámbito. La Cuña Norte es distinta del sector de Moratalaz.</t>
  </si>
  <si>
    <t>REL-0167</t>
  </si>
  <si>
    <t>Conservación: Parque Forestal de Valdebebas-Felipe VI, Parque Princesa Leonor y zonas periféricas; zona forestal de</t>
  </si>
  <si>
    <t>Parques forestales en Hortaleza.</t>
  </si>
  <si>
    <t>https://www.madrid.es/portales/munimadrid/es/Inicio/El-Ayuntamiento/Vicalvaro/Informacion-del-distrito/Parque-Forestal-de-Valdebebas-Felipe-VI-y-Parque-Princesa-Leonor/?vgnextchannel=1c38a631a3dd9010VgnVCM100000d90ca8c0RCRD&amp;vgnextfmt=default&amp;vgnextoid=65eda830bd9eb410VgnVCM2000000c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</si>
  <si>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REL-0168</t>
  </si>
  <si>
    <t>Conservación: Parque Lineal del Manzanares Sur (sector Villaverde); Anillo Verde de Villaverde y zona forestal de B</t>
  </si>
  <si>
    <t>Parques forestales y sectores del Bosque Metropolitano en Villaverde.</t>
  </si>
  <si>
    <t>https://www.madrid.es/UnidadesDescentralizadas/ZonasVerdes/TodoSobre/PlanBiodiversidad/ArchivosPB/01.%20Anexo%20I.%20Zonas%20verdes%20principales.pdf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</si>
  <si>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REL-0169</t>
  </si>
  <si>
    <t>Conservación integral (lote 5): Parque Lineal del Manzanares Sur (sector Villa de Vallecas).</t>
  </si>
  <si>
    <t>Tramo sur del Parque Lineal del Manzanares en Villa de Vallecas.</t>
  </si>
  <si>
    <t>REL-0170</t>
  </si>
  <si>
    <t>Conservación integral (lote 5): Parque de las Comunidades (Mercamadrid), en Entrevías.</t>
  </si>
  <si>
    <t>Parque forestal de las Comunidades, distrito Puente de Vallecas.</t>
  </si>
  <si>
    <t>https://www.madrid.es/portales/munimadrid/es/Inicio/Cultura-ocio-y-deporte/Publicaciones/Los-secretos-del-parque-de-las-Comunidades-en-Puente-de-Vallecas-un-mirador-plantas-aromaticas-y-ejemplares-de-todas-las-regiones-de-Espana/?vgnextchannel=f9e2f073808fe410VgnVCM2000000c205a0aRCRD&amp;vgnextfmt=default&amp;vgnextoid=e2a1e71b7d720a10VgnVCM200000f921e388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</si>
  <si>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REL-0171</t>
  </si>
  <si>
    <t>Conservación: Conservación integral del Área Forestal de Tres Cantos (dentro del distrito Fuencarral-El Pardo, muni</t>
  </si>
  <si>
    <t>No debe confundirse el nombre del área forestal con el término municipal de Tres Cantos.</t>
  </si>
  <si>
    <t>Lote compartido entre distritos; cada fila identifica un ámbito. El Área Forestal de Tres Cantos figura oficialmente en Fuencarral-El Pardo.</t>
  </si>
  <si>
    <t>REL-0172</t>
  </si>
  <si>
    <t>Conservación: Vivero de Casa de Campo, vivero de Migas Calientes y Rosaleda de Madrid (Parque del Oeste).</t>
  </si>
  <si>
    <t>Viveros y Rosaleda en el distrito Moncloa-Aravaca.</t>
  </si>
  <si>
    <t>https://www.madrid.es/portales/munimadrid/es/Inicio/El-Ayuntamiento/Moncloa-Aravaca/Direcciones-y-telefonos/Vivero-municipal-de-Migas-Calientes/?vgnextchannel=a6d4d47ffee28010VgnVCM100000dc0ca8c0RCRD&amp;vgnextfmt=default&amp;vgnextoid=478dce6b78d2f210VgnVCM1000000b205a0aRCRD
https://sede.madrid.es/UnidadWeb/UGNormativas/Normativa/2026/Ficheros/acuerdosydecretoscompetencias_enero2026.pdf
https://contrataciondelestado.es/wps/wcm/connect/PLACE_es/Site/area/docAccCmpnt?DocumentIdParam=e39f9ece-4e4f-42a7-9941-d0f6917b6c66&amp;cmpntname=GetDocumentsById&amp;source=library&amp;srv=cmpnt
https://contratos.gobierto.es/licitaciones/1949358</t>
  </si>
  <si>
    <t>REL-0173</t>
  </si>
  <si>
    <t>Ámbito municipal</t>
  </si>
  <si>
    <t>Asistencia técnica: aplicaciones tecnológicas y control de calidad para contratos de zonas verdes, parques y viveros</t>
  </si>
  <si>
    <t>300/2025/00379</t>
  </si>
  <si>
    <t>UTE PWACS - AUTOMATICA - TRACK MOBILITY</t>
  </si>
  <si>
    <t>Implantación de herramientas digitales, consultoría de procesos, integración de datos, seguimiento y control de…</t>
  </si>
  <si>
    <t>Transversal a zonas verdes, arbolado, parques y viveros de Madrid; NO adjudica conservación física a esta UTE.</t>
  </si>
  <si>
    <t>Asistencia digital, distinta de conservación de jardines; 36 meses.</t>
  </si>
  <si>
    <t>FORMALIZADO 2026; 36 meses; adjudicataria y objeto contrastados (TED / plataforma de contratación). | FECHAS SIN ACREDITAR: El registro incluye una fecha de inicio, pero no hay publicación de la fecha efectiva de fin ni eventuales ajustes. La duración de 36 meses no se ha aplicado como vencimiento certificado. | CONTROL DOCUMENTAL 21/10/2026: Adjudicación publicada oficialmente. UTE PWACS-AUTOMÁTICA-TRACK MOBILITY figura adjudicataria en resultados municipales, 24/03/2026. [Base de evidencia: Portal municipal / resolución o resultado oficial consultado] | CONTRASTE ADICIONAL 21/10/2026: FUENTE MUNICIPAL DE RESULTADOS: adjudicado 24/03/2026 a UTE PWACS-AUTOMATICA-TRACK MOBILITY, importe publicado 2.357.262,02 EUR.</t>
  </si>
  <si>
    <t>https://ted.europa.eu/es/notice/-/detail/508191-2026
https://contrataciondelestado.es/FileSystem/servlet/GetDocumentByIdServlet?DocumentIdParam=f38lBQjaYny%2B6hyrk%2BD9fQhONK4oTZAtCfixIe507JtviUzILYZDo59s0pyuFUtp226Wt2%2Bfp51s%2Bme%2Fl2sMvQq69l58jOXk6kzgrz4UUBmCx2e6p7hqtlp2aFupgHMr&amp;cifrado=QUC1GjXXSiLkydRHJBmbpw%3D%3D
https://contratacion.madrid.es/ultimos-resultados/</t>
  </si>
  <si>
    <t>REL-0174</t>
  </si>
  <si>
    <t>300/2025/00379|UNICO</t>
  </si>
  <si>
    <t>FIN NO ACREDITADO — verificar contrato / prórroga</t>
  </si>
  <si>
    <t>UTE PWACS–AUTOMATICA–TRACK</t>
  </si>
  <si>
    <t>|UTE PWACS–AUTOMATICA–TRACK|</t>
  </si>
  <si>
    <t>Energía y cambio climático</t>
  </si>
  <si>
    <t>Dirección General de Sostenibilidad y Control Ambiental</t>
  </si>
  <si>
    <t>Subdirección General de Energía y Cambio Climático</t>
  </si>
  <si>
    <t>Acuerdo marco de suministros, obras y servicios de eficiencia energética (4 lotes)</t>
  </si>
  <si>
    <t>300/2023/00455</t>
  </si>
  <si>
    <t>COLWAY ENERGÍA SL</t>
  </si>
  <si>
    <t>Estudios de viabilidad, anteproyectos, proyectos e instalación de sistemas solares fotovoltaicos y autoconsumo…</t>
  </si>
  <si>
    <t>Instalaciones de edificios municipales designadas en contratos basados; no toda cubierta del distrito.</t>
  </si>
  <si>
    <t>Acuerdo marco: requiere contrato basado por instalación; no es mantenimiento viario.</t>
  </si>
  <si>
    <t>ACUERDO MARCO FORMALIZADO. Lote 1, duración pactada 4 años; ejecución mediante contratos basados. | FECHAS REVISADAS: Vencimiento ordinario calculado desde el inicio consignado, aplicando cuatro años; comprobar modificaciones/prórrogas. | CONTROL DOCUMENTAL 21/10/2026: Acuerdo marco adjudicado por lotes. Cuatro lotes de eficiencia energética. Distinguir adjudicación del AM y actuaciones de contratos basados. [Base de evidencia: Datos confrontados con referencias aportadas; no hay resolución individual corroborada]</t>
  </si>
  <si>
    <t>https://contrataciondelestado.es/wps/poc?uri=deeplink:detalle_licitacion&amp;idEvl=P9PcK0cHxg1J8Trn0ZPzLw%3D%3D
https://www.madrid.es/portales/munimadrid/es/Inicio/El-Ayuntamiento/Gobierno-y-Administracion/Actuaciones-en-materia-de-eficiencia-energetica-realizadas-en-2025/?vgnextchannel=78f8e3d5d3e07010VgnVCM100000dc0ca8c0RCRD&amp;vgnextfmt=default&amp;vgnextoid=f4da3131f299c910VgnVCM200000f921e388RCRD
https://www.alicitar.es/licitacion/5092486/acuerdo-marco-mixto-de-suministro-con-instalacion-de-obra-y-servicios-de-eficien</t>
  </si>
  <si>
    <t>REL-0175</t>
  </si>
  <si>
    <t>300/2023/00455|1</t>
  </si>
  <si>
    <t>|COLWAY ENERGÍA SL|</t>
  </si>
  <si>
    <t>ETRALUX SA</t>
  </si>
  <si>
    <t>Auditorías, proyectos y sustitución de iluminación por LED, regulación horaria y sensores de presencia/luz en…</t>
  </si>
  <si>
    <t>Equipamientos e inmuebles municipales incluidos en órdenes basadas; excluye farolas de vía pública.</t>
  </si>
  <si>
    <t>ACUERDO MARCO FORMALIZADO. Lote 2, duración pactada 4 años; ejecución mediante contratos basados. | FECHAS REVISADAS: Vencimiento ordinario calculado desde el inicio consignado, aplicando cuatro años; comprobar modificaciones/prórrogas. | CONTROL DOCUMENTAL 21/10/2026: Acuerdo marco adjudicado por lotes. Cuatro lotes de eficiencia energética. Distinguir adjudicación del AM y actuaciones de contratos basados. [Base de evidencia: Datos confrontados con referencias aportadas; no hay resolución individual corroborada]</t>
  </si>
  <si>
    <t>REL-0176</t>
  </si>
  <si>
    <t>300/2023/00455|2</t>
  </si>
  <si>
    <t>ETRA</t>
  </si>
  <si>
    <t>Grupo de empresa contrastado en fuente corporativa: https://www.grupoetra.com/en/etra-group/donde-estamos/</t>
  </si>
  <si>
    <t>|ETRA|</t>
  </si>
  <si>
    <t>FERROVIAL CONSTRUCCIÓN SA</t>
  </si>
  <si>
    <t>Estudios técnicos, mejora y sustitución de climatización, ventilación, equipos de calefacción, automatiza</t>
  </si>
  <si>
    <t>Edificios culturales, deportivos, sociales y administrativos intervenidos en contratos basados.</t>
  </si>
  <si>
    <t>ACUERDO MARCO FORMALIZADO. Lote 3, duración pactada 4 años; ejecución mediante contratos basados. | FECHAS REVISADAS: Vencimiento ordinario calculado desde el inicio consignado, aplicando cuatro años; comprobar modificaciones/prórrogas. | CONTROL DOCUMENTAL 21/10/2026: Acuerdo marco adjudicado por lotes. Cuatro lotes de eficiencia energética. Distinguir adjudicación del AM y actuaciones de contratos basados. [Base de evidencia: Datos confrontados con referencias aportadas; no hay resolución individual corroborada]</t>
  </si>
  <si>
    <t>REL-0177</t>
  </si>
  <si>
    <t>300/2023/00455|3</t>
  </si>
  <si>
    <t>FERROVIAL</t>
  </si>
  <si>
    <t>|FERROVIAL|</t>
  </si>
  <si>
    <t>UTE GIC INGENIA (GESTIÓN INTELIGENTE DE CARGAS SL - INGENIA PROYECTOS Y SOLUCIONES SL)</t>
  </si>
  <si>
    <t>Consultoría, proyecto, suministro e instalación de puntos municipales de recarga de vehículos eléctricos.</t>
  </si>
  <si>
    <t>Inmuebles y espacios municipales designados en contratos basados; NO red de recarga pública privada general.</t>
  </si>
  <si>
    <t>ACUERDO MARCO FORMALIZADO. Lote 4, duración pactada 4 años; ejecución mediante contratos basados. | FECHAS REVISADAS: Vencimiento ordinario calculado desde el inicio consignado, aplicando cuatro años; comprobar modificaciones/prórrogas. | CONTROL DOCUMENTAL 21/10/2026: Acuerdo marco adjudicado por lotes. Cuatro lotes de eficiencia energética. Distinguir adjudicación del AM y actuaciones de contratos basados. [Base de evidencia: Datos confrontados con referencias aportadas; no hay resolución individual corroborada]</t>
  </si>
  <si>
    <t>REL-0178</t>
  </si>
  <si>
    <t>300/2023/00455|4</t>
  </si>
  <si>
    <t>GIC INGENIA</t>
  </si>
  <si>
    <t>|GIC INGENIA|</t>
  </si>
  <si>
    <t>Servicios de gestión energética y suministro/instalación de sensores y equipos de monitorización municipal</t>
  </si>
  <si>
    <t>300/2024/00482</t>
  </si>
  <si>
    <t>ACCIONA ESCO SL</t>
  </si>
  <si>
    <t>Instalación y operación de mediciones eléctricas, de gas, temperatura, humedad y sensores; plataforma…</t>
  </si>
  <si>
    <t>Edificios e instalaciones municipales adheridos al contrato, identificados por inventario de puntos de medida; no garantiza presencia física en cada distrito.</t>
  </si>
  <si>
    <t>Monitorización y análisis de consumos; no suministro eléctrico.</t>
  </si>
  <si>
    <t>FORMALIZADO Y EN EJECUCIÓN; vigencia acreditada 01/02/2025–31/01/2030. | CONTROL DOCUMENTAL 21/10/2026: Adjudicataria localizada. ACCIONA ESCO aparece en contrato de gestión energética; revisar el alcance exacto por inmueble. [Base de evidencia: Datos confrontados con referencias aportadas; no hay resolución individual corroborada]</t>
  </si>
  <si>
    <t>https://www.madrid.es/UnidadesDescentralizadas/Sostenibilidad/AYRE/SistemaGestionEnergia/Promocionales/Actuaciones%20departamento/ficheros/Informe%20tecnico%20actuaciones%20por%20el%20Dpto%20EE%202025%20rev.pdf
https://www.madrid.es/portales/munimadrid/es/Inicio/El-Ayuntamiento/Gobierno-y-Administracion/Actuaciones-en-materia-de-eficiencia-energetica-realizadas-en-2025/?vgnextchannel=78f8e3d5d3e07010VgnVCM100000dc0ca8c0RCRD&amp;vgnextfmt=default&amp;vgnextoid=f4da3131f299c910VgnVCM200000f921e388RCRD</t>
  </si>
  <si>
    <t>REL-0179</t>
  </si>
  <si>
    <t>300/2024/00482|UNICO</t>
  </si>
  <si>
    <t>Área de Gobierno de Economía, Innovación y Hacienda</t>
  </si>
  <si>
    <t>Dirección General de Contratación y Servicios</t>
  </si>
  <si>
    <t>Unidad gestora de suministros centralizados</t>
  </si>
  <si>
    <t>Suministro municipal de energía eléctrica con garantía de origen 100 % renovable (2024–2026)</t>
  </si>
  <si>
    <t>511/2023/17914</t>
  </si>
  <si>
    <t>IBERDROLA CLIENTES SAU</t>
  </si>
  <si>
    <t>Comercialización y entrega de electricidad con garantía acreditada 100 % de origen renovable en los puntos de…</t>
  </si>
  <si>
    <t>Instalaciones contratadas del Ayuntamiento, Madrid Salud, Agencia Tributaria de Madrid y Agencia para el Empleo; puntos CUPS definidos en pliegos.</t>
  </si>
  <si>
    <t>Contrato eléctrico a cargo del Área de Economía; fin previsto 31/12/2026.</t>
  </si>
  <si>
    <t>ADJUDICADO 05/06/2024; suministro vigente en 2026. Fin 31/12/2026 según autorización de Junta de Gobierno. | FECHAS SIN ACREDITAR: Fecha de adjudicación publicada, pero no consta acta de inicio del suministro en la fuente usada; fin consignado 31/12/2026. | CONTROL DOCUMENTAL 21/10/2026: Suministradora identificada. IBERDROLA CLIENTES consta en la base; no afirmar contrato activo fuera de su calendario sin modificaciones oficiales. [Base de evidencia: Datos confrontados con referencias aportadas; no hay resolución individual corroborada]</t>
  </si>
  <si>
    <t>https://www.madrid.es/UnidadesDescentralizadas/JuntaDeGobierno/1.%20Acuerdos%20Transparencia/2024/1.%20Ficheros/25%20de%20abril%20de%202024.pdf
https://www.pliegos.es/licitacion/suministro-de-energia-electrica-con-garantia-de-origen-100-renovable--14824c508e</t>
  </si>
  <si>
    <t>REL-0180</t>
  </si>
  <si>
    <t>511/2023/17914|UNICO</t>
  </si>
  <si>
    <t>IBERDROLA</t>
  </si>
  <si>
    <t>Grupo de empresa contrastado en fuente corporativa: https://www.iberdrola.com/wcorp/gc/prod/es_ES/estaticos/mapa-sociedades-2025/mapa-sociedades_ES.html</t>
  </si>
  <si>
    <t>|IBERDROLA|</t>
  </si>
  <si>
    <t>Contrato basado en lote 1: fotovoltaica del Centro Cultural José Luis Sampedro (Latina)</t>
  </si>
  <si>
    <t>300/2023/00455-65</t>
  </si>
  <si>
    <t>Suministro, instalación y puesta en marcha de instalación fotovoltaica para autoconsumo en Centro Cultural José Luis Sampedro.</t>
  </si>
  <si>
    <t>Centro Cultural José Luis Sampedro, c/ Castroserna 4, barrio Lucero, distrito Latina.</t>
  </si>
  <si>
    <t>Contratación BASADA en lote 1 del acuerdo marco 300/2023/00455; adjudicada 31/07/2026. No equivale a una nueva…</t>
  </si>
  <si>
    <t>CONTRATO BASADO ADJUDICADO 31/07/2026. Fin preciso no consta en la adjudicación pública; no se asigna fecha ficticia. | FECHAS REVISADAS: Fecha de finalización publicada para el contrato basado: 29/11/2026. | FECHAS SIN ACREDITAR: Contrato basado: adjudicación y plazo conocidos, sin acta de inicio publicada. Si falta fin, no se calcula desde la adjudicación. | CONTROL DOCUMENTAL 21/10/2026: Contrato basado localizado. Fotovoltaica en Centro Cultural José Luis Sampedro, empresa COLWAY. Es contrato basado, no nuevo lote del AM. [Base de evidencia: Ficha individual de publicación / agregador contrastada] | CONTRASTE ADICIONAL 21/10/2026: BASADO INDIVIDUAL: adjudicado a COLWAY ENERGÍA SL el 31/07/2026 por 50.411,83 EUR sin IVA. No confundir con otros contratos del mismo acuerdo marco.</t>
  </si>
  <si>
    <t>https://contratos.gobierto.es/adjudicatarios/colway-energia-s-l?locale=es
https://www.madrid.es/portales/munimadrid/es/Inicio/Cultura-ocio-y-deporte/Deporte/Gestiones-y-tramites/Centro-Cultural-Jose-Luis-Sampedro-Latina-/?vgnextchannel=2858151c238fe410VgnVCM2000000c205a0aRCRD&amp;vgnextfmt=default&amp;vgnextoid=bd3fba61e681c010VgnVCM1000000b205a0aRCRD
https://contratos.gobierto.es/contratos/10596585</t>
  </si>
  <si>
    <t>REL-0181</t>
  </si>
  <si>
    <t>300/2023/00455-65|1</t>
  </si>
  <si>
    <t>Contrato basado en lote 1: fotovoltaica en edificio municipal Camino de Hormigueras 133</t>
  </si>
  <si>
    <t>300202300455-68</t>
  </si>
  <si>
    <t>Suministro con instalación de obra para ejecución de instalación solar fotovoltaica en el edificio municipal de…</t>
  </si>
  <si>
    <t>Edificio Camino de Hormigueras, 133; distrito Villa de Vallecas (inmueble municipal).</t>
  </si>
  <si>
    <t>Contrato basado del acuerdo marco; solo la actuación indicada.</t>
  </si>
  <si>
    <t>CONTRATO BASADO ADJUDICADO 17/08/2026; ejecución prevista tres meses desde inicio acreditado. | FECHAS REVISADAS: Fecha de finalización publicada para el contrato basado: 16/11/2026. | FECHAS SIN ACREDITAR: Contrato basado: adjudicación y plazo conocidos, sin acta de inicio publicada. Si falta fin, no se calcula desde la adjudicación. | CONTROL DOCUMENTAL 21/10/2026: Contrato basado localizado. Fotovoltaica en Camino de Hormigueras, COLWAY. No mezclar identificador sin barras con expediente principal. [Base de evidencia: Ficha individual de publicación / agregador contrastada] | CONTRASTE ADICIONAL 21/10/2026: BASADO INDIVIDUAL: adjudicado a COLWAY ENERGÍA SL el 17/08/2026 por 56.930,72 EUR según la ficha consultada; importe y fecha no corresponden al acuerdo marco general.</t>
  </si>
  <si>
    <t>https://contratos.gobierto.es/contratos/10663581
https://es.scribd.com/document/391019288/01-INMUEBLES-2017
https://contratos.gobierto.es/adjudicatarios/colway-energia-s-l?locale=es</t>
  </si>
  <si>
    <t>REL-0182</t>
  </si>
  <si>
    <t>300202300455-68|1</t>
  </si>
  <si>
    <t>Contrato basado en lote 2: suministro e instalación de luminarias de tecnología eficiente en varios centros municipales</t>
  </si>
  <si>
    <t>300202300455-67</t>
  </si>
  <si>
    <t>Sustitución de luminarias por equipos eficientes en varios centros municipales; instalación y adecuación de equipos eléctricos.</t>
  </si>
  <si>
    <t>Varios centros municipales recogidos en anexo de adjudicación; no asignable a un distrito concreto con publicación disponible.</t>
  </si>
  <si>
    <t>CONTRATO BASADO ADJUDICADO 17/08/2026; 4 meses desde inicio del servicio, sin fecha final expresa publicada. | FECHAS SIN ACREDITAR: Contrato basado: adjudicación y plazo conocidos, sin acta de inicio publicada. Si falta fin, no se calcula desde la adjudicación. | CONTROL DOCUMENTAL 21/10/2026: Contrato basado localizado. Luminarias eficientes, ETRALUX; debe agruparse bajo ETRA en maestro empresarial. [Base de evidencia: Ficha individual de publicación / agregador contrastada]</t>
  </si>
  <si>
    <t>https://contratos.gobierto.es/contratos/10658385?locale=ca
https://contrataciondelestado.es/wps/poc?uri=deeplink:detalle_licitacion&amp;idEvl=P9PcK0cHxg1J8Trn0ZPzLw%3D%3D</t>
  </si>
  <si>
    <t>REL-0183</t>
  </si>
  <si>
    <t>300202300455-67|2</t>
  </si>
  <si>
    <t>Acuerdo marco de redacción de proyectos y estudios técnicos de Agua y Zonas Verdes (6 lotes)</t>
  </si>
  <si>
    <t>300/2024/01279</t>
  </si>
  <si>
    <t>CÓDIGO ARQUITECTURA SLP</t>
  </si>
  <si>
    <t>Zona noroeste; estudios y redacción de proyectos asociados a actuaciones en zonas verdes.</t>
  </si>
  <si>
    <t>Lote 1. Alcance territorial de los estudios del distrito Centro; solamente se ejecutan proyectos mediante contratos basados.</t>
  </si>
  <si>
    <t>Marco de estudios, no de conservación; los encargos requieren contrato basado.</t>
  </si>
  <si>
    <t>ADJUDICACIÓN OFICIAL 2025; ACUERDO MARCO 4 AÑOS. Operativo mediante contratos basados. No se atribuyen obras no adjudicadas. | FECHAS SIN ACREDITAR: Falta fecha de entrada en vigor publicada de este lote en las fuentes revisadas; la adjudicación/homologación no equivale al inicio. El plazo de 4 años no permite fijar el final sin esa fecha. | CONTROL DOCUMENTAL 21/10/2026: Seis lotes identificados. AM para redacción de proyectos de Agua y Zonas Verdes; atribuir seis adjudicatarias por lote, no todas a un mismo proyecto. [Base de evidencia: Portal municipal / resolución o resultado oficial consultado] | CONTRASTE ADICIONAL 21/10/2026: ACUERDO MARCO: adjudicado por seis lotes; comprobar cada adjudicataria por lote; los contratos basados tienen expediente y resolución propios.</t>
  </si>
  <si>
    <t>https://contrataciondelestado.es/wps/poc?idEvl=i7HMof%2FRFHsZDGvgaZEVxQ%3D%3D&amp;uri=deeplink%3Adetalle_licitacion
https://www.alicitar.es/licitacion/7608015/acuerdo-marco-de-servicios-denominado-redaccion-de-proyectos-y-estudios-tecnicos</t>
  </si>
  <si>
    <t>REL-0184</t>
  </si>
  <si>
    <t>300/2024/01279|1</t>
  </si>
  <si>
    <t>|CÓDIGO ARQUITECTURA SLP|</t>
  </si>
  <si>
    <t>Lote 1. Alcance territorial de los estudios del distrito Chamberí; solamente se ejecutan proyectos mediante contratos basados.</t>
  </si>
  <si>
    <t>REL-0185</t>
  </si>
  <si>
    <t>Lote 1. Alcance territorial de los estudios del distrito Tetuán; solamente se ejecutan proyectos mediante contratos basados.</t>
  </si>
  <si>
    <t>REL-0186</t>
  </si>
  <si>
    <t>Lote 1. Alcance territorial de los estudios del distrito Fuencarral-El Pardo; solamente se ejecutan proyectos mediante contratos basados.</t>
  </si>
  <si>
    <t>REL-0187</t>
  </si>
  <si>
    <t>Lote 1. Alcance territorial de los estudios del distrito Moncloa-Aravaca; solamente se ejecutan proyectos mediante contratos basados.</t>
  </si>
  <si>
    <t>REL-0188</t>
  </si>
  <si>
    <t>Lote 1. Alcance territorial de los estudios del distrito Latina; solamente se ejecutan proyectos mediante contratos basados.</t>
  </si>
  <si>
    <t>REL-0189</t>
  </si>
  <si>
    <t>Lote 1. Alcance territorial de los estudios del distrito Carabanchel; solamente se ejecutan proyectos mediante contratos basados.</t>
  </si>
  <si>
    <t>REL-0190</t>
  </si>
  <si>
    <t>TREEBECA SERVICIOS INTEGRALES DE INGENIERÍA SL</t>
  </si>
  <si>
    <t>Zona noreste; estudios y redacción de proyectos de zonas verdes y obras asociadas.</t>
  </si>
  <si>
    <t>Lote 2. Alcance territorial de los estudios del distrito Arganzuela; solamente se ejecutan proyectos mediante contratos basados.</t>
  </si>
  <si>
    <t>REL-0191</t>
  </si>
  <si>
    <t>300/2024/01279|2</t>
  </si>
  <si>
    <t>|TREEBECA SERVICIOS INTEGRALES DE INGENIERÍA SL|</t>
  </si>
  <si>
    <t>Lote 2. Alcance territorial de los estudios del distrito Retiro; solamente se ejecutan proyectos mediante contratos basados.</t>
  </si>
  <si>
    <t>REL-0192</t>
  </si>
  <si>
    <t>Lote 2. Alcance territorial de los estudios del distrito Salamanca; solamente se ejecutan proyectos mediante contratos basados.</t>
  </si>
  <si>
    <t>REL-0193</t>
  </si>
  <si>
    <t>Lote 2. Alcance territorial de los estudios del distrito Chamartín; solamente se ejecutan proyectos mediante contratos basados.</t>
  </si>
  <si>
    <t>REL-0194</t>
  </si>
  <si>
    <t>Lote 2. Alcance territorial de los estudios del distrito Ciudad Lineal; solamente se ejecutan proyectos mediante contratos basados.</t>
  </si>
  <si>
    <t>REL-0195</t>
  </si>
  <si>
    <t>Lote 2. Alcance territorial de los estudios del distrito Hortaleza; solamente se ejecutan proyectos mediante contratos basados.</t>
  </si>
  <si>
    <t>REL-0196</t>
  </si>
  <si>
    <t>Lote 2. Alcance territorial de los estudios del distrito San Blas-Canillejas; solamente se ejecutan proyectos mediante contratos basados.</t>
  </si>
  <si>
    <t>REL-0197</t>
  </si>
  <si>
    <t>Lote 2. Alcance territorial de los estudios del distrito Barajas; solamente se ejecutan proyectos mediante contratos basados.</t>
  </si>
  <si>
    <t>REL-0198</t>
  </si>
  <si>
    <t>Lote 2. Alcance territorial de los estudios del distrito Vicálvaro; solamente se ejecutan proyectos mediante contratos basados.</t>
  </si>
  <si>
    <t>REL-0199</t>
  </si>
  <si>
    <t>INGENIA SOLUCIONES PARA LA INGENIERÍA SLU</t>
  </si>
  <si>
    <t>Zona sur; estudios técnicos y proyectos de parques de distrito y zonas verdes.</t>
  </si>
  <si>
    <t>Lote 3. Alcance territorial de los estudios del distrito Usera; solamente se ejecutan proyectos mediante contratos basados.</t>
  </si>
  <si>
    <t>REL-0200</t>
  </si>
  <si>
    <t>300/2024/01279|3</t>
  </si>
  <si>
    <t>|INGENIA SOLUCIONES PARA LA INGENIERÍA SLU|</t>
  </si>
  <si>
    <t>Lote 3. Alcance territorial de los estudios del distrito Villaverde; solamente se ejecutan proyectos mediante contratos basados.</t>
  </si>
  <si>
    <t>REL-0201</t>
  </si>
  <si>
    <t>Lote 3. Alcance territorial de los estudios del distrito Puente de Vallecas; solamente se ejecutan proyectos mediante contratos basados.</t>
  </si>
  <si>
    <t>REL-0202</t>
  </si>
  <si>
    <t>Lote 3. Alcance territorial de los estudios del distrito Villa de Vallecas; solamente se ejecutan proyectos mediante contratos basados.</t>
  </si>
  <si>
    <t>REL-0203</t>
  </si>
  <si>
    <t>Lote 3. Alcance territorial de los estudios del distrito Moratalaz; solamente se ejecutan proyectos mediante contratos basados.</t>
  </si>
  <si>
    <t>REL-0204</t>
  </si>
  <si>
    <t>INGENIERÍA BÁSICA OBRAS Y PROYECTOS SL</t>
  </si>
  <si>
    <t>Redacción de proyectos y estudios técnicos de alcantarillado, saneamiento y depuración de ámbito municipa</t>
  </si>
  <si>
    <t>Saneamiento, alcantarillado y depuración</t>
  </si>
  <si>
    <t>Proyectos, no obras; emplazamientos solo en contratos basados.</t>
  </si>
  <si>
    <t>ADJUDICACIÓN OFICIAL 2025; ACUERDO MARCO 4 AÑOS. No se inventa distrito de intervención de los encargos futuros. | FECHAS SIN ACREDITAR: Falta fecha de entrada en vigor publicada de este lote en las fuentes revisadas; la adjudicación/homologación no equivale al inicio. El plazo de 4 años no permite fijar el final sin esa fecha. | CONTROL DOCUMENTAL 21/10/2026: Seis lotes identificados. AM para redacción de proyectos de Agua y Zonas Verdes; atribuir seis adjudicatarias por lote, no todas a un mismo proyecto. [Base de evidencia: Portal municipal / resolución o resultado oficial consultado] | CONTRASTE ADICIONAL 21/10/2026: ACUERDO MARCO: adjudicado por seis lotes; comprobar cada adjudicataria por lote; los contratos basados tienen expediente y resolución propios.</t>
  </si>
  <si>
    <t>REL-0205</t>
  </si>
  <si>
    <t>300/2024/01279|4</t>
  </si>
  <si>
    <t>|INGENIERÍA BÁSICA OBRAS Y PROYECTOS SL|</t>
  </si>
  <si>
    <t>DESARROLLOS LOGÍSTICOS Y FOMENTO DE SUELO SL</t>
  </si>
  <si>
    <t>Proyectos para agua regenerada, arroyos y fuentes municipales, con posible relación con el riego de zonas…</t>
  </si>
  <si>
    <t>Agua regenerada, arroyos y fuentes</t>
  </si>
  <si>
    <t>ADJUDICACIÓN OFICIAL 2025; ACUERDO MARCO 4 AÑOS. No se inventa distrito de intervención de los encargos futuros. | FECHAS REVISADAS: Lote 5: entrada en vigor oficial 01/11/2025; fin ordinario 31/10/2029 calculado por plazo de 4 años. | CONTROL DOCUMENTAL 21/10/2026: Seis lotes identificados. AM para redacción de proyectos de Agua y Zonas Verdes; atribuir seis adjudicatarias por lote, no todas a un mismo proyecto. [Base de evidencia: Portal municipal / resolución o resultado oficial consultado] | CONTRASTE ADICIONAL 21/10/2026: ACUERDO MARCO: adjudicado por seis lotes; comprobar cada adjudicataria por lote; los contratos basados tienen expediente y resolución propios.</t>
  </si>
  <si>
    <t>https://contrataciondelestado.es/wps/poc?idEvl=i7HMof%2FRFHsZDGvgaZEVxQ%3D%3D&amp;uri=deeplink%3Adetalle_licitacion
https://contrataciondelestado.es/FileSystem/servlet/GetDocumentByIdServlet?DocumentIdParam=rqUwc0s6j0VaK1GIz%2F%2FDO48OLVmApYjPLr%2FyqdCqvIh2dZEYCzIqYrwG5qSOVIWSKjFj40E6SYFflpEjicru5EU%2FQ4E9vJVAAuR%2BB7OpS3I%2F%2Fq7NB2iMZvNyf0xrJmjt&amp;cifrado=QUC1GjXXSiLkydRHJBmbpw%3D%3D
https://www.alicitar.es/licitacion/7608015/acuerdo-marco-de-servicios-denominado-redaccion-de-proyectos-y-estudios-tecnicos</t>
  </si>
  <si>
    <t>REL-0206</t>
  </si>
  <si>
    <t>300/2024/01279|5</t>
  </si>
  <si>
    <t>|DESARROLLOS LOGÍSTICOS Y FOMENTO DE SUELO SL|</t>
  </si>
  <si>
    <t>CONURMA INGENIEROS CONSULTORES SL</t>
  </si>
  <si>
    <t>Estudios y redacción de proyectos de parques históricos, singulares, forestales, viveros y Rosaleda; no m</t>
  </si>
  <si>
    <t>REL-0207</t>
  </si>
  <si>
    <t>300/2024/01279|6</t>
  </si>
  <si>
    <t>|CONURMA INGENIEROS CONSULTORES SL|</t>
  </si>
  <si>
    <t>Acuerdo marco de obras de la Dirección General de Gestión del Agua y Zonas Verdes (7 lotes)</t>
  </si>
  <si>
    <t>131/2024/36386</t>
  </si>
  <si>
    <t>UTE INGENIERÍA DE LOS RECURSOS NATURALES SA – OBRAS Y SERVICIOS TAGA SA (UTE AM ZONAS VERDES L1)</t>
  </si>
  <si>
    <t>Obras de mejora, ampliación y rehabilitación de zonas verdes mediante encargos basados.</t>
  </si>
  <si>
    <t>Lote 1; distrito Centro dentro del ámbito de actuación potencial del acuerdo marco.</t>
  </si>
  <si>
    <t>Marco de obras; una actuación solo existe con su contrato basado.</t>
  </si>
  <si>
    <t>https://contrataciondelestado.es/wps/poc?idEvl=m0WFJ9YZyHzE6P%2FuLemXRw%3D%3D&amp;uri=deeplink%3Adetalle_licitacion
https://www.alicitar.es/licitacion/7721427/acuerdo-marco-para-la-ejecucion-de-obras-asociadas-a-las-competencias-de-la-dire
https://contratos.gobierto.es/licitaciones/4648343?locale=es
https://contratacion.madrid.es/sistemas-de-racionalizacion/</t>
  </si>
  <si>
    <t>REL-0208</t>
  </si>
  <si>
    <t>131/2024/36386|1</t>
  </si>
  <si>
    <t>UTE AM ZONAS VERDES L1</t>
  </si>
  <si>
    <t>|UTE AM ZONAS VERDES L1|</t>
  </si>
  <si>
    <t>Lote 1; distrito Chamberí dentro del ámbito de actuación potencial del acuerdo marco.</t>
  </si>
  <si>
    <t>REL-0209</t>
  </si>
  <si>
    <t>Lote 1; distrito Tetuán dentro del ámbito de actuación potencial del acuerdo marco.</t>
  </si>
  <si>
    <t>REL-0210</t>
  </si>
  <si>
    <t>Lote 1; distrito Fuencarral-El Pardo dentro del ámbito de actuación potencial del acuerdo marco.</t>
  </si>
  <si>
    <t>REL-0211</t>
  </si>
  <si>
    <t>Lote 1; distrito Moncloa-Aravaca dentro del ámbito de actuación potencial del acuerdo marco.</t>
  </si>
  <si>
    <t>REL-0212</t>
  </si>
  <si>
    <t>Lote 1; distrito Latina dentro del ámbito de actuación potencial del acuerdo marco.</t>
  </si>
  <si>
    <t>REL-0213</t>
  </si>
  <si>
    <t>Lote 1; distrito Carabanchel dentro del ámbito de actuación potencial del acuerdo marco.</t>
  </si>
  <si>
    <t>REL-0214</t>
  </si>
  <si>
    <t>UTE VALORIZA SERVICIOS MEDIOAMBIENTALES SA – CONSTRUCTORA SAN JOSÉ SA – EL EJIDILLO VIVEROS INTEGRALES SL</t>
  </si>
  <si>
    <t>Lote 2; distrito Arganzuela dentro del ámbito de actuación potencial del acuerdo marco.</t>
  </si>
  <si>
    <t>REL-0215</t>
  </si>
  <si>
    <t>131/2024/36386|2</t>
  </si>
  <si>
    <t>VALORIZA | SAN JOSÉ</t>
  </si>
  <si>
    <t>|VALORIZA|SAN JOSÉ|</t>
  </si>
  <si>
    <t>Lote 2; distrito Retiro dentro del ámbito de actuación potencial del acuerdo marco.</t>
  </si>
  <si>
    <t>REL-0216</t>
  </si>
  <si>
    <t>Lote 2; distrito Salamanca dentro del ámbito de actuación potencial del acuerdo marco.</t>
  </si>
  <si>
    <t>REL-0217</t>
  </si>
  <si>
    <t>Lote 2; distrito Chamartín dentro del ámbito de actuación potencial del acuerdo marco.</t>
  </si>
  <si>
    <t>REL-0218</t>
  </si>
  <si>
    <t>Lote 2; distrito Ciudad Lineal dentro del ámbito de actuación potencial del acuerdo marco.</t>
  </si>
  <si>
    <t>REL-0219</t>
  </si>
  <si>
    <t>Lote 2; distrito Hortaleza dentro del ámbito de actuación potencial del acuerdo marco.</t>
  </si>
  <si>
    <t>REL-0220</t>
  </si>
  <si>
    <t>Lote 2; distrito San Blas-Canillejas dentro del ámbito de actuación potencial del acuerdo marco.</t>
  </si>
  <si>
    <t>REL-0221</t>
  </si>
  <si>
    <t>Lote 2; distrito Barajas dentro del ámbito de actuación potencial del acuerdo marco.</t>
  </si>
  <si>
    <t>REL-0222</t>
  </si>
  <si>
    <t>Lote 2; distrito Vicálvaro dentro del ámbito de actuación potencial del acuerdo marco.</t>
  </si>
  <si>
    <t>REL-0223</t>
  </si>
  <si>
    <t>UTE INGENIERÍA OBRAS Y TECNOLOGÍA EUROPEA SL – JARYPARK SL (UTE 2025 ZONAS VERDES LOTE 3)</t>
  </si>
  <si>
    <t>Lote 3; distrito Usera dentro del ámbito de actuación potencial del acuerdo marco.</t>
  </si>
  <si>
    <t>REL-0224</t>
  </si>
  <si>
    <t>131/2024/36386|3</t>
  </si>
  <si>
    <t>UTE ZONAS VERDES L3</t>
  </si>
  <si>
    <t>|UTE ZONAS VERDES L3|</t>
  </si>
  <si>
    <t>Lote 3; distrito Villaverde dentro del ámbito de actuación potencial del acuerdo marco.</t>
  </si>
  <si>
    <t>REL-0225</t>
  </si>
  <si>
    <t>Lote 3; distrito Puente de Vallecas dentro del ámbito de actuación potencial del acuerdo marco.</t>
  </si>
  <si>
    <t>REL-0226</t>
  </si>
  <si>
    <t>Lote 3; distrito Villa de Vallecas dentro del ámbito de actuación potencial del acuerdo marco.</t>
  </si>
  <si>
    <t>REL-0227</t>
  </si>
  <si>
    <t>Lote 3; distrito Moratalaz dentro del ámbito de actuación potencial del acuerdo marco.</t>
  </si>
  <si>
    <t>REL-0228</t>
  </si>
  <si>
    <t>FCC MEDIO AMBIENTE SAU</t>
  </si>
  <si>
    <t>Obras de mejora, rehabilitación y ampliación de los parques históricos y singulares, forestales y viveros…</t>
  </si>
  <si>
    <t>Los parques y viveros de los siete lotes del contrato de conservación 300/2022/00034; ejecución solo mediante contratos basados concretos.</t>
  </si>
  <si>
    <t>https://contrataciondelestado.es/wps/poc?idEvl=m0WFJ9YZyHzE6P%2FuLemXRw%3D%3D&amp;uri=deeplink%3Adetalle_licitacion
https://contratos.gobierto.es/licitaciones/4648343?locale=es
https://www.alicitar.es/licitacion/7721427/acuerdo-marco-para-la-ejecucion-de-obras-asociadas-a-las-competencias-de-la-dire
https://contratacion.madrid.es/sistemas-de-racionalizacion/</t>
  </si>
  <si>
    <t>REL-0229</t>
  </si>
  <si>
    <t>131/2024/36386|7</t>
  </si>
  <si>
    <t>Contrato basado del acuerdo marco de obras: rehabilitación de zonas verdes en Las Tablas</t>
  </si>
  <si>
    <t>131/2024/36386-102</t>
  </si>
  <si>
    <t>Rehabilitación de zonas verdes de Las Tablas.</t>
  </si>
  <si>
    <t>Barrio de Las Tablas, distrito Fuencarral-El Pardo.</t>
  </si>
  <si>
    <t>BASADO ADJUDICADO 05/06/2026; actuación local con adjudicataria acreditada. | FECHAS SIN ACREDITAR: Actuación basada adjudicada; las fechas de inicio/recepción se fijan en replanteo o programa de ejecución, no aportados en ficha pública. | CONTROL DOCUMENTAL 21/10/2026: Basado individual localizado. Las Tablas, lote 1 del AM 131/2024/36386. Confirmar identidad jurídica completa de la UTE en el anuncio específico. [Base de evidencia: Ficha individual de publicación / agregador contrastada]</t>
  </si>
  <si>
    <t>https://www.alicitar.es/licitacion/12179464/rehabilitacion-de-zonas-verdes-en-la-tablas-distrito-fuencarral-el-pardo
https://contratacion.madrid.es/ultimos-resultados/</t>
  </si>
  <si>
    <t>REL-0230</t>
  </si>
  <si>
    <t>131/2024/36386-102|1</t>
  </si>
  <si>
    <t>Contrato basado del acuerdo marco de obras: reforma integral del parque de Canillejas</t>
  </si>
  <si>
    <t>131/2024/36386-205</t>
  </si>
  <si>
    <t>UTE ACUERDO MARCO ZONA NORESTE LOTE 2 BIS</t>
  </si>
  <si>
    <t>Reforma integral del parque de Canillejas, adjudicada en julio de 2026.</t>
  </si>
  <si>
    <t>Parque de Canillejas, San Blas-Canillejas.</t>
  </si>
  <si>
    <t>Contrato basado de obras; adjudicación 10/07/2026; duración publicada seis meses, inicio real condicionado a acta.</t>
  </si>
  <si>
    <t>BASADO ADJUDICADO 10/07/2026; plazo previsto 6 meses desde fecha de comienzo, no se inventa fecha exacta fin. | FECHAS SIN ACREDITAR: Actuación basada adjudicada; las fechas de inicio/recepción se fijan en replanteo o programa de ejecución, no aportados en ficha pública. | CONTROL DOCUMENTAL 21/10/2026: Basado individual localizado. Parque de Canillejas, lote 2 del AM; adjudicación basada localizada, ejecución real requiere acta. [Base de evidencia: Ficha individual de publicación / agregador contrastada]</t>
  </si>
  <si>
    <t>https://www.alicitar.es/licitacion/14706488/reforma-integral-parque-de-canillejas-distrito-de-san-blas-canillejas
https://contratacion.madrid.es/ultimos-resultados/</t>
  </si>
  <si>
    <t>REL-0231</t>
  </si>
  <si>
    <t>131/2024/36386-205|2</t>
  </si>
  <si>
    <t>UTE AM ZONAS VERDES L2 BIS</t>
  </si>
  <si>
    <t>|UTE AM ZONAS VERDES L2 BIS|</t>
  </si>
  <si>
    <t>Contrato basado en acuerdo marco 300/2023/00455 de eficiencia energética</t>
  </si>
  <si>
    <t>300202300455-69</t>
  </si>
  <si>
    <t>Suministro e instalación de equipos de recarga para vehículos eléctricos en edificio deportivo municipal.</t>
  </si>
  <si>
    <t>CDM La Elipa, calle del Alcalde Garrido Juaristi 17, distrito Moratalaz.</t>
  </si>
  <si>
    <t>Recarga en instalaciones municipales, no todos los cargadores del distrito.</t>
  </si>
  <si>
    <t>BASADO ADJUDICADO 15/09/2026; empresa acreditada; fin de ejecución no publicado como fecha exacta. | FECHAS SIN ACREDITAR: Contrato basado: adjudicación y plazo conocidos, sin acta de inicio publicada. Si falta fin, no se calcula desde la adjudicación. | CONTROL DOCUMENTAL 21/10/2026: Contrato basado adjudicado. Recarga CDM La Elipa, UTE GIC INGENIA, adjudicación 15/09/2026. Fuente reproduce resultado PLACSP. [Base de evidencia: Ficha individual de publicación / agregador contrastada]</t>
  </si>
  <si>
    <t>https://contratos.gobierto.es/licitaciones/3398418/contracting_system_contracts?locale=ca
https://licitalens.com/licitacion/20435023</t>
  </si>
  <si>
    <t>REL-0232</t>
  </si>
  <si>
    <t>300202300455-69|4</t>
  </si>
  <si>
    <t>300202300455-70</t>
  </si>
  <si>
    <t>Redacción del proyecto de adaptación reglamentaria y legalización de puntos municipales de recarga eléctrica.</t>
  </si>
  <si>
    <t>Centro Deportivo Municipal La Masó, Moratalaz.</t>
  </si>
  <si>
    <t>BASADO ADJUDICADO 17/09/2026; empresa acreditada; fin de ejecución no publicado como fecha exacta. | FECHAS SIN ACREDITAR: Contrato basado: adjudicación y plazo conocidos, sin acta de inicio publicada. Si falta fin, no se calcula desde la adjudicación. | CONTROL DOCUMENTAL 21/10/2026: Contrato basado adjudicado. Proyecto recarga CDM La Masó, UTE GIC INGENIA, adjudicado en septiembre de 2026. [Base de evidencia: Ficha individual de publicación / agregador contrastada]</t>
  </si>
  <si>
    <t>https://www.alicitar.es/licitacion/19419690/redaccion-del-proyecto-para-la-adaptacion-a-la-normativa-electrotecnica-vigente</t>
  </si>
  <si>
    <t>REL-0233</t>
  </si>
  <si>
    <t>300202300455-70|4</t>
  </si>
  <si>
    <t>300202300455-71</t>
  </si>
  <si>
    <t>Proyecto técnico de adaptación y legalización de instalación de recarga de vehículos eléctricos.</t>
  </si>
  <si>
    <t>Centro de Operaciones de Agentes de Movilidad, calle Guatemala 24, Chamartín.</t>
  </si>
  <si>
    <t>BASADO ADJUDICADO 01/10/2026; empresa acreditada; fin de ejecución no publicado como fecha exacta. | FECHAS SIN ACREDITAR: Contrato basado: adjudicación y plazo conocidos, sin acta de inicio publicada. Si falta fin, no se calcula desde la adjudicación. | CONTROL DOCUMENTAL 21/10/2026: Contrato basado adjudicado. Actuación de recarga diferenciada -71; adjudicación UTE GIC INGENIA localizada en fichas PLACSP. [Base de evidencia: Ficha individual de publicación / agregador contrastada]</t>
  </si>
  <si>
    <t>https://contratos.gobierto.es/contratos/10821673
https://www.cashstalker.com/licitacion/e53ee0c0-7744-4c68-a40d-28e7085ce758</t>
  </si>
  <si>
    <t>REL-0234</t>
  </si>
  <si>
    <t>300202300455-71|4</t>
  </si>
  <si>
    <t>Sostenibilidad y calidad del aire</t>
  </si>
  <si>
    <t>Subdirección General de Sostenibilidad</t>
  </si>
  <si>
    <t>Sistema municipal de vigilancia, predicción e información de calidad del aire</t>
  </si>
  <si>
    <t>300/2021/00714</t>
  </si>
  <si>
    <t>ENVIRA SOSTENIBLE, S.A.</t>
  </si>
  <si>
    <t>Medición y mantenimiento de estaciones; predicción, datos y avisos.</t>
  </si>
  <si>
    <t>Red de estaciones de aire de Madrid; cobertura municipal.</t>
  </si>
  <si>
    <t>José Amador Fernández Viejo</t>
  </si>
  <si>
    <t>Prórroga aprobada hasta 20/06/2027. | CONTROL DOCUMENTAL 21/10/2026: Dos lotes identificados. Calidad del aire: ENVIRA lote 1 y NOMMON lote 2. Verificar la prórroga antes de señalar vigencia. [Base de evidencia: Datos confrontados con referencias aportadas; no hay resolución individual corroborada]</t>
  </si>
  <si>
    <t>https://contrataciondelestado.es/wps/wcm/connect/PLACE_es/Site/area/docAccCmpnt?DocumentIdParam=2cb03986-02dc-4deb-8434-b60c7cd35bef&amp;cmpntname=GetDocumentsById&amp;source=library&amp;srv=cmpnt
https://www.madrid.es/UnidadesDescentralizadas/Sostenibilidad/EspeInf/MOVEN/Ficheros/AYTOMAD_EstudioParqueCirculante2024.pdf</t>
  </si>
  <si>
    <t>REL-0235</t>
  </si>
  <si>
    <t>300/2021/00714|1</t>
  </si>
  <si>
    <t>|ENVIRA SOSTENIBLE, S.A.|</t>
  </si>
  <si>
    <t>Estudio de medidas y emisiones para la nueva Directiva de calidad del aire</t>
  </si>
  <si>
    <t>300/2025/01449</t>
  </si>
  <si>
    <t>UNIVERSIDAD POLITÉCNICA DE MADRID</t>
  </si>
  <si>
    <t>Modelización de emisiones y evaluación de medidas para mejorar el aire.</t>
  </si>
  <si>
    <t>Estudio técnico de alcance municipal; no es mantenimiento de estaciones.</t>
  </si>
  <si>
    <t>Estudio técnico de dos años; no implica obras ni operación de sensores.</t>
  </si>
  <si>
    <t>Adjudicación 13/03/2026; ejecución prevista de dos años. | CONTROL DOCUMENTAL 21/10/2026: Adjudicación publicada oficialmente. UPM, estudio de medidas de calidad del aire; adjudicación publicada 13/03/2026 en resultados municipales. [Base de evidencia: Portal municipal / resolución o resultado oficial consultado]</t>
  </si>
  <si>
    <t>https://www.alicitar.es/licitacion/50918/estudio-de-la-definicion-y-evaluacion-de-medidas-asi-como-la-cuantificacion-de-s
https://contratacion.madrid.es/ultimos-resultados/</t>
  </si>
  <si>
    <t>REL-0236</t>
  </si>
  <si>
    <t>300/2025/01449|Sin lotes</t>
  </si>
  <si>
    <t>|UNIVERSIDAD POLITÉCNICA DE MADRID|</t>
  </si>
  <si>
    <t>Regulación de la circulación y servicio del taxi</t>
  </si>
  <si>
    <t>Dirección General de Gestión y Vigilancia de la Circulación</t>
  </si>
  <si>
    <t>Subdirección General de Regulación de la Circulación y del Servicio del Taxi</t>
  </si>
  <si>
    <t>Operación, mantenimiento e instalación de tecnologías del tráfico (7 lotes)</t>
  </si>
  <si>
    <t>300/2022/00590</t>
  </si>
  <si>
    <t>ELECTRONIC TRAFIC, S.A.</t>
  </si>
  <si>
    <t>Semáforos, reguladores, detectores e instalaciones de tráfico.</t>
  </si>
  <si>
    <t>Centro e interior de M-30.</t>
  </si>
  <si>
    <t>Marta Alonso Anchuelo</t>
  </si>
  <si>
    <t>Departamento de Tecnologías del Tráfico</t>
  </si>
  <si>
    <t>En Fuencarral-El Pardo y Moncloa-Aravaca, solo sectores interiores de M-30.</t>
  </si>
  <si>
    <t>Prórroga a 31/01/2028 acreditada en acuerdos municipales de 2026. | CONTROL DOCUMENTAL 21/10/2026: Siete lotes identificados. Tecnologías del tráfico; siete lotes, distintas sociedades y UTE. ELECTRONIC TRAFIC debe agruparse bajo ETRA. [Base de evidencia: Portal municipal / resolución o resultado oficial consultado] | CONTRASTE ADICIONAL 21/10/2026: PLATAFORMA OFICIAL: pliegos de 7 lotes. Los adjudicatarios por lote y su formalización se comprobarán sin extrapolar el inicio de uno a los demás.</t>
  </si>
  <si>
    <t>https://www.madrid.es/UnidadesDescentralizadas/JuntaDeGobierno/1.%20Acuerdos%20Transparencia/2026/1.%20Ficheros/Acuerdos%20Web%202026.06.04.pdf
https://contrataciondelestado.es/FileSystem/servlet/GetDocumentByIdServlet?DocumentIdParam=gkIhI8O1hlJJ%2F3hbWxlGdSsf3mLQd2EV6bDrAba42kZdVE6gElZTpOFuoy3d%2FLgfa3VlfCo6gDRr%2B%2Fa7tsrJxOA4QuY48rGec5mvuggbWW8%3D&amp;cifrado=QUC1GjXXSiLkydRHJBmbpw%3D%3D
https://contrataciondelestado.es/wps/wcm/connect/PLACE_es/Site/area/docAccCmpnt?DocumentIdParam=6fc0f80e-1774-47b5-8251-796612de914b&amp;cmpntname=GetDocumentsById&amp;source=library&amp;srv=cmpnt</t>
  </si>
  <si>
    <t>REL-0237</t>
  </si>
  <si>
    <t>300/2022/00590|1</t>
  </si>
  <si>
    <t>Grupo de empresa contrastado en fuente corporativa: https://www.grupoetra.com/nota-legal/</t>
  </si>
  <si>
    <t>REL-0238</t>
  </si>
  <si>
    <t>REL-0239</t>
  </si>
  <si>
    <t>REL-0240</t>
  </si>
  <si>
    <t>REL-0241</t>
  </si>
  <si>
    <t>REL-0242</t>
  </si>
  <si>
    <t>REL-0243</t>
  </si>
  <si>
    <t>REL-0244</t>
  </si>
  <si>
    <t>REL-0245</t>
  </si>
  <si>
    <t>SOCIEDAD IBÉRICA DE CONSTRUCCIONES ELÉCTRICAS, S.A. (SICE)</t>
  </si>
  <si>
    <t>Semáforos y equipos de regulación de tráfico en zona oeste.</t>
  </si>
  <si>
    <t>Oeste y exterior de M-30.</t>
  </si>
  <si>
    <t>Fuencarral-El Pardo y Moncloa-Aravaca: solo sectores exteriores de M-30.</t>
  </si>
  <si>
    <t>REL-0246</t>
  </si>
  <si>
    <t>300/2022/00590|2</t>
  </si>
  <si>
    <t>SICE</t>
  </si>
  <si>
    <t>|SICE|</t>
  </si>
  <si>
    <t>REL-0247</t>
  </si>
  <si>
    <t>REL-0248</t>
  </si>
  <si>
    <t>REL-0249</t>
  </si>
  <si>
    <t>REL-0250</t>
  </si>
  <si>
    <t>REL-0251</t>
  </si>
  <si>
    <t>KAPSCH TRAFFICCOM TRANSPORTATION, S.A.U.</t>
  </si>
  <si>
    <t>Semáforos y sistemas inteligentes de tráfico en zona este.</t>
  </si>
  <si>
    <t>Este y exterior de M-30.</t>
  </si>
  <si>
    <t>No es el mantenimiento del alumbrado público.</t>
  </si>
  <si>
    <t>REL-0252</t>
  </si>
  <si>
    <t>300/2022/00590|3</t>
  </si>
  <si>
    <t>KAPSCH</t>
  </si>
  <si>
    <t>Grupo de empresa contrastado en fuente corporativa: https://www.kapsch.net/es/sobre-kapsch/traffic-com-en-el-mundo</t>
  </si>
  <si>
    <t>|KAPSCH|</t>
  </si>
  <si>
    <t>REL-0253</t>
  </si>
  <si>
    <t>REL-0254</t>
  </si>
  <si>
    <t>REL-0255</t>
  </si>
  <si>
    <t>REL-0256</t>
  </si>
  <si>
    <t>REL-0257</t>
  </si>
  <si>
    <t>REL-0258</t>
  </si>
  <si>
    <t>REL-0259</t>
  </si>
  <si>
    <t>UTE ACISA TEVA MADRID</t>
  </si>
  <si>
    <t>Cámaras de tráfico, radares y sistemas automáticos de control.</t>
  </si>
  <si>
    <t>Equipamiento o asistencia transversal a toda Madrid.</t>
  </si>
  <si>
    <t>Sistemas distribuidos; no asignable a un único distrito.</t>
  </si>
  <si>
    <t>Prórroga hasta 31/01/2028 aprobada en 2026. | CONTROL DOCUMENTAL 21/10/2026: Siete lotes identificados. Tecnologías del tráfico; siete lotes, distintas sociedades y UTE. ELECTRONIC TRAFIC debe agruparse bajo ETRA. [Base de evidencia: Portal municipal / resolución o resultado oficial consultado] | CONTRASTE ADICIONAL 21/10/2026: PLATAFORMA OFICIAL: pliegos de 7 lotes. Los adjudicatarios por lote y su formalización se comprobarán sin extrapolar el inicio de uno a los demás.</t>
  </si>
  <si>
    <t>REL-0260</t>
  </si>
  <si>
    <t>300/2022/00590|4</t>
  </si>
  <si>
    <t>UTE ACISA–TEVA</t>
  </si>
  <si>
    <t>|UTE ACISA–TEVA|</t>
  </si>
  <si>
    <t>Centro de Gestión de Movilidad, aplicaciones y sistemas informáticos.</t>
  </si>
  <si>
    <t>El centro de control coordina equipos de toda la ciudad.</t>
  </si>
  <si>
    <t>REL-0261</t>
  </si>
  <si>
    <t>300/2022/00590|5</t>
  </si>
  <si>
    <t>CPS INFRAESTRUCTURAS MOVILIDAD Y MEDIO AMBIENTE, S.L.</t>
  </si>
  <si>
    <t>Oficina de proyectos: supervisión y apoyo técnico al contrato.</t>
  </si>
  <si>
    <t>Asistencia transversal; no presta la conservación de semáforos por distrito.</t>
  </si>
  <si>
    <t>Formalizado en enero de 2024; plazo inicial de 36 meses. Sin prórroga añadida. | CONTROL DOCUMENTAL 21/10/2026: Siete lotes identificados. Tecnologías del tráfico; siete lotes, distintas sociedades y UTE. ELECTRONIC TRAFIC debe agruparse bajo ETRA. [Base de evidencia: Portal municipal / resolución o resultado oficial consultado] | CONTRASTE ADICIONAL 21/10/2026: PLATAFORMA OFICIAL: pliegos de 7 lotes. Los adjudicatarios por lote y su formalización se comprobarán sin extrapolar el inicio de uno a los demás.</t>
  </si>
  <si>
    <t>https://contrataciondelestado.es/FileSystem/servlet/GetDocumentByIdServlet?DocumentIdParam=gkIhI8O1hlJJ%2F3hbWxlGdSsf3mLQd2EV6bDrAba42kZdVE6gElZTpOFuoy3d%2FLgfa3VlfCo6gDRr%2B%2Fa7tsrJxOA4QuY48rGec5mvuggbWW8%3D&amp;cifrado=QUC1GjXXSiLkydRHJBmbpw%3D%3D
https://www.madrid.es/UnidadesDescentralizadas/JuntaDeGobierno/1.%20Acuerdos%20Transparencia/2026/1.%20Ficheros/Acuerdos%20Web%202026.06.04.pdf
https://contrataciondelestado.es/wps/wcm/connect/PLACE_es/Site/area/docAccCmpnt?DocumentIdParam=6fc0f80e-1774-47b5-8251-796612de914b&amp;cmpntname=GetDocumentsById&amp;source=library&amp;srv=cmpnt</t>
  </si>
  <si>
    <t>REL-0262</t>
  </si>
  <si>
    <t>300/2022/00590|6</t>
  </si>
  <si>
    <t>|CPS INFRAESTRUCTURAS MOVILIDAD Y MEDIO AMBIENTE, S.L.|</t>
  </si>
  <si>
    <t>UTE TRÁFICO L7</t>
  </si>
  <si>
    <t>Oficina de innovación y proyectos piloto de movilidad e I+D+i.</t>
  </si>
  <si>
    <t>Innovación transversal; una prueba local exige ámbito concreto.</t>
  </si>
  <si>
    <t>https://contrataciondelestado.es/wps/wcm/connect/PLACE_es/Site/area/docAccCmpnt?DocumentIdParam=92f90d27-9674-4635-be71-7a572d590842&amp;cmpntname=GetDocumentsById&amp;source=library&amp;srv=cmpnt
https://www.madrid.es/UnidadesDescentralizadas/JuntaDeGobierno/1.%20Acuerdos%20Transparencia/2026/1.%20Ficheros/Acuerdos%20Web%202026.06.04.pdf
https://contrataciondelestado.es/FileSystem/servlet/GetDocumentByIdServlet?DocumentIdParam=gkIhI8O1hlJJ%2F3hbWxlGdSsf3mLQd2EV6bDrAba42kZdVE6gElZTpOFuoy3d%2FLgfa3VlfCo6gDRr%2B%2Fa7tsrJxOA4QuY48rGec5mvuggbWW8%3D&amp;cifrado=QUC1GjXXSiLkydRHJBmbpw%3D%3D
https://contrataciondelestado.es/wps/wcm/connect/PLACE_es/Site/area/docAccCmpnt?DocumentIdParam=6fc0f80e-1774-47b5-8251-796612de914b&amp;cmpntname=GetDocumentsById&amp;source=library&amp;srv=cmpnt</t>
  </si>
  <si>
    <t>REL-0263</t>
  </si>
  <si>
    <t>300/2022/00590|7</t>
  </si>
  <si>
    <t>|UTE TRÁFICO L7|</t>
  </si>
  <si>
    <t>Suministro de tarjetas de identificación, licencias de autotaxi y hologramas</t>
  </si>
  <si>
    <t>300/2023/000086</t>
  </si>
  <si>
    <t>Sin adjudicatario acreditado</t>
  </si>
  <si>
    <t>Tarjetas de conductor y licencia, documentos y hologramas del taxi.</t>
  </si>
  <si>
    <t>Trámites municipales del taxi en toda Madrid.</t>
  </si>
  <si>
    <t>Departamento Jurídico del Taxi</t>
  </si>
  <si>
    <t>Suministro documental; no es concesión del servicio de taxi.</t>
  </si>
  <si>
    <t>ADJUDICACIÓN NO ACREDITADA: la fuente es solo informe de necesidad y no prueba adjudicación a IMPAOR. Se retira dicha atribución de la base hasta encontrar resolución oficial. | COMPROBACIÓN 21/10/2026: el documento oficial localizado es informe de necesidad, no resolución de adjudicación. No se puede certificar contratista ni declarar que nunca se publicó adjudicación. | CONTROL DOCUMENTAL 21/10/2026: Adjudicación no acreditada en las fuentes consultadas. Suministro de tarjetas de autotaxi. Hay referencia oficial documental, pero no se ha acreditado una resolución con adjudicatario. No afirmar que el procedimiento esté desierto. [Base de evidencia: Datos confrontados con referencias aportadas; no hay resolución individual corroborada]</t>
  </si>
  <si>
    <t>https://contrataciondelestado.es/FileSystem/servlet/GetDocumentByIdServlet?DocumentIdParam=OS1uNiNPI81zm0StzUIttyVRzBY0Ruv7UmNK5MJh1BfS7qd7HiE32dtnf%2FLiIBPviceK2VyXpOg%2F3ol4pAmYrxNkOkcxbn11eLqpFqvVuqE%3D&amp;cifrado=QUC1GjXXSiLkydRHJBmbpw%3D%3D</t>
  </si>
  <si>
    <t>REL-0264</t>
  </si>
  <si>
    <t>300/2023/000086|Sin lotes</t>
  </si>
  <si>
    <t>SIN ADJUDICATARIO VERIFICADO</t>
  </si>
  <si>
    <t>No se ha acreditado empresa en el registro de resultado consultado; no se afirma que el procedimiento haya quedado desierto.</t>
  </si>
  <si>
    <t>|SIN ADJUDICATARIO VERIFICADO|</t>
  </si>
  <si>
    <t>Calidad y evaluación ambiental</t>
  </si>
  <si>
    <t>Subdirección General de Calidad y Evaluación Ambiental</t>
  </si>
  <si>
    <t>Apoyo técnico en contaminación acústica y mantenimiento del SIVCA</t>
  </si>
  <si>
    <t>300/2025/00947</t>
  </si>
  <si>
    <t>ENVIROSUITE IBÉRICA, S.A.U. (BRÜEL &amp; KJAER IBÉRICA)</t>
  </si>
  <si>
    <t>Mapas de ruido, estudios acústicos y mantenimiento del sistema SIVCA.</t>
  </si>
  <si>
    <t>Red y actuaciones municipales contra el ruido.</t>
  </si>
  <si>
    <t>Departamento de Control Acústico</t>
  </si>
  <si>
    <t>Incluye consultoría y sistema de vigilancia acústica; no son 21 adjudicaciones distritales.</t>
  </si>
  <si>
    <t>Adjudicado el 26/12/2025; duración 4 años desde el inicio contractual. Sin fin exacto publicado. | Fin 31/01/2030 publicado en agregador de adjudicatarias; verificación documental de formalización no localizada. | FECHAS SIN ACREDITAR: El cierre 31/01/2030 figura en agregador de contratos; no hay fecha de acta de inicio en las fuentes revisadas. Fin de fuente secundaria, sujeto a contrastar en formalización. | CONTROL DOCUMENTAL 21/10/2026: Adjudicación localizada. ENVIROSUITE identificada en expediente de contaminación acústica; verificar si denominación BRÜEL &amp; KJAER es comercial o sucesión jurídica. [Base de evidencia: Ficha individual de publicación / agregador contrastada]</t>
  </si>
  <si>
    <t>https://www.alicitar.es/licitacion/42781/apoyo-tecnico-en-materia-de-contaminacion-acustica-para-cumplimiento-de-normativ
https://contratos.gobierto.es/adjudicatarios/envirosuite-iberica-s-a-u-bruel-kjaer-iberica-sa-empresa-extinguida</t>
  </si>
  <si>
    <t>REL-0265</t>
  </si>
  <si>
    <t>300/2025/00947|Sin lotes</t>
  </si>
  <si>
    <t>|ENVIROSUITE IBÉRICA, S.A.U. (BRÜEL &amp; KJAER IBÉRICA)|</t>
  </si>
  <si>
    <t>Mantenimiento y verificación de equipos para control acústico</t>
  </si>
  <si>
    <t>300/2026/00015</t>
  </si>
  <si>
    <t>HOTTINGER BRÜEL &amp; KJAER IBÉRICA, S.L.</t>
  </si>
  <si>
    <t>Calibra y repara sonómetros y equipos de ruido del CMA y Policía Municipal.</t>
  </si>
  <si>
    <t>Centro Municipal de Acústica; equipos de inspección de Madrid.</t>
  </si>
  <si>
    <t>Servicio de Inspección / Centro Municipal de Acústica</t>
  </si>
  <si>
    <t>Mantenimiento de instrumentos; distinto de los mapas acústicos y la vigilancia SIVCA.</t>
  </si>
  <si>
    <t>Adjudicado 17/07/2026, formalizado 17/08/2026 a Hottinger Brüel &amp; Kjaer Ibérica S.L.U. Fin 15/09/2029 publicado en agregador contractual. Inicio material no documentado. | CONTROL DOCUMENTAL 21/10/2026: Adjudicación publicada. HOTTINGER BRÜEL &amp; KJAER IBÉRICA, adjudicado 17/07/2026 según extracto PLACSP. [Base de evidencia: Ficha individual de publicación / agregador contrastada] | CONTRASTE ADICIONAL 21/10/2026: RESULTADO: adjudicado a HOTTINGER BRÜEL &amp; KJAER IBÉRICA SLU el 17/07/2026, 762.363 EUR; formalización 17/08/2026. La fecha de fin indicada en agregadores no acredita por sí sola la ejecución efectiva.</t>
  </si>
  <si>
    <t>https://contratos.gobierto.es/adjudicatarios/hottinger-bruel-amp-kjaer-iberica-s-l-u
https://gobierto-elb-dbfe699cce09029a.elb.eu-south-2.amazonaws.com/adjudicatarios/hottinger-bruel-amp-kjaer-iberica-s-l-u?locale=es
https://contratos.gobierto.es/licitaciones/5133200</t>
  </si>
  <si>
    <t>REL-0266</t>
  </si>
  <si>
    <t>300/2026/00015|Sin lotes</t>
  </si>
  <si>
    <t>|HOTTINGER BRÜEL &amp; KJAER IBÉRICA, S.L.|</t>
  </si>
  <si>
    <t>Instalaciones urbanas</t>
  </si>
  <si>
    <t>Área de Gobierno de Obras y Equipamientos</t>
  </si>
  <si>
    <t>Dirección General de Conservación de Vías Públicas</t>
  </si>
  <si>
    <t>Subdirección General de Instalaciones Urbanas</t>
  </si>
  <si>
    <t>Conservación del alumbrado público de Madrid (3 lotes)</t>
  </si>
  <si>
    <t>300/2021/00702</t>
  </si>
  <si>
    <t>UTE FCC INDUSTRIAL - FERROVIAL ENERGÍA - SERVEO</t>
  </si>
  <si>
    <t>Conservación, averías y telegestión del alumbrado público de calles.</t>
  </si>
  <si>
    <t>Centro e interior de la M-30</t>
  </si>
  <si>
    <t>Servicio de Alumbrado Público</t>
  </si>
  <si>
    <t>Fuencarral-El Pardo y Moncloa-Aravaca: exclusivamente la parte interior de M-30.</t>
  </si>
  <si>
    <t>Prórroga del lote 1 autorizada oficialmente para 01/10/2025–30/09/2027; NO es un contrato nuevo. | CONTROL DOCUMENTAL 21/10/2026: Tres lotes identificados. Alumbrado público con UTE diferentes por lote. ETRALUX participa en lote 2 y se vincula con ETRA. [Base de evidencia: Datos confrontados con referencias aportadas; no hay resolución individual corroborada]</t>
  </si>
  <si>
    <t>https://transparencia.madrid.es/UnidadesDescentralizadas/JuntaDeGobierno/1.%20Acuerdos%20Transparencia/2025/1.%20Ficheros/Acuerdos%20Web%202025.07.31.pdf
https://contratos.gobierto.es/licitaciones/1514240</t>
  </si>
  <si>
    <t>REL-0267</t>
  </si>
  <si>
    <t>300/2021/00702|1</t>
  </si>
  <si>
    <t>FCC | FERROVIAL | SERVEO</t>
  </si>
  <si>
    <t>|FCC|FERROVIAL|SERVEO|</t>
  </si>
  <si>
    <t>REL-0268</t>
  </si>
  <si>
    <t>REL-0269</t>
  </si>
  <si>
    <t>REL-0270</t>
  </si>
  <si>
    <t>REL-0271</t>
  </si>
  <si>
    <t>REL-0272</t>
  </si>
  <si>
    <t>REL-0273</t>
  </si>
  <si>
    <t>REL-0274</t>
  </si>
  <si>
    <t>REL-0275</t>
  </si>
  <si>
    <t>UTE ETRALUX - URBALUX</t>
  </si>
  <si>
    <t>Oeste exterior de la M-30</t>
  </si>
  <si>
    <t>Fuencarral-El Pardo y Moncloa-Aravaca: exclusivamente la parte exterior de M-30.</t>
  </si>
  <si>
    <t>Prórroga del lote 2 autorizada oficialmente para 01/10/2025–30/09/2027; NO es un contrato nuevo. | CONTROL DOCUMENTAL 21/10/2026: Tres lotes identificados. Alumbrado público con UTE diferentes por lote. ETRALUX participa en lote 2 y se vincula con ETRA. [Base de evidencia: Datos confrontados con referencias aportadas; no hay resolución individual corroborada]</t>
  </si>
  <si>
    <t>REL-0276</t>
  </si>
  <si>
    <t>300/2021/00702|2</t>
  </si>
  <si>
    <t>ETRA | URBALUX</t>
  </si>
  <si>
    <t>UTE: grupos de integrantes como claves de búsqueda; la pertenencia a una UTE no implica vinculación societaria entre sus componentes.</t>
  </si>
  <si>
    <t>|ETRA|URBALUX|</t>
  </si>
  <si>
    <t>REL-0277</t>
  </si>
  <si>
    <t>REL-0278</t>
  </si>
  <si>
    <t>REL-0279</t>
  </si>
  <si>
    <t>REL-0280</t>
  </si>
  <si>
    <t>REL-0281</t>
  </si>
  <si>
    <t>UTE ACEINSA MOVILIDAD - EDISON NEXT GOVERNMENT</t>
  </si>
  <si>
    <t>Este exterior de la M-30</t>
  </si>
  <si>
    <t>No incluye el contrato de semáforos ni iluminación de edificios.</t>
  </si>
  <si>
    <t>Prórroga municipal aprobada para el lote hasta 30/09/2027. | Lote 3: fin 30/09/2027 consignado en la base; comprobación individual de acuerdo de prórroga pendiente. | CONTROL DOCUMENTAL 21/10/2026: Tres lotes identificados. Alumbrado público con UTE diferentes por lote. ETRALUX participa en lote 2 y se vincula con ETRA. [Base de evidencia: Datos confrontados con referencias aportadas; no hay resolución individual corroborada]</t>
  </si>
  <si>
    <t>REL-0282</t>
  </si>
  <si>
    <t>300/2021/00702|3</t>
  </si>
  <si>
    <t>ACEINSA</t>
  </si>
  <si>
    <t>|ACEINSA|</t>
  </si>
  <si>
    <t>REL-0283</t>
  </si>
  <si>
    <t>REL-0284</t>
  </si>
  <si>
    <t>REL-0285</t>
  </si>
  <si>
    <t>REL-0286</t>
  </si>
  <si>
    <t>REL-0287</t>
  </si>
  <si>
    <t>REL-0288</t>
  </si>
  <si>
    <t>REL-0289</t>
  </si>
  <si>
    <t>Acuerdo marco de obras de mejora de instalaciones urbanas (3 lotes)</t>
  </si>
  <si>
    <t>511/2026/08646</t>
  </si>
  <si>
    <t>UTE ACEINSA MOVILIDAD, S.A. - ETRALUX, S.A. - URBALUX, S.A.</t>
  </si>
  <si>
    <t>Obras de renovación y mejora de alumbrado público interior de M-30.</t>
  </si>
  <si>
    <t>Interior de M-30</t>
  </si>
  <si>
    <t>Marco de obras: cada actuación exige contrato basado; no equivale a obra en todas las calles.</t>
  </si>
  <si>
    <t>Acuerdo marco adjudicado 20/07/2026 a UTE del lote. Duración prevista 24 meses; sin comienzo y fin de ejecución acreditados. No contar como obra realizada. | CONTROL DOCUMENTAL 21/10/2026: Tres lotes identificados. Acuerdo marco 2026 de instalaciones urbanas; distinguir componentes de UTE en cada lote y no suponer obras realizadas. [Base de evidencia: Ficha individual de publicación / agregador contrastada] | CONTRASTE ADICIONAL 21/10/2026: ACUERDO MARCO: consta publicado en los sistemas de racionalización municipales. No inferir inicio de trabajos a partir de la existencia del acuerdo marco.</t>
  </si>
  <si>
    <t>https://licitalens.com/licitacion/19273462
https://contratacion.madrid.es/sistemas-de-racionalizacion/</t>
  </si>
  <si>
    <t>REL-0290</t>
  </si>
  <si>
    <t>511/2026/08646|1</t>
  </si>
  <si>
    <t>FUENTES CONTRADICTORIAS — adjudicatario no acreditado</t>
  </si>
  <si>
    <t>ACEINSA | ETRA | URBALUX</t>
  </si>
  <si>
    <t>|ACEINSA|ETRA|URBALUX|</t>
  </si>
  <si>
    <t>REL-0291</t>
  </si>
  <si>
    <t>REL-0292</t>
  </si>
  <si>
    <t>REL-0293</t>
  </si>
  <si>
    <t>REL-0294</t>
  </si>
  <si>
    <t>REL-0295</t>
  </si>
  <si>
    <t>REL-0296</t>
  </si>
  <si>
    <t>REL-0297</t>
  </si>
  <si>
    <t>REL-0298</t>
  </si>
  <si>
    <t>UTE FERROVIAL ENERGÍA, S.A.U. - FCC INDUSTRIAL E INFRAESTRUCTURAS ENERGÉTICAS, S.A.U.</t>
  </si>
  <si>
    <t>Obras de renovación y mejora de alumbrado público exterior de M-30.</t>
  </si>
  <si>
    <t>Exterior de M-30</t>
  </si>
  <si>
    <t>Marco de obras: incluye oeste y este exterior; cada actuación exige contrato basado.</t>
  </si>
  <si>
    <t>REL-0299</t>
  </si>
  <si>
    <t>511/2026/08646|2</t>
  </si>
  <si>
    <t>FERROVIAL | FCC</t>
  </si>
  <si>
    <t>UTE con integrantes Ferrovial Energía y FCC Industrial identificados expresamente en el maestro; son dos grupos empresariales diferentes.</t>
  </si>
  <si>
    <t>|FERROVIAL|FCC|</t>
  </si>
  <si>
    <t>REL-0300</t>
  </si>
  <si>
    <t>REL-0301</t>
  </si>
  <si>
    <t>REL-0302</t>
  </si>
  <si>
    <t>REL-0303</t>
  </si>
  <si>
    <t>REL-0304</t>
  </si>
  <si>
    <t>REL-0305</t>
  </si>
  <si>
    <t>REL-0306</t>
  </si>
  <si>
    <t>REL-0307</t>
  </si>
  <si>
    <t>REL-0308</t>
  </si>
  <si>
    <t>REL-0309</t>
  </si>
  <si>
    <t>REL-0310</t>
  </si>
  <si>
    <t>REL-0311</t>
  </si>
  <si>
    <t>REL-0312</t>
  </si>
  <si>
    <t>UTE SERVEO INFRAESTRUCTURAS, S.A.U. - FCC INDUSTRIAL E INFRAESTRUCTURAS ENERGÉTICAS, S.A.U. - TUNELIA INGENIEROS, S.L.</t>
  </si>
  <si>
    <t>Obras de mejora en túneles, galerías de servicios y fuentes.</t>
  </si>
  <si>
    <t>Túneles, galerías de servicios y fuentes municipales</t>
  </si>
  <si>
    <t>No incluye toda la conservación ordinaria; solo futuras obras mediante contratos basados.</t>
  </si>
  <si>
    <t>REL-0313</t>
  </si>
  <si>
    <t>511/2026/08646|3</t>
  </si>
  <si>
    <t>SERVEO | FCC | TUNELIA INGENIEROS, S.L.</t>
  </si>
  <si>
    <t>|SERVEO|FCC|TUNELIA INGENIEROS, S.L.|</t>
  </si>
  <si>
    <t>Explotación y conservación de túneles urbanos con control centralizado</t>
  </si>
  <si>
    <t>300/2021/00581</t>
  </si>
  <si>
    <t>UTE SOCIEDAD IBÉRICA DE CONSTRUCCIONES ELÉCTRICAS (SICE) - API MOVILIDAD</t>
  </si>
  <si>
    <t>Control 24 h, cámaras, ventilación, sensores, seguridad y mantenimiento de túneles.</t>
  </si>
  <si>
    <t>40 túneles urbanos municipales; excluye los gestionados por Madrid Calle 30.</t>
  </si>
  <si>
    <t>Centro de Control de Túneles (AZCA)</t>
  </si>
  <si>
    <t>Prórroga 1/12/2026–31/03/2027; equipo permanente de primera intervención.</t>
  </si>
  <si>
    <t>Servicio en ejecución; Junta de Gobierno 08/10/2026 aprueba prórroga hasta 31/03/2027. | Revisión 16/10/2026: Expediente identificado. Fin 31/03/2027 registrado; consultar resolución original para confirmar el texto de la prórroga. | CONTROL DOCUMENTAL 21/10/2026: Adjudicataria UTE identificada. Túneles urbanos: UTE SICE-API. Verificar prórroga concreta antes de consignar fecha fin. [Base de evidencia: Datos confrontados con referencias aportadas; no hay resolución individual corroborada]</t>
  </si>
  <si>
    <t>https://sede.madrid.es/portal/site/tramites/menuitem.b4c91589e7f6a5d829da39e5a8a409a0/?vgnextchannel=741d814231ede410VgnVCM1000000b205a0aRCRD&amp;vgnextfmt=default&amp;vgnextoid=370acbf28ab11a10VgnVCM100000891ecb1aRCRD
https://transparencia.madrid.es/UnidadesDescentralizadas/JuntaDeGobierno/1.%20Acuerdos%20Transparencia/2025/1.%20Ficheros/Acuedos%20Web%202025.07.17.pdf
https://contratos.gobierto.es/licitaciones/1542403</t>
  </si>
  <si>
    <t>REL-0314</t>
  </si>
  <si>
    <t>300/2021/00581|Sin lotes</t>
  </si>
  <si>
    <t>Inspección, conservación y control de galerías de servicios</t>
  </si>
  <si>
    <t>300/2021/00110</t>
  </si>
  <si>
    <t>UTE ACEINSA MOVILIDAD - ETRALUX</t>
  </si>
  <si>
    <t>Conserva galerías subterráneas, sensores, cámaras y centro de control.</t>
  </si>
  <si>
    <t>Red municipal de galerías subterráneas; infraestructura de varios distritos.</t>
  </si>
  <si>
    <t>Centro de Control de Instalaciones Urbanas</t>
  </si>
  <si>
    <t>Red de 170 km; distinta de los túneles urbanos transitables y de su conservación.</t>
  </si>
  <si>
    <t>Prórroga 01/12/2026 a 30/09/2027 aprobada en junio de 2026. | Revisión 16/10/2026: Prórroga oficial 01/12/2026–30/09/2027, contrato iniciado en octubre de 2023 (día exacto no contrastado). | CONTROL DOCUMENTAL 21/10/2026: Adjudicataria UTE identificada. Galerías de servicios: UTE ACEINSA-ETRALUX. Debe permitir filtro por ETRA. [Base de evidencia: Datos confrontados con referencias aportadas; no hay resolución individual corroborada]</t>
  </si>
  <si>
    <t>https://www.madrid.es/portales/munimadrid/es/Inicio/El-Ayuntamiento/Todas-las-noticias/Prorrogado-el-contrato-de-inspeccion-conservacion-y-control-de-las-galerias-de-servicios/?vgnextchannel=e40362215c483510VgnVCM2000001f4a900aRCRD&amp;vgnextfmt=default&amp;vgnextoid=cc3d99b2b2efe910VgnVCM100000891ecb1aRCRD
https://transparencia.madrid.es/UnidadesDescentralizadas/JuntaDeGobierno/1.%20Acuerdos%20Transparencia/2025/1.%20Ficheros/Acuerdos%20Web%202025.07.03.pdf
https://www.madrid.es/portales/munimadrid/es/Inicio/El-Ayuntamiento/Todas-las-noticias/Prorrogado-el-contrato-de-inspeccion-conservacion-y-control-de-las-galerias-de-servicios/?vgnextchannel=e40362215c483510VgnVCM2000001f4a900aRCRD&amp;vgnextoid=cc3d99b2b2efe910VgnVCM100000891ecb1aRCRD</t>
  </si>
  <si>
    <t>REL-0315</t>
  </si>
  <si>
    <t>300/2021/00110|Sin lotes</t>
  </si>
  <si>
    <t>ETRA | ACEINSA</t>
  </si>
  <si>
    <t>|ETRA|ACEINSA|</t>
  </si>
  <si>
    <t>Conservación de instalaciones hidráulicas ornamentales</t>
  </si>
  <si>
    <t>300/2021/00706</t>
  </si>
  <si>
    <t>LICUAS, S.A.</t>
  </si>
  <si>
    <t>Conserva bombas, luminarias, vasos y control de fuentes ornamentales.</t>
  </si>
  <si>
    <t>Fuentes ornamentales municipales; excluidas las adscritas a grandes parques.</t>
  </si>
  <si>
    <t>445 fuentes; no son redes de riego ni fuentes bajo mantenimiento de parques singulares.</t>
  </si>
  <si>
    <t>Prórroga aprobada 18/06/2026; fin 30/09/2027. | Revisión 16/10/2026: Prórroga oficial 01/12/2026–30/09/2027, contrato iniciado en octubre de 2023 (día exacto no contrastado). | CONTROL DOCUMENTAL 21/10/2026: Adjudicataria identificada. LICUAS en instalaciones hidráulicas ornamentales; no confundir con conservación de zonas verdes. [Base de evidencia: Datos confrontados con referencias aportadas; no hay resolución individual corroborada]</t>
  </si>
  <si>
    <t>https://www.madrid.es/portales/munimadrid/es/Inicio/El-Ayuntamiento/Todas-las-noticias/El-Ayuntamiento-da-luz-verde-a-la-prorroga-del-contrato-de-conservacion-de-las-445-fuentes-ornamentales-de-la-ciudad/?vgnextchannel=e40362215c483510VgnVCM2000001f4a900aRCRD&amp;vgnextfmt=default&amp;vgnextoid=7b6743dbf69de910VgnVCM100000891ecb1aRCRD
https://transparencia.madrid.es/UnidadesDescentralizadas/JuntaDeGobierno/1.%20Acuerdos%20Transparencia/2025/1.%20Ficheros/Modelo%20acuedos%20Web.pdf
https://diario.madrid.es/blog/notas-de-prensa/el-ayuntamiento-da-luz-verde-a-la-prorroga-del-contrato-de-conservacion-de-las-445-fuentes-ornamentales-de-la-ciudad/</t>
  </si>
  <si>
    <t>REL-0316</t>
  </si>
  <si>
    <t>300/2021/00706|Sin lotes</t>
  </si>
  <si>
    <t>LICUAS</t>
  </si>
  <si>
    <t>|LICUAS|</t>
  </si>
  <si>
    <t>Apoyo técnico para gestión de túneles y galerías urbanas</t>
  </si>
  <si>
    <t>300/2021/00705</t>
  </si>
  <si>
    <t>UTE VÁZQUEZ OFITEP - ALAUDA INGENIERÍA - TPF GETINSA EUROESTUDIOS</t>
  </si>
  <si>
    <t>Supervisión, informes técnicos y apoyo al control de túneles y galerías.</t>
  </si>
  <si>
    <t>Red municipal de túneles y galerías; servicio de asistencia.</t>
  </si>
  <si>
    <t>Asistencia técnica: no sustituye la empresa explotadora de túneles ni galerías.</t>
  </si>
  <si>
    <t>Prórroga aprobada hasta 30/06/2027. | Revisión 16/10/2026: Fin 30/06/2027 reflejado en documentación anterior; fecha exacta a cotejar en la prórroga oficial. | CONTROL DOCUMENTAL 21/10/2026: UTE identificada. Asistencia técnica túneles y galerías. Empresas componentes indicadas; no confundir contrato de apoyo con operador de túneles. [Base de evidencia: Datos confrontados con referencias aportadas; no hay resolución individual corroborada]</t>
  </si>
  <si>
    <t>https://transparencia.madrid.es/UnidadesDescentralizadas/JuntaDeGobierno/1.%20Acuerdos%20Transparencia/2025/1.%20Ficheros/Acuedos%20Web%202025.06.19.pdf</t>
  </si>
  <si>
    <t>REL-0317</t>
  </si>
  <si>
    <t>300/2021/00705|Sin lotes</t>
  </si>
  <si>
    <t>TPF GETINSA | VÁZQUEZ OFITEP</t>
  </si>
  <si>
    <t>|TPF GETINSA|VÁZQUEZ OFITEP|</t>
  </si>
  <si>
    <t>Acuerdo marco de alumbrado ornamental navideño (2 lotes)</t>
  </si>
  <si>
    <t>300/2026/00053</t>
  </si>
  <si>
    <t>ILUMINACIONES XIMÉNEZ, S.A.U.</t>
  </si>
  <si>
    <t>Montaje, conservación y retirada del alumbrado navideño municipal.</t>
  </si>
  <si>
    <t>Lote de servicios navideños para la ciudad; ejecución mediante contratos basados.</t>
  </si>
  <si>
    <t>Marco 2026: no confundir iluminación navideña temporal con alumbrado viario ordinario.</t>
  </si>
  <si>
    <t>Acuerdo marco adjudicado 16/06/2026; contratos basados 2026/27 acreditados. | FECHAS SIN ACREDITAR: Acuerdo marco adjudicado para campañas navideñas; sin comienzo contractual individualizado del lote en la fuente consultada. | CONTROL DOCUMENTAL 21/10/2026: Acuerdo marco adjudicado. Dos lotes de alumbrado navideño adjudicados a ILUMINACIONES XIMÉNEZ; los contratos basados se registran aparte. [Base de evidencia: Portal municipal / resolución o resultado oficial consultado] | CONTRASTE ADICIONAL 21/10/2026: ACUERDO MARCO: lotes 1 y 2 adjudicados a ILUMINACIONES XIMÉNEZ SAU, según adjudicación de 2026.</t>
  </si>
  <si>
    <t>https://contratacion.madrid.es/sistemas-de-racionalizacion/
https://www.alicitar.es/licitacion/9173251/acuerdo-marco-mixto-de-servicios-y-suministro-de-instalacion-conservacion-y-desm</t>
  </si>
  <si>
    <t>REL-0318</t>
  </si>
  <si>
    <t>300/2026/00053|1</t>
  </si>
  <si>
    <t>ILUMINACIONES XIMÉNEZ</t>
  </si>
  <si>
    <t>|ILUMINACIONES XIMÉNEZ|</t>
  </si>
  <si>
    <t>REL-0319</t>
  </si>
  <si>
    <t>300/2026/00053|2</t>
  </si>
  <si>
    <t>Basado nº 1 de alumbrado navideño 2026/2027</t>
  </si>
  <si>
    <t>300/2026/00053-1</t>
  </si>
  <si>
    <t>Instalación y retirada del alumbrado navideño de la campaña 2026/27.</t>
  </si>
  <si>
    <t>Campaña navideña de Madrid; distribución por calles no confirmada en ficha.</t>
  </si>
  <si>
    <t>Basado adjudicado; no atribuir a un distrito sin conocer las calles concretas.</t>
  </si>
  <si>
    <t>Contrato basado adjudicado el 13/08/2026. Vigencia vinculada a campaña navideña 2026/27. | FECHAS SIN ACREDITAR: Contrato basado de campaña 2026/27: fecha de adjudicación identificada, pero el inicio y fin efectivos dependen del calendario/actas de montaje y retirada no publicados. | CONTROL DOCUMENTAL 21/10/2026: Contrato basado adjudicado. Alumbrado navideño 2026/27, lote 1, ILUMINACIONES XIMÉNEZ. [Base de evidencia: Ficha individual de publicación / agregador contrastada] | CONTRASTE ADICIONAL 21/10/2026: BASADO: adjudicado a ILUMINACIONES XIMÉNEZ SAU el 13/08/2026 (lote 1), 294.443,64 EUR sin IVA.</t>
  </si>
  <si>
    <t>https://www.pliegos.es/licitacion/contrato-basado-n-1-correspondiente-al-lote-1-del-acuerdo-marco-de--a2e1dd1f15</t>
  </si>
  <si>
    <t>REL-0320</t>
  </si>
  <si>
    <t>300/2026/00053-1|1</t>
  </si>
  <si>
    <t>300/2026/00053-2</t>
  </si>
  <si>
    <t>Contrato basado adjudicado el 13/08/2026. Vigencia vinculada a campaña navideña 2026/27. | FECHAS SIN ACREDITAR: Contrato basado de campaña 2026/27: fecha de adjudicación identificada, pero el inicio y fin efectivos dependen del calendario/actas de montaje y retirada no publicados. | CONTROL DOCUMENTAL 21/10/2026: Contrato basado adjudicado. Alumbrado navideño 2026/27, lote 2, ILUMINACIONES XIMÉNEZ. [Base de evidencia: Ficha individual de publicación / agregador contrastada] | CONTRASTE ADICIONAL 21/10/2026: BASADO: adjudicado a ILUMINACIONES XIMÉNEZ SAU el 13/08/2026 (lote 2).</t>
  </si>
  <si>
    <t>https://contratos.gobierto.es/contratos/10650135
https://www.pliegos.es/licitacion/contrato-basado-n-1-correspondiente-al-lote-2-del-acuerdo-marco-de--5b35e4a188</t>
  </si>
  <si>
    <t>REL-0321</t>
  </si>
  <si>
    <t>300/2026/00053-2|2</t>
  </si>
  <si>
    <t>Infraestructuras urbanas</t>
  </si>
  <si>
    <t>Dirección General del Espacio Público, Obras e Infraestructuras</t>
  </si>
  <si>
    <t>Subdirección General de Infraestructuras Urbanas</t>
  </si>
  <si>
    <t>Acuerdo marco de obras de urbanización e infraestructuras (5 lotes)</t>
  </si>
  <si>
    <t>511/2024/26338</t>
  </si>
  <si>
    <t>UTE AZVI, S.A.U. - LICUAS, S.A.</t>
  </si>
  <si>
    <t>Obras de reforma y nueva urbanización de calles y plazas.</t>
  </si>
  <si>
    <t>Centro y Retiro</t>
  </si>
  <si>
    <t>Lote territorial; las obras concretas requieren adjudicación basada.</t>
  </si>
  <si>
    <t>Acuerdo marco formalizado; entrada 21/04/2025, duración 3 años. | CONTROL DOCUMENTAL 21/10/2026: Cinco lotes identificados. AM urbanización 5 lotes con UTE; hay basados -L1/-L2/-L3/-L4/-L5 concretos. [Base de evidencia: Portal municipal / resolución o resultado oficial consultado] | CONTRASTE ADICIONAL 21/10/2026: ANUNCIO OFICIAL DE ADJUDICACIÓN: acuerdo marco de urbanización e infraestructuras por cinco lotes, publicado el 19/03/2025. Los basados tienen adjudicaciones propias.</t>
  </si>
  <si>
    <t>https://contrataciondelestado.es/FileSystem/servlet/GetDocumentByIdServlet?DocumentIdParam=ZxvcTcF%2BiYvw6hsO%2FPAiEo5VN%2FEF%2BIfiXgNxGUDgJk9elQxFVwyOv3tGwvI%2FmewaF90Zv0hjlHf%2Bb9B1N0M5kKEVgOJWTikY0XfU4%2F3aIGJt%2Fo8fNevwsujgRzaBbugn&amp;cifrado=QUC1GjXXSiLkydRHJBmbpw%3D%3D
https://contrataciondelestado.es/FileSystem/servlet/GetDocumentByIdServlet?DocumentIdParam=N17n9g6qMAFnsJtxUZ1FP1b6vekbio6Q1cRZhtfY2CUs37WmXmeu6alpixuOLhw1CzgXzztJdYcLAqsrjJttgOD0Y0ODTswYZ18BXcEIVajfdyQgZAdTm3EfcUAC7CJ6&amp;cifrado=QUC1GjXXSiLkydRHJBmbpw%3D%3D</t>
  </si>
  <si>
    <t>REL-0322</t>
  </si>
  <si>
    <t>511/2024/26338|1</t>
  </si>
  <si>
    <t>REL-0323</t>
  </si>
  <si>
    <t>UTE PACSA SERVICIOS URBANOS - OBRAS Y SERVICIOS TAGA</t>
  </si>
  <si>
    <t>Noroeste y oeste</t>
  </si>
  <si>
    <t>REL-0324</t>
  </si>
  <si>
    <t>511/2024/26338|2</t>
  </si>
  <si>
    <t>PACSA</t>
  </si>
  <si>
    <t>|PACSA|</t>
  </si>
  <si>
    <t>REL-0325</t>
  </si>
  <si>
    <t>REL-0326</t>
  </si>
  <si>
    <t>REL-0327</t>
  </si>
  <si>
    <t>REL-0328</t>
  </si>
  <si>
    <t>UTE SERANCO - INGENIERÍA OBRAS Y TECNOLOGÍA EUROPEA - PRODESUR</t>
  </si>
  <si>
    <t>Este, interior y sureste</t>
  </si>
  <si>
    <t>REL-0329</t>
  </si>
  <si>
    <t>511/2024/26338|3</t>
  </si>
  <si>
    <t>UTE SERANCO–IOTE–PRODESUR</t>
  </si>
  <si>
    <t>|UTE SERANCO–IOTE–PRODESUR|</t>
  </si>
  <si>
    <t>REL-0330</t>
  </si>
  <si>
    <t>REL-0331</t>
  </si>
  <si>
    <t>REL-0332</t>
  </si>
  <si>
    <t>REL-0333</t>
  </si>
  <si>
    <t>REL-0334</t>
  </si>
  <si>
    <t>UTE ORTIZ CONSTRUCCIONES Y PROYECTOS - GESTIÓN Y EJECUCIÓN DE OBRA CIVIL</t>
  </si>
  <si>
    <t>Noreste, sur y suroeste</t>
  </si>
  <si>
    <t>REL-0335</t>
  </si>
  <si>
    <t>511/2024/26338|4</t>
  </si>
  <si>
    <t>ORTIZ</t>
  </si>
  <si>
    <t>|ORTIZ|</t>
  </si>
  <si>
    <t>REL-0336</t>
  </si>
  <si>
    <t>REL-0337</t>
  </si>
  <si>
    <t>REL-0338</t>
  </si>
  <si>
    <t>REL-0339</t>
  </si>
  <si>
    <t>REL-0340</t>
  </si>
  <si>
    <t>REL-0341</t>
  </si>
  <si>
    <t>REL-0342</t>
  </si>
  <si>
    <t>UTE ROVER INFRAESTRUCTURAS - COTODISA OBRAS Y SERVICIOS</t>
  </si>
  <si>
    <t>Construcción y renovación de infraestructuras y estructuras urbanas.</t>
  </si>
  <si>
    <t>Estructuras e infraestructuras de cualquier distrito</t>
  </si>
  <si>
    <t>Lote 5 transversal; no atribuir una obra a los 21 distritos sin proyecto basado.</t>
  </si>
  <si>
    <t>REL-0343</t>
  </si>
  <si>
    <t>511/2024/26338|5</t>
  </si>
  <si>
    <t>UTE ROVER–COTODISA</t>
  </si>
  <si>
    <t>|UTE ROVER–COTODISA|</t>
  </si>
  <si>
    <t>Acuerdo marco de redacción de proyectos de urbanización e infraestructuras (5 lotes)</t>
  </si>
  <si>
    <t>300/2024/00326</t>
  </si>
  <si>
    <t>ASESORES DE OBRA CIVIL, S.L.</t>
  </si>
  <si>
    <t>Estudios, anteproyectos y proyectos de reurbanización.</t>
  </si>
  <si>
    <t>Distritos del lote 1</t>
  </si>
  <si>
    <t>Acuerdo marco de servicios: la redacción concreta requiere contrato basado.</t>
  </si>
  <si>
    <t>Adjudicado en 2025; plazo de 36 meses. Fecha de fin no publicada de modo inequívoco. | FECHAS SIN ACREDITAR: Constitución del acuerdo marco adjudicada en 2025 (36 meses); las fuentes consultadas no publican una entrada en vigor cierta del lote. No se calcula fin desde adjudicación. | CONTROL DOCUMENTAL 21/10/2026: Cinco lotes identificados. AM de proyectos urbanización, adjudicatarias y UTE por lote; no adjudica automáticamente proyectos futuros. [Base de evidencia: Portal municipal / resolución o resultado oficial consultado]</t>
  </si>
  <si>
    <t>https://contratacion.madrid.es/sistemas-de-racionalizacion/
https://contratos.gobierto.es/licitaciones/4492882/contracting_system_contracts
https://gobierto-elb-dbfe699cce09029a.elb.eu-south-2.amazonaws.com/licitaciones/4492882</t>
  </si>
  <si>
    <t>REL-0344</t>
  </si>
  <si>
    <t>300/2024/00326|1</t>
  </si>
  <si>
    <t>|ASESORES DE OBRA CIVIL, S.L.|</t>
  </si>
  <si>
    <t>REL-0345</t>
  </si>
  <si>
    <t>INGENIERÍA BÁSICA OBRAS Y PROYECTOS, S.L.</t>
  </si>
  <si>
    <t>Distritos del lote 2</t>
  </si>
  <si>
    <t>REL-0346</t>
  </si>
  <si>
    <t>300/2024/00326|2</t>
  </si>
  <si>
    <t>|INGENIERÍA BÁSICA OBRAS Y PROYECTOS, S.L.|</t>
  </si>
  <si>
    <t>REL-0347</t>
  </si>
  <si>
    <t>REL-0348</t>
  </si>
  <si>
    <t>REL-0349</t>
  </si>
  <si>
    <t>REL-0350</t>
  </si>
  <si>
    <t>VÁZQUEZ OFITEP, S.L.</t>
  </si>
  <si>
    <t>Distritos del lote 3</t>
  </si>
  <si>
    <t>REL-0351</t>
  </si>
  <si>
    <t>300/2024/00326|3</t>
  </si>
  <si>
    <t>VÁZQUEZ OFITEP</t>
  </si>
  <si>
    <t>|VÁZQUEZ OFITEP|</t>
  </si>
  <si>
    <t>REL-0352</t>
  </si>
  <si>
    <t>REL-0353</t>
  </si>
  <si>
    <t>REL-0354</t>
  </si>
  <si>
    <t>REL-0355</t>
  </si>
  <si>
    <t>REL-0356</t>
  </si>
  <si>
    <t>UTE DELFOS PROYECTOS - CÓDIGO ARQUITECTURA - VSING INNOVA 2016</t>
  </si>
  <si>
    <t>Distritos del lote 4</t>
  </si>
  <si>
    <t>REL-0357</t>
  </si>
  <si>
    <t>300/2024/00326|4</t>
  </si>
  <si>
    <t>VSING INNOVA 2016</t>
  </si>
  <si>
    <t>|VSING INNOVA 2016|</t>
  </si>
  <si>
    <t>REL-0358</t>
  </si>
  <si>
    <t>REL-0359</t>
  </si>
  <si>
    <t>REL-0360</t>
  </si>
  <si>
    <t>REL-0361</t>
  </si>
  <si>
    <t>REL-0362</t>
  </si>
  <si>
    <t>REL-0363</t>
  </si>
  <si>
    <t>REL-0364</t>
  </si>
  <si>
    <t>UTE FHECOR INGENIEROS CONSULTORES - COTA CERO ESTUDIOS URBANOS Y TERRITORIALES</t>
  </si>
  <si>
    <t>Proyectos técnicos de puentes, pasarelas y otras infraestructuras.</t>
  </si>
  <si>
    <t>Infraestructuras de toda la ciudad</t>
  </si>
  <si>
    <t>REL-0365</t>
  </si>
  <si>
    <t>300/2024/00326|5</t>
  </si>
  <si>
    <t>UTE FHECOR–COTA CERO</t>
  </si>
  <si>
    <t>|UTE FHECOR–COTA CERO|</t>
  </si>
  <si>
    <t>Control de calidad de obras de espacio público (2 lotes)</t>
  </si>
  <si>
    <t>300/2022/00332</t>
  </si>
  <si>
    <t>UTE ENMACOSA CONSULTORÍA TÉCNICA - ADAMAS CONTROL Y GEOTECNIA - AUSCULTACIÓN CONTROL ENSAYOS</t>
  </si>
  <si>
    <t>Ensayos de materiales, inspección y control de calidad de obras.</t>
  </si>
  <si>
    <t>Obras municipales de urbanización e infraestructuras.</t>
  </si>
  <si>
    <t>Lote 1; servicios de ensayos y control vinculados a obras municipales.</t>
  </si>
  <si>
    <t>Prórroga oficial: 01/03/2026–28/02/2028. | CONTROL DOCUMENTAL 21/10/2026: Adjudicación corregida en lote 2. Control de calidad obras: EUROCONSULT S.A. es adjudicataria del lote 2, según resolución del Tribunal de Contratación. [Base de evidencia: Portal municipal / resolución o resultado oficial consultado]</t>
  </si>
  <si>
    <t>https://transparencia.madrid.es/UnidadesDescentralizadas/JuntaDeGobierno/1.%20Acuerdos%20Transparencia/2026/1.%20Ficheros/Acuerdos%20Web%202026.02.05.pdf
https://es.openprocurements.com/tender/2022-trabajos-de-control-de-calidad-de-las-obras-a-ejecutar-por-la-direccion-general-del-espacio-pub/</t>
  </si>
  <si>
    <t>REL-0366</t>
  </si>
  <si>
    <t>300/2022/00332|1</t>
  </si>
  <si>
    <t>UTE ENMACOSA–ADAMAS–AUSCULTACIÓN</t>
  </si>
  <si>
    <t>|UTE ENMACOSA–ADAMAS–AUSCULTACIÓN|</t>
  </si>
  <si>
    <t>EUROCONSULT, S.A.</t>
  </si>
  <si>
    <t>Anterior EUROCONSULT, S.A.; sucesión empresarial reconocida el 26/07/2024.</t>
  </si>
  <si>
    <t>Adjudicación lote 2 a EUROCONSULT, S.A. acreditada en anuncio DOUE 2023/S 038-110939, formalización 16/02/2023. Prórroga/fin registrado pendiente de comprobar directamente por documento. | RECTIFICACIÓN 21/10/2026: Euroconsult, S.A. es adjudicataria lote 2 (resolución oficial 057/2023); corregido nombre distinto que figuraba en el maestro. | CONTROL DOCUMENTAL 21/10/2026: Adjudicación corregida en lote 2. Control de calidad obras: EUROCONSULT S.A. es adjudicataria del lote 2, según resolución del Tribunal de Contratación. [Base de evidencia: Portal municipal / resolución o resultado oficial consultado]</t>
  </si>
  <si>
    <t>https://es.openprocurements.com/tender/2022-trabajos-de-control-de-calidad-de-las-obras-a-ejecutar-por-la-direccion-general-del-espacio-pub/
https://www.comunidad.madrid/tacp/sites/default/files/resolucion_057-2023.pdf
https://transparencia.madrid.es/UnidadesDescentralizadas/JuntaDeGobierno/1.%20Acuerdos%20Transparencia/2026/1.%20Ficheros/Acuerdos%20Web%202026.02.05.pdf</t>
  </si>
  <si>
    <t>REL-0367</t>
  </si>
  <si>
    <t>300/2022/00332|2</t>
  </si>
  <si>
    <t>EUROCONSULT</t>
  </si>
  <si>
    <t>Adjudicataria EUROCONSULT S.A. contrastada en Resolución 057/2023; agrupación para búsqueda, no matriz acreditada.</t>
  </si>
  <si>
    <t>|EUROCONSULT|</t>
  </si>
  <si>
    <t>Remodelación de plaza de Jacinto Benavente y entorno</t>
  </si>
  <si>
    <t>511/2024/26338-L1-003</t>
  </si>
  <si>
    <t>Reurbaniza la plaza y mejora itinerarios peatonales.</t>
  </si>
  <si>
    <t>Intervención específica en Centro</t>
  </si>
  <si>
    <t>Contrato basado en el acuerdo marco de obras; no constituye un sexto lote.</t>
  </si>
  <si>
    <t>Basado adjudicado 18/12/2025; ejecución exacta no indicada. | FECHAS SIN ACREDITAR: Obra basada adjudicada; falta fecha acreditada de acta de replanteo/inicio real (y final si procede), distinta de la adjudicación. | CONTROL DOCUMENTAL 21/10/2026: Basado adjudicado. Jacinto Benavente -L1-003, UTE AZVI-LICUAS; expediente individual, no sexto lote. [Base de evidencia: Ficha individual de publicación / agregador contrastada]</t>
  </si>
  <si>
    <t>https://www.alicitar.es/licitacion/8238755/remodelacion-de-la-plaza-de-jacinto-benavente-y-su-entorno-distrito-centro</t>
  </si>
  <si>
    <t>REL-0368</t>
  </si>
  <si>
    <t>511/2024/26338-L1-003|1</t>
  </si>
  <si>
    <t>Remodelación de calle Alonso Cano</t>
  </si>
  <si>
    <t>511/2024/26338-L2-003</t>
  </si>
  <si>
    <t>Renueva la calle Alonso Cano entre José Abascal y Raimundo Fernández Villaverde.</t>
  </si>
  <si>
    <t>Intervención específica en Chamberí</t>
  </si>
  <si>
    <t>Basado adjudicado 04/06/2026; fin publicado 04/05/2027. | FECHAS SIN ACREDITAR: Obra basada adjudicada; falta fecha acreditada de acta de replanteo/inicio real (y final si procede), distinta de la adjudicación. | CONTROL DOCUMENTAL 21/10/2026: Basado adjudicado. Alonso Cano -L2-003, UTE PACSA-TAGA; no confundir lote marco con contrato basado. [Base de evidencia: Ficha individual de publicación / agregador contrastada]</t>
  </si>
  <si>
    <t>https://contratos.gobierto.es/adjudicatarios/ute-pacsa-servicios-urbanos-y-del-medio-natural-s-l-y-obras-y-servicios-taga-s-a-abreviadamente-u-t-e-infraestructuras-l2?locale=es</t>
  </si>
  <si>
    <t>REL-0369</t>
  </si>
  <si>
    <t>511/2024/26338-L2-003|2</t>
  </si>
  <si>
    <t>Remodelación de plaza de Platón</t>
  </si>
  <si>
    <t>511/2024/26338-L3-002</t>
  </si>
  <si>
    <t>Reurbaniza la plaza de Platón y su espacio público.</t>
  </si>
  <si>
    <t>Intervención específica en Ciudad Lineal</t>
  </si>
  <si>
    <t>Basado adjudicado el 09/10/2026. | FECHAS SIN ACREDITAR: Obra basada adjudicada; falta fecha acreditada de acta de replanteo/inicio real (y final si procede), distinta de la adjudicación. | CONTROL DOCUMENTAL 21/10/2026: Basado adjudicado. Plaza Platón -L3-002, UTE SERANCO e integrantes; revisar expediente derivado. [Base de evidencia: Ficha individual de publicación / agregador contrastada]</t>
  </si>
  <si>
    <t>https://www.certero.es/recursos/licitaciones/remodelacion-de-la-plaza-de-platon-distrito-de-ciudad-lineal-b62f9f08</t>
  </si>
  <si>
    <t>REL-0370</t>
  </si>
  <si>
    <t>511/2024/26338-L3-002|3</t>
  </si>
  <si>
    <t>Reurbanización de plaza Jesús del Gran Poder</t>
  </si>
  <si>
    <t>511/2024/26338-L4-006</t>
  </si>
  <si>
    <t>Renueva plaza de Jesús del Gran Poder y entorno.</t>
  </si>
  <si>
    <t>Intervención específica en Usera</t>
  </si>
  <si>
    <t>Basado adjudicado 10/09/2026; fin publicado 11/07/2027. | FECHAS SIN ACREDITAR: Obra basada adjudicada; falta fecha acreditada de acta de replanteo/inicio real (y final si procede), distinta de la adjudicación. | CONTROL DOCUMENTAL 21/10/2026: Basado adjudicado 10/09/2026. Jesús del Gran Poder -L4-006, UTE ORTIZ-GESTIÓN Y EJECUCIÓN DE OBRA CIVIL; adjudicación 628.020,26 € sin IVA. [Base de evidencia: Ficha individual de publicación / agregador contrastada]</t>
  </si>
  <si>
    <t>https://contratos.gobierto.es/adjudicatarios/ute-ortiz-construcciones-y-proyectos-s-a-y-gestion-y-ejecucion-de-obra-civil-s-a-u-abreviadamente-ute-infraestructuras-lote-4?locale=es
https://contratos.gobierto.es/contratos/10732262</t>
  </si>
  <si>
    <t>REL-0371</t>
  </si>
  <si>
    <t>511/2024/26338-L4-006|4</t>
  </si>
  <si>
    <t>Urbanización de Gran Vía del Sureste</t>
  </si>
  <si>
    <t>511/2024/26338-L4-004</t>
  </si>
  <si>
    <t>Urbaniza un tramo de Gran Vía del Sureste en Ensanche de Vallecas.</t>
  </si>
  <si>
    <t>Intervención específica en Villa de Vallecas</t>
  </si>
  <si>
    <t>Basado adjudicado 23/07/2026. | FECHAS SIN ACREDITAR: Obra basada adjudicada; falta fecha acreditada de acta de replanteo/inicio real (y final si procede), distinta de la adjudicación. | CONTROL DOCUMENTAL 21/10/2026: Basado adjudicado. Gran Vía del Sureste -L4-004, UTE ORTIZ-GESTIÓN Y EJECUCIÓN DE OBRA CIVIL. [Base de evidencia: Ficha individual de publicación / agregador contrastada] | CONTRASTE ADICIONAL 21/10/2026: BASADO: adjudicado el 23/07/2026 a UTE ORTIZ CONSTRUCCIONES Y PROYECTOS y GESTIÓN Y EJECUCIÓN DE OBRA CIVIL, importe 10.815.923,47 EUR sin IVA.</t>
  </si>
  <si>
    <t>https://www.certero.es/recursos/licitaciones/urbanizacion-de-la-avenida-de-la-gran-via-del-sureste-en-el-cfbaab75</t>
  </si>
  <si>
    <t>REL-0372</t>
  </si>
  <si>
    <t>511/2024/26338-L4-004|4</t>
  </si>
  <si>
    <t>Pasarela peatonal CLESA–Hospital Ramón y Cajal</t>
  </si>
  <si>
    <t>511/2024/26338-L5-002</t>
  </si>
  <si>
    <t>Construye pasarela sobre ferrocarril entre CLESA y el Hospital Ramón y Cajal.</t>
  </si>
  <si>
    <t>Intervención específica en Fuencarral-El Pardo</t>
  </si>
  <si>
    <t>Basado adjudicado 15/06/2026; fin publicado 15/06/2027. | FECHAS SIN ACREDITAR: Obra basada adjudicada; falta fecha acreditada de acta de replanteo/inicio real (y final si procede), distinta de la adjudicación. | CONTROL DOCUMENTAL 21/10/2026: Basado adjudicado. Pasarela CLESA-Ramón y Cajal -L5-002, UTE ROVER-COTODISA. [Base de evidencia: Ficha individual de publicación / agregador contrastada] | CONTRASTE ADICIONAL 21/10/2026: BASADO: adjudicado el 15/06/2026 a UTE ROVER INFRAESTRUCTURAS y COTODISA OBRAS Y SERVICIOS. Contrato de pasarela CLESA–Ramón y Cajal.</t>
  </si>
  <si>
    <t>https://contratos.gobierto.es/adjudicatarios/ute-rover-infraestructuras-s-a-y-cotodisa-obras-y-servicios-s-a-abreviadamente-infraestructuras-madrid-lote-5?locale=es
https://contratos.gobierto.es/contratos/10272687</t>
  </si>
  <si>
    <t>REL-0373</t>
  </si>
  <si>
    <t>511/2024/26338-L5-002|5</t>
  </si>
  <si>
    <t>Redacción de proyectos y apoyo técnico de instalaciones urbanas (3 lotes)</t>
  </si>
  <si>
    <t>300/2025/02962</t>
  </si>
  <si>
    <t>SERVICIO PROFESIONAL DE ARQUITECTURA, CONSULTORIA E INGENIERIA, SLP</t>
  </si>
  <si>
    <t>Proyectos y apoyo técnico de alumbrado público (zona interior de M-30).</t>
  </si>
  <si>
    <t>Interior M-30</t>
  </si>
  <si>
    <t>Adjudicado 28/04/2026. Formalizado 27/05/2026 según agregador. Fin 31/05/2029 (verificar contrato firmado). Inicio de prestación no acreditado. No equivale a obra ejecutada. | CONTROL DOCUMENTAL 21/10/2026: Tres lotes identificados. Redacción proyectos instalaciones urbanas adjudicada por tres lotes, dos sociedades y una UTE. [Base de evidencia: Ficha individual de publicación / agregador contrastada]</t>
  </si>
  <si>
    <t>https://contratos.gobierto.es/licitaciones/4918388</t>
  </si>
  <si>
    <t>REL-0374</t>
  </si>
  <si>
    <t>300/2025/02962|1</t>
  </si>
  <si>
    <t>|SERVICIO PROFESIONAL DE ARQUITECTURA, CONSULTORIA E INGENIERIA, SLP|</t>
  </si>
  <si>
    <t>SAWATCO IBERICA, SL</t>
  </si>
  <si>
    <t>Proyectos y apoyo técnico de alumbrado público (zona exterior de M-30).</t>
  </si>
  <si>
    <t>Exterior M-30</t>
  </si>
  <si>
    <t>Adjudicado 28/04/2026. Formalizado 29/05/2026 según agregador. Fin 31/05/2029 (verificar contrato firmado). Inicio de prestación no acreditado. No equivale a obra ejecutada. | CONTROL DOCUMENTAL 21/10/2026: Tres lotes identificados. Redacción proyectos instalaciones urbanas adjudicada por tres lotes, dos sociedades y una UTE. [Base de evidencia: Ficha individual de publicación / agregador contrastada]</t>
  </si>
  <si>
    <t>REL-0375</t>
  </si>
  <si>
    <t>300/2025/02962|2</t>
  </si>
  <si>
    <t>|SAWATCO IBERICA, SL|</t>
  </si>
  <si>
    <t>UTE TPF GETINSA EUROESTUDIOS, S.L. - VAZQUEZ OFITEP, S.L.</t>
  </si>
  <si>
    <t>Proyectos y apoyo técnico de túneles, galerías y fuentes.</t>
  </si>
  <si>
    <t>Túneles, galerías y fuentes municipales</t>
  </si>
  <si>
    <t>Adjudicado 28/04/2026. Formalizado 28/05/2026 según agregador. Fin 31/05/2029 (verificar contrato firmado). Inicio de prestación no acreditado. No equivale a obra ejecutada. | CONTROL DOCUMENTAL 21/10/2026: Tres lotes identificados. Redacción proyectos instalaciones urbanas adjudicada por tres lotes, dos sociedades y una UTE. [Base de evidencia: Ficha individual de publicación / agregador contrastada]</t>
  </si>
  <si>
    <t>REL-0376</t>
  </si>
  <si>
    <t>300/2025/02962|3</t>
  </si>
  <si>
    <t>Vías públicas y accesibilidad</t>
  </si>
  <si>
    <t>Subdirección General de Conservación de Vías Públicas</t>
  </si>
  <si>
    <t>Contrato basado L1-CB14: Renovación de pavimentos especiales en calle del Príncipe</t>
  </si>
  <si>
    <t>511/2023/03115 L1-CB14</t>
  </si>
  <si>
    <t>UTE PACSA SERVICIOS URBANOS Y DEL MEDIO NATURAL, S.L. - ASFALTOS Y PAVIMENTOS, S.A.</t>
  </si>
  <si>
    <t>Obras de accesibilidad, pavimentación y remodelación del espacio público.</t>
  </si>
  <si>
    <t>Adjudicado 29/07/2026. Contrato basado de acuerdo marco con seis lotes. Fin publicado en agregador; verificar formalización. | CONTROL DOCUMENTAL 21/10/2026: Contrato basado adjudicado. Calle del Príncipe -L1-CB14, PACSA/ASFALTOS Y PAVIMENTOS. [Base de evidencia: Ficha individual de publicación / agregador contrastada]</t>
  </si>
  <si>
    <t>https://contratos.gobierto.es/licitaciones/2344788/contracting_system_contracts?page=5
https://contratos.gobierto.es/adjudicatarios/ute-pacsa-servicios-urbanos-y-del-medio-natural-s-l-asfaltos-y-pavimentos-s-a</t>
  </si>
  <si>
    <t>REL-0377</t>
  </si>
  <si>
    <t>511/2023/03115 L1-CB14|1</t>
  </si>
  <si>
    <t>Contrato basado L2-CB10: Urbanización y accesibilidad en Colonia Primo de Rivera fase 3</t>
  </si>
  <si>
    <t>511/2023/03115 L2-CB10</t>
  </si>
  <si>
    <t>ACEINSA MOVILIDAD S.A.</t>
  </si>
  <si>
    <t>Adjudicado 30/07/2026. Contrato basado de acuerdo marco con seis lotes. Fecha final no acreditada. | CONTROL DOCUMENTAL 21/10/2026: Contrato basado adjudicado. Colonia Primo de Rivera -L2-CB10, ACEINSA. [Base de evidencia: Ficha individual de publicación / agregador contrastada]</t>
  </si>
  <si>
    <t>https://contratos.gobierto.es/licitaciones/2344788/contracting_system_contracts?page=5
https://contratos.gobierto.es/licitaciones/2344788/contracting_system_contracts?page=5</t>
  </si>
  <si>
    <t>REL-0378</t>
  </si>
  <si>
    <t>511/2023/03115 L2-CB10|2</t>
  </si>
  <si>
    <t>Contrato basado L3-CB23: Reurbanización colonia Camarines fase 1</t>
  </si>
  <si>
    <t>511/2023/03115 L3-CB23</t>
  </si>
  <si>
    <t>UTE LICUAS, S.A. - COARSA, S.A.</t>
  </si>
  <si>
    <t>Adjudicado 30/07/2026. Contrato basado de acuerdo marco con seis lotes. Fin publicado en agregador; verificar formalización. | CONTROL DOCUMENTAL 21/10/2026: Contrato basado adjudicado. Colonia Camarines -L3-CB23, UTE LICUAS-COARSA. [Base de evidencia: Ficha individual de publicación / agregador contrastada]</t>
  </si>
  <si>
    <t>https://contratos.gobierto.es/licitaciones/2344788/contracting_system_contracts?page=5
https://contratos.gobierto.es/adjudicatarios/ute-licuas-s-a-coarsa-s-a-4</t>
  </si>
  <si>
    <t>REL-0379</t>
  </si>
  <si>
    <t>511/2023/03115 L3-CB23|3</t>
  </si>
  <si>
    <t>LICUAS | COARSA</t>
  </si>
  <si>
    <t>|LICUAS|COARSA|</t>
  </si>
  <si>
    <t>Contrato basado L4-CB24: Mejora accesibilidad carretera Boadilla entre Carabias y Pozuelo</t>
  </si>
  <si>
    <t>511/2023/03115 L4-CB24</t>
  </si>
  <si>
    <t>UTE ORTIZ CONSTRUCCIONES Y PROYECTOS, S.A. - ASFALTOS VICALVARO, S.L.</t>
  </si>
  <si>
    <t>Adjudicado 24/07/2026. Contrato basado de acuerdo marco con seis lotes. Fin publicado en agregador; verificar formalización. | CONTROL DOCUMENTAL 21/10/2026: Contrato basado adjudicado. Carretera de Boadilla -L4-CB24, UTE ORTIZ-ASFALTOS VICÁLVARO. [Base de evidencia: Ficha individual de publicación / agregador contrastada]</t>
  </si>
  <si>
    <t>https://contratos.gobierto.es/licitaciones/2344788/contracting_system_contracts?page=5
https://contratos.gobierto.es/adjudicatarios/ute-ortiz-construcciones-y-proyectos-s-a-asfaltos-vicalvaro-s-l</t>
  </si>
  <si>
    <t>REL-0380</t>
  </si>
  <si>
    <t>511/2023/03115 L4-CB24|4</t>
  </si>
  <si>
    <t>Contrato basado L5-CB17: Remodelación de calles Galeote y Jardín de la Duquesa</t>
  </si>
  <si>
    <t>511/2023/03115 L5-CB17</t>
  </si>
  <si>
    <t>IMESAPI S.A.</t>
  </si>
  <si>
    <t>Adjudicado 27/08/2026. Contrato basado de acuerdo marco con seis lotes. Fecha final no acreditada. | CONTROL DOCUMENTAL 21/10/2026: Contrato basado identificado. Calle Galeote -L5-CB17, IMESAPI. La fecha de inicio de obra no se deduce de la adjudicación. [Base de evidencia: Ficha individual de publicación / agregador contrastada]</t>
  </si>
  <si>
    <t>REL-0381</t>
  </si>
  <si>
    <t>511/2023/03115 L5-CB17|5</t>
  </si>
  <si>
    <t>Contrato basado L6-CB14: Reurbanización y accesibilidad de calle Moratalla</t>
  </si>
  <si>
    <t>511/2023/03115 L6-CB14</t>
  </si>
  <si>
    <t>ACSA OBRAS E INFRAESTRUCTURAS SAU</t>
  </si>
  <si>
    <t>Adjudicado 25/06/2026. Contrato basado de acuerdo marco con seis lotes. Fecha final no acreditada. | CONTROL DOCUMENTAL 21/10/2026: Contrato basado identificado. Calle Moratalla -L6-CB14, ACSA. No confundir con el lote del acuerdo marco. [Base de evidencia: Ficha individual de publicación / agregador contrastada]</t>
  </si>
  <si>
    <t>REL-0382</t>
  </si>
  <si>
    <t>511/2023/03115 L6-CB14|6</t>
  </si>
  <si>
    <t>ACSA</t>
  </si>
  <si>
    <t>|ACSA|</t>
  </si>
  <si>
    <t>Urbanización accesoria en carretera Barrio de la Fortuna 8</t>
  </si>
  <si>
    <t>511/2023/03165 L3-CB24</t>
  </si>
  <si>
    <t>Pavimentación y adecuación de aceras y calzada.</t>
  </si>
  <si>
    <t>Adjudicado 31/07/2026. Adjudicado como contrato basado del acuerdo marco de urbanización accesoria. Fin no acreditado. | CONTROL DOCUMENTAL 21/10/2026: Contrato basado adjudicado. Barrio de La Fortuna -L3-CB24, ACEINSA, comprobable en ficha de resolución. [Base de evidencia: Ficha individual de publicación / agregador contrastada]</t>
  </si>
  <si>
    <t>https://contratos.gobierto.es/contratos/10597014?locale=es
https://www.cashstalker.com/licitacion/5e415b30-0a37-4461-8190-006faa7fef03</t>
  </si>
  <si>
    <t>REL-0383</t>
  </si>
  <si>
    <t>511/2023/03165 L3-CB24|3</t>
  </si>
  <si>
    <t>Urbanización accesoria Plaza Mar de Plata 8</t>
  </si>
  <si>
    <t>511/2023/03165 L2-CB21</t>
  </si>
  <si>
    <t>COARSA, S.A.</t>
  </si>
  <si>
    <t>Actuación urbanizadora de aceras y calzada.</t>
  </si>
  <si>
    <t>Adjudicado 02/10/2026. Fin según agregador. Fecha de comienzo efectivo no acreditada. | CONTROL DOCUMENTAL 21/10/2026: Contrato basado adjudicado. Plaza Mar de Plata -L2-CB21, COARSA; resultado publicado en octubre de 2026. [Base de evidencia: Ficha individual de publicación / agregador contrastada]</t>
  </si>
  <si>
    <t>https://contratos.gobierto.es/adjudicatarios/coarsa-s-a?locale=es
https://www.cashstalker.com/licitacion/22a309d3-67b6-4ee8-a381-e626cfd3d2e4</t>
  </si>
  <si>
    <t>REL-0384</t>
  </si>
  <si>
    <t>511/2023/03165 L2-CB21|2</t>
  </si>
  <si>
    <t>COARSA</t>
  </si>
  <si>
    <t>|COARSA|</t>
  </si>
  <si>
    <t>Acuerdo marco trabajos hortícolas sostenibles en huertos urbanos</t>
  </si>
  <si>
    <t>300/2025/04127</t>
  </si>
  <si>
    <t>FORET SERVICIOS INTEGRALES SLU</t>
  </si>
  <si>
    <t>Trabajos hortícolas, apoyo al mantenimiento y formación ambiental.</t>
  </si>
  <si>
    <t>Huertos urbanos y escolares municipales</t>
  </si>
  <si>
    <t>Adjudicado 29/06/2026. Acuerdo marco adjudicado. Plazo anunciado de 4 años, sin fecha exacta de fin acreditada; ejecución por basados. | FUENTE MUNICIPAL 21/10/2026: acuerdo marco de huertos urbanos adjudicado el 29/06/2026. Adjudicación del acuerdo no implica adjudicación de actuaciones basadas. | CONTROL DOCUMENTAL 21/10/2026: Adjudicataria identificada. FORET SERVICIOS INTEGRALES en acuerdo marco de huertos urbanos. Contratos concretos sujetos a basados. [Base de evidencia: Ficha individual de publicación / agregador contrastada]</t>
  </si>
  <si>
    <t>https://www.alicitar.es/licitacion/22766/acuerdo-marco-para-el-contrato-de-servicios-para-la-ejecucion-de-trabajos-hortic
https://contratacion.madrid.es/sistemas-de-racionalizacion/</t>
  </si>
  <si>
    <t>REL-0385</t>
  </si>
  <si>
    <t>300/2025/04127|Sin lotes</t>
  </si>
  <si>
    <t>FORET</t>
  </si>
  <si>
    <t>|FORET|</t>
  </si>
  <si>
    <t>Basado nº 5 del lote 2: alumbrado ornamental Navidad 2026/27</t>
  </si>
  <si>
    <t>300/2024/00132-14</t>
  </si>
  <si>
    <t>Montaje, conservación y desmontaje del alumbrado ornamental navideño.</t>
  </si>
  <si>
    <t>Adjudicado 30/07/2026. Adjudicación verificada de contrato basado. Inicio de prestación y retirada no acreditados. | CONTROL DOCUMENTAL 21/10/2026: Contrato basado adjudicado. Alumbrado ornamental Navidad 2026/27, ILUMINACIONES XIMÉNEZ. [Base de evidencia: Ficha individual de publicación / agregador contrastada]</t>
  </si>
  <si>
    <t>https://www.certero.es/recursos/licitaciones/contrato-basado-n-5-correspondiente-al-lote-2-del-am-de-servicios-899a1626</t>
  </si>
  <si>
    <t>REL-0386</t>
  </si>
  <si>
    <t>300/2024/00132-14|2</t>
  </si>
  <si>
    <t>Conservación de los pavimentos de las vías públicas del Ayuntamiento de Madrid (6 lotes)</t>
  </si>
  <si>
    <t>300/2026/00446</t>
  </si>
  <si>
    <t>Reparación y mantenimiento preventivo y correctivo de pavimentos, aceras y calzadas; atención de urgencias y drenaje superficial. Incluye red pasiva de telecomunicaciones; lote 1: almacén y taller de cantería.</t>
  </si>
  <si>
    <t>Lote 1 — Arganzuela, Centro, Chamberí, Tetuán. Relación territorial del servicio previsto, NO contrato adjudicado.</t>
  </si>
  <si>
    <t>La adjudicación, el inicio y el fin NO están acreditados; no imputar un servicio nuevo a un contratista vigente.</t>
  </si>
  <si>
    <t>EN EVALUACIÓN (revisión 16/10/2026). Ofertas cerradas 24/08/2026; sin adjudicación acreditada. Inicio previsto 15/01/2027, NO fecha contractual efectiva. Duración prevista 36 meses ampliables 24. | ESTADO COMPROBADO 21/10/2026: listado municipal de licitación y ficha de seguimiento siguen sin anunciar adjudicatario; fase de evaluación. No debe tratarse como desierto ni desistido. | CONTROL DOCUMENTAL 21/10/2026: En evaluación; adjudicatario no publicado. Nuevo contrato de pavimentos de 6 lotes; fichas de octubre de 2026 en fase de evaluación. No sustituir con empresas del contrato anterior. [Base de evidencia: Estado del procedimiento contrastado en fichas de contratación] | CONTRASTE ADICIONAL 21/10/2026: ESTADO PROCEDIMENTAL CONSULTADO OCT-2026: en evaluación, sin empresa adjudicataria ni resolución de adjudicación en la ficha consultada; no es una adjudicación desconocida de un contrato en ejecución.</t>
  </si>
  <si>
    <t>https://contratos.gobierto.es/licitaciones/5162585
https://www.madrid.es/portales/munimadrid/es/Inicio/El-Ayuntamiento/Todas-las-noticias/El-Ayuntamiento-da-luz-verde-al-nuevo-contrato-de-servicios-de-conservacion-y-mantenimiento-de-los-pavimentos-de-la-ciudad/?vgnextoid=b326c7b4fc1bf910VgnVCM200000f921e388RCRD
https://contratacion.madrid.es/en-licitacion/
https://contratos.gobierto.es/licitaciones/5162585?locale=es</t>
  </si>
  <si>
    <t>REL-0387</t>
  </si>
  <si>
    <t>300/2026/00446|1</t>
  </si>
  <si>
    <t>LICITACIÓN SIN ADJUDICATARIO</t>
  </si>
  <si>
    <t>SIN ADJUDICATARIO PUBLICADO</t>
  </si>
  <si>
    <t>En evaluación · Sin adjudicatario</t>
  </si>
  <si>
    <t>Ámbito territorial según pliego; no prestación ejecutada</t>
  </si>
  <si>
    <t>Inicio/fin NO acreditados</t>
  </si>
  <si>
    <t>|SIN ADJUDICATARIO PUBLICADO|</t>
  </si>
  <si>
    <t>REL-0388</t>
  </si>
  <si>
    <t>REL-0389</t>
  </si>
  <si>
    <t>REL-0390</t>
  </si>
  <si>
    <t>Lote 2 — Retiro, Salamanca, Chamartín. Relación territorial del servicio previsto, NO contrato adjudicado.</t>
  </si>
  <si>
    <t>REL-0391</t>
  </si>
  <si>
    <t>300/2026/00446|2</t>
  </si>
  <si>
    <t>REL-0392</t>
  </si>
  <si>
    <t>REL-0393</t>
  </si>
  <si>
    <t>Lote 3 — Moncloa-Aravaca, Fuencarral-El Pardo. Relación territorial del servicio previsto, NO contrato adjudicado.</t>
  </si>
  <si>
    <t>REL-0394</t>
  </si>
  <si>
    <t>300/2026/00446|3</t>
  </si>
  <si>
    <t>REL-0395</t>
  </si>
  <si>
    <t>Lote 4 — Latina, Carabanchel, Usera, Villaverde. Relación territorial del servicio previsto, NO contrato adjudicado.</t>
  </si>
  <si>
    <t>REL-0396</t>
  </si>
  <si>
    <t>300/2026/00446|4</t>
  </si>
  <si>
    <t>REL-0397</t>
  </si>
  <si>
    <t>REL-0398</t>
  </si>
  <si>
    <t>REL-0399</t>
  </si>
  <si>
    <t>Lote 5 — Puente de Vallecas, Moratalaz, Villa de Vallecas, Vicálvaro. Relación territorial del servicio previsto, NO contrato adjudicado.</t>
  </si>
  <si>
    <t>REL-0400</t>
  </si>
  <si>
    <t>300/2026/00446|5</t>
  </si>
  <si>
    <t>REL-0401</t>
  </si>
  <si>
    <t>REL-0402</t>
  </si>
  <si>
    <t>REL-0403</t>
  </si>
  <si>
    <t>Lote 6 — Ciudad Lineal, Hortaleza, San Blas-Canillejas, Barajas. Relación territorial del servicio previsto, NO contrato adjudicado.</t>
  </si>
  <si>
    <t>REL-0404</t>
  </si>
  <si>
    <t>300/2026/00446|6</t>
  </si>
  <si>
    <t>REL-0405</t>
  </si>
  <si>
    <t>REL-0406</t>
  </si>
  <si>
    <t>REL-0407</t>
  </si>
  <si>
    <t>Mobiliario urbano</t>
  </si>
  <si>
    <t>Subdirección General de Limpieza y Equipamientos</t>
  </si>
  <si>
    <t>Conservación del mobiliario urbano municipal (3 lotes: centro, este y oeste)</t>
  </si>
  <si>
    <t>300/2026/00020</t>
  </si>
  <si>
    <t>Inspección y mantenimiento preventivo y correctivo de bancos, bolardos, vallas, barandillas, pérgolas y otros elementos; inventario digital georreferenciado y atención de incidencias.</t>
  </si>
  <si>
    <t>Lote 1 — Centro: Centro, Arganzuela, Chamberí, Tetuán, Retiro, Salamanca, Chamartín. Contrato nuevo previsto, NO adjudicado.</t>
  </si>
  <si>
    <t>EN EVALUACIÓN (revisión 16/10/2026). Ofertas cerradas 03/08/2026; sin adjudicación acreditada. Inicio previsto 27/11/2026, NO efectivo. Duración prevista 48 meses y posible prórroga. | ESTADO COMPROBADO 21/10/2026: ficha de seguimiento de contratación (actualización 21/09/2026) indica evaluación y sin adjudicación publicada en dicha ficha. No confundir con contrato vigente anterior. | CONTROL DOCUMENTAL 21/10/2026: En evaluación; adjudicatario no publicado. Mobiliario urbano, 3 lotes; resultados de octubre de 2026 en evaluación. [Base de evidencia: Estado del procedimiento contrastado en fichas de contratación] | CONTRASTE ADICIONAL 21/10/2026: ESTADO PROCEDIMENTAL CONSULTADO OCT-2026: en evaluación, sin empresa adjudicataria publicada en la ficha examinada.</t>
  </si>
  <si>
    <t>https://www.cashstalker.com/licitacion/7d4b013a-f3f1-46a9-bbcc-9dc330e0b7ac
https://diario.madrid.es/blog/notas-de-prensa/un-nuevo-contrato-de-mobiliario-urbano-mas-seguro-mas-accesible-mas-tecnologico-y-con-mayores-exigencias-para-los-concesionarios/
https://contratacion.madrid.es/en-licitacion/</t>
  </si>
  <si>
    <t>REL-0408</t>
  </si>
  <si>
    <t>300/2026/00020|1</t>
  </si>
  <si>
    <t>REL-0409</t>
  </si>
  <si>
    <t>REL-0410</t>
  </si>
  <si>
    <t>REL-0411</t>
  </si>
  <si>
    <t>REL-0412</t>
  </si>
  <si>
    <t>REL-0413</t>
  </si>
  <si>
    <t>REL-0414</t>
  </si>
  <si>
    <t>Lote 2 — Este: Ciudad Lineal, San Blas-Canillejas, Hortaleza, Barajas, Moratalaz, Vicálvaro, Villa de Vallecas, Puente de Vallecas. Contrato nuevo previsto, NO adjudicado.</t>
  </si>
  <si>
    <t>REL-0415</t>
  </si>
  <si>
    <t>300/2026/00020|2</t>
  </si>
  <si>
    <t>REL-0416</t>
  </si>
  <si>
    <t>REL-0417</t>
  </si>
  <si>
    <t>REL-0418</t>
  </si>
  <si>
    <t>REL-0419</t>
  </si>
  <si>
    <t>REL-0420</t>
  </si>
  <si>
    <t>REL-0421</t>
  </si>
  <si>
    <t>REL-0422</t>
  </si>
  <si>
    <t>Lote 3 — Oeste: Fuencarral-El Pardo, Moncloa-Aravaca, Latina, Carabanchel, Usera, Villaverde. Contrato nuevo previsto, NO adjudicado.</t>
  </si>
  <si>
    <t>REL-0423</t>
  </si>
  <si>
    <t>300/2026/00020|3</t>
  </si>
  <si>
    <t>REL-0424</t>
  </si>
  <si>
    <t>REL-0425</t>
  </si>
  <si>
    <t>REL-0426</t>
  </si>
  <si>
    <t>REL-0427</t>
  </si>
  <si>
    <t>REL-0428</t>
  </si>
  <si>
    <t>Pasos a distinto nivel y estructuras</t>
  </si>
  <si>
    <t>Atención, vigilancia y conservación de pasos a distinto nivel y estructuras municipales (2 lotes)</t>
  </si>
  <si>
    <t>300/2026/00444</t>
  </si>
  <si>
    <t>Atención a emergencias, vigilancia, inspecciones rutinarias y conservación preventiva/correctiva de pasos superiores/inferiores, pasarelas, muros y estructuras viarias municipales.</t>
  </si>
  <si>
    <t>Lote 1 — zona Norte: Centro, Arganzuela, Retiro, Salamanca, Chamartín, Chamberí, Tetuán, Fuencarral-El Pardo, Moncloa-Aravaca, Ciudad Lineal, Hortaleza, San Blas-Canillejas, Barajas. Excluye Madrid Calle 30, túneles urbanos con control centralizado y aparcamientos.</t>
  </si>
  <si>
    <t>EN EVALUACIÓN (revisión 16/10/2026). Ofertas cerradas 23/09/2026; sin adjudicación acreditada. Inicio previsto 15/01/2027, NO efectivo. 36 meses + posible prórroga 24. | ESTADO COMPROBADO 21/10/2026: ficha de licitación de los dos lotes sin adjudicación publicada, tras cierre de ofertas 23/09/2026. | CONTROL DOCUMENTAL 21/10/2026: En evaluación; adjudicatario no publicado. Conservación de pasos a distinto nivel, 2 lotes; expediente de licitación aún sin resolución de adjudicación localizada. [Base de evidencia: Estado del procedimiento contrastado en fichas de contratación] | CONTRASTE ADICIONAL 21/10/2026: ESTADO PROCEDIMENTAL CONSULTADO OCT-2026: en evaluación; ambos lotes figuran sin adjudicatario en el resultado consultado.</t>
  </si>
  <si>
    <t>https://contratos.gobierto.es/licitaciones/5174164
https://diario.madrid.es/blog/notas-de-prensa/aprobados-dos-nuevos-contratos-para-la-conservacion-e-inspeccion-de-los-pasos-a-distinto-nivel-y-estructuras-de-la-ciudad/
https://contrataciondelestado.es/wps/poc?uri=deeplink:detalle_licitacion&amp;idEvl=4qzc834K6OB9Zh%2FyRJgM8w%3D%3D
https://contratacion.madrid.es/en-licitacion/
https://contratos.gobierto.es/licitaciones/5174164?locale=es</t>
  </si>
  <si>
    <t>REL-0429</t>
  </si>
  <si>
    <t>300/2026/00444|1</t>
  </si>
  <si>
    <t>REL-0430</t>
  </si>
  <si>
    <t>REL-0431</t>
  </si>
  <si>
    <t>REL-0432</t>
  </si>
  <si>
    <t>REL-0433</t>
  </si>
  <si>
    <t>REL-0434</t>
  </si>
  <si>
    <t>REL-0435</t>
  </si>
  <si>
    <t>REL-0436</t>
  </si>
  <si>
    <t>REL-0437</t>
  </si>
  <si>
    <t>REL-0438</t>
  </si>
  <si>
    <t>REL-0439</t>
  </si>
  <si>
    <t>REL-0440</t>
  </si>
  <si>
    <t>REL-0441</t>
  </si>
  <si>
    <t>Lote 2 — zona Sur: Latina, Carabanchel, Usera, Puente de Vallecas, Moratalaz, Villaverde, Villa de Vallecas, Vicálvaro. Excluye Madrid Calle 30, túneles urbanos con control centralizado y aparcamientos.</t>
  </si>
  <si>
    <t>REL-0442</t>
  </si>
  <si>
    <t>300/2026/00444|2</t>
  </si>
  <si>
    <t>REL-0443</t>
  </si>
  <si>
    <t>REL-0444</t>
  </si>
  <si>
    <t>REL-0445</t>
  </si>
  <si>
    <t>REL-0446</t>
  </si>
  <si>
    <t>REL-0447</t>
  </si>
  <si>
    <t>REL-0448</t>
  </si>
  <si>
    <t>REL-0449</t>
  </si>
  <si>
    <t>Inspección técnica de estructuras</t>
  </si>
  <si>
    <t>Inspección y seguimiento de actuaciones en pasos a distinto nivel y estructuras</t>
  </si>
  <si>
    <t>300/2026/00445</t>
  </si>
  <si>
    <t>Asistencia técnica especializada: ingeniería, diagnósticos, informes, inspecciones y seguimiento técnico de obras de conservación de estructuras; no ejecuta obras.</t>
  </si>
  <si>
    <t>Municipio de Madrid; no equiparar a contratos de mantenimiento o ejecución. Excluidos los activos de otros contratos/administraciones según pliegos.</t>
  </si>
  <si>
    <t>LICITACIÓN SIN ADJUDICACIÓN PUBLICADA (revisión 16/10/2026). Ofertas cerradas 23/09/2026. Inicio previsto 15/01/2027; duración prevista 36 meses + 24 opcionales. | ESTADO COMPROBADO 21/10/2026: ficha pública indica cierre de ofertas y no presenta adjudicatario ni resolución de adjudicación. | CONTROL DOCUMENTAL 21/10/2026: En evaluación; adjudicatario no publicado. Inspección de estructuras; expediente en licitación, sin empresa adjudicataria acreditada. [Base de evidencia: Estado del procedimiento contrastado en fichas de contratación] | CONTRASTE ADICIONAL 21/10/2026: ESTADO PROCEDIMENTAL CONSULTADO OCT-2026: información de licitación disponible; no se ha acreditado adjudicataria en los resultados consultados.</t>
  </si>
  <si>
    <t>https://www.alicitar.es/licitacion/17996164/inspeccion-y-seguimiento-de-actuaciones-en-los-pasos-a-distinto-nivel-y-estructu
https://diario.madrid.es/blog/notas-de-prensa/aprobados-dos-nuevos-contratos-para-la-conservacion-e-inspeccion-de-los-pasos-a-distinto-nivel-y-estructuras-de-la-ciudad/
https://contratacion.madrid.es/en-licitacion/</t>
  </si>
  <si>
    <t>REL-0450</t>
  </si>
  <si>
    <t>300/2026/00445|Sin lotes</t>
  </si>
  <si>
    <t>Conservación, mantenimiento y limpieza de zonas verdes y arbolado viario (nuevo contrato de 5 lotes)</t>
  </si>
  <si>
    <t>300/2025/02859</t>
  </si>
  <si>
    <t>Conservación, mantenimiento, limpieza de zonas verdes y arbolado viario; gestión de riesgos y control del servicio</t>
  </si>
  <si>
    <t>Lote 1; distritos: Centro, Arganzuela, Retiro, Salamanca, Chamartín, Tetuán, Chamberí</t>
  </si>
  <si>
    <t>Contrato sustitutivo; no atribuir a las empresas de los 6 lotes anteriores. Se prevé 4 años y posible año adicional, sin fechas efectivas acreditadas.</t>
  </si>
  <si>
    <t>LICITACIÓN EN EVALUACIÓN (19/10/2026): sin adjudicatario por lote acreditado. Sustituirá el expediente 300/2020/00480 (6 lotes) cuya prórroga registrada acaba 31/10/2026. Inicio 01/11/2026 PREVISTO, no acreditado como ejecución. | ESTADO COMPROBADO 21/10/2026: fase de evaluación en resultados consultados; cinco lotes pendientes. No sustituir adjudicatarios del contrato anterior sin adjudicación formal. | CONTROL DOCUMENTAL 21/10/2026: En evaluación; adjudicatario no publicado. Nuevo contrato de zonas verdes, 5 lotes; actualizaciones de 08/10/2026 aún en evaluación. No copiar adjudicatarias del contrato anterior. [Base de evidencia: Estado del procedimiento contrastado en fichas de contratación] | CONTRASTE ADICIONAL 21/10/2026: ESTADO PROCEDIMENTAL CONSULTADO OCT-2026: 5 lotes en evaluación, sin adjudicatarios publicados en la ficha consultada.</t>
  </si>
  <si>
    <t>https://www.madrid.es/portales/munimadrid/es/Inicio/El-Ayuntamiento/Notas-de-prensa-de-hoy/Autorizado-el-nuevo-contrato-de-zonas-verdes-mas-presupuesto-y-personal-aplicacion-de-la-IA-en-la-gestion-y-refuerzo-en-la-seguridad-del-arbolado/?vgnextchannel=2fe262215c483510VgnVCM2000001f4a900aRCRD&amp;vgnextfmt=default&amp;vgnextoid=87fe22107710e910VgnVCM100000891ecb1aRCRD
https://www.sophia-anphis.es/licitaciones/300%2F2025%2F02859-conservacion-mantenimiento-y-limpieza-de-las-zonas-verdes-y-el-arbolado-viario-de-la-ciudad-de-madrid-%285-lotes%29
https://cgtjardineriamadrid.org/8140/
https://contrataciondelestado.es/wps/poc?uri=deeplink:detalle_licitacion&amp;idEvl=1b%2F%2FhWyx34wS7pcxhTeWOg%3D%3D
https://www.cashstalker.com/licitacion/b91199ba-518e-4326-9f60-9a616062156e
https://contratos.gobierto.es/licitaciones/5146652</t>
  </si>
  <si>
    <t>REL-0451</t>
  </si>
  <si>
    <t>300/2025/02859|1</t>
  </si>
  <si>
    <t>SIN ADJUDICACIÓN — nuevo contrato 2026</t>
  </si>
  <si>
    <t>19/10/2026</t>
  </si>
  <si>
    <t>LICITACIÓN EN EVALUACIÓN · SIN ADJUDICAR</t>
  </si>
  <si>
    <t>Lote 1 — Centro, Arganzuela, Retiro, Salamanca, Chamartín, Tetuán, Chamberí</t>
  </si>
  <si>
    <t>Sin fecha de vigencia contractual: todavía no adjudicado ni formalizado.</t>
  </si>
  <si>
    <t>REL-0452</t>
  </si>
  <si>
    <t>REL-0453</t>
  </si>
  <si>
    <t>REL-0454</t>
  </si>
  <si>
    <t>REL-0455</t>
  </si>
  <si>
    <t>REL-0456</t>
  </si>
  <si>
    <t>REL-0457</t>
  </si>
  <si>
    <t>Lote 2; distritos: Fuencarral-El Pardo, Moncloa-Aravaca, Latina</t>
  </si>
  <si>
    <t>REL-0458</t>
  </si>
  <si>
    <t>300/2025/02859|2</t>
  </si>
  <si>
    <t>Lote 2 — Fuencarral-El Pardo, Moncloa-Aravaca, Latina</t>
  </si>
  <si>
    <t>REL-0459</t>
  </si>
  <si>
    <t>REL-0460</t>
  </si>
  <si>
    <t>Lote 3; distritos: Ciudad Lineal, Hortaleza, San Blas-Canillejas, Barajas</t>
  </si>
  <si>
    <t>REL-0461</t>
  </si>
  <si>
    <t>300/2025/02859|3</t>
  </si>
  <si>
    <t>Lote 3 — Ciudad Lineal, Hortaleza, San Blas-Canillejas, Barajas</t>
  </si>
  <si>
    <t>REL-0462</t>
  </si>
  <si>
    <t>REL-0463</t>
  </si>
  <si>
    <t>REL-0464</t>
  </si>
  <si>
    <t>Lote 4; distritos: Puente de Vallecas, Moratalaz, Villa de Vallecas, Vicálvaro</t>
  </si>
  <si>
    <t>REL-0465</t>
  </si>
  <si>
    <t>300/2025/02859|4</t>
  </si>
  <si>
    <t>Lote 4 — Puente de Vallecas, Moratalaz, Villa de Vallecas, Vicálvaro</t>
  </si>
  <si>
    <t>REL-0466</t>
  </si>
  <si>
    <t>REL-0467</t>
  </si>
  <si>
    <t>REL-0468</t>
  </si>
  <si>
    <t>Lote 5; distritos: Carabanchel, Usera, Villaverde</t>
  </si>
  <si>
    <t>REL-0469</t>
  </si>
  <si>
    <t>300/2025/02859|5</t>
  </si>
  <si>
    <t>Lote 5 — Carabanchel, Usera, Villaverde</t>
  </si>
  <si>
    <t>REL-0470</t>
  </si>
  <si>
    <t>REL-0471</t>
  </si>
  <si>
    <t>Gestión del agua y saneamiento</t>
  </si>
  <si>
    <t>Subdirección General de Gestión del Agua</t>
  </si>
  <si>
    <t>UTE ACUERDO MARCO AGUA LOTE 4</t>
  </si>
  <si>
    <t>Remodelación, ampliación, mejora y reparación de red municipal de alcantarillado y drenaje de espacios públicos</t>
  </si>
  <si>
    <t>Ámbito municipal; ubicación específica solo acreditable con contratos basados.</t>
  </si>
  <si>
    <t>Acuerdo marco: NO equivale a obra ejecutada ni asegura actuación en cada distrito.</t>
  </si>
  <si>
    <t>https://contrataciondelestado.es/wps/poc?idEvl=m0WFJ9YZyHzE6P%2FuLemXRw%3D%3D&amp;uri=deeplink%3Adetalle_licitacion
https://www.alicitar.es/licitacion/7721427/acuerdo-marco-para-la-ejecucion-de-obras-asociadas-a-las-competencias-de-la-dire
https://contratacion.madrid.es/sistemas-de-racionalizacion/</t>
  </si>
  <si>
    <t>REL-0472</t>
  </si>
  <si>
    <t>131/2024/36386|4</t>
  </si>
  <si>
    <t>FIN NO ACREDITADO — acuerdo marco</t>
  </si>
  <si>
    <t>UTE ACUERDO MARCO AGUA L4</t>
  </si>
  <si>
    <t>ACUERDO MARCO ADJUDICADO · BASADOS INDEPENDIENTES</t>
  </si>
  <si>
    <t>Alcance municipal; sin asignación de distrito</t>
  </si>
  <si>
    <t>No se ha certificado fecha contractual de inicio/fin individual</t>
  </si>
  <si>
    <t>|UTE ACUERDO MARCO AGUA L4|</t>
  </si>
  <si>
    <t>OBRASCON HUARTE LAIN SA</t>
  </si>
  <si>
    <t>Depuración de aguas, tratamientos terciarios de estaciones regeneradoras, reutilización y actuaciones en el río Manzanares</t>
  </si>
  <si>
    <t>REL-0473</t>
  </si>
  <si>
    <t>131/2024/36386|5</t>
  </si>
  <si>
    <t>|OBRASCON HUARTE LAIN SA|</t>
  </si>
  <si>
    <t>INESCO S.A.</t>
  </si>
  <si>
    <t>Mejora de redes de agua regenerada, riego y baldeo, recursos alternativos, viajes de agua, arroyos, fuentes e instalaciones hidráulicas</t>
  </si>
  <si>
    <t>REL-0474</t>
  </si>
  <si>
    <t>131/2024/36386|6</t>
  </si>
  <si>
    <t>|INESCO S.A.|</t>
  </si>
  <si>
    <t>Desarrollo del sistema avanzado SIMAD para diagnóstico, simulación y evaluación de emisiones (2 lotes)</t>
  </si>
  <si>
    <t>NOMMON SOLUTIONS AND TECHNOLOGIES, S.L.</t>
  </si>
  <si>
    <t>Desarrollo del simulador SIMAD de escenarios de fuentes emisoras de contaminantes atmosféricos en Madrid.</t>
  </si>
  <si>
    <t>Ámbito municipal; simulación y estudios de calidad del aire.</t>
  </si>
  <si>
    <t>Finalización ordinaria publicada 15/06/2026; no se ha documentado prórroga posterior. Estudio municipal documenta ejecución histórica.</t>
  </si>
  <si>
    <t>Lote 2 adjudicado a Nommon; fecha final ordinaria publicada 15/06/2026. CONTRATO HISTÓRICO: no presentar como vigente sin resolución de prórroga. | CONTROL DOCUMENTAL 21/10/2026: Dos lotes identificados. Calidad del aire: ENVIRA lote 1 y NOMMON lote 2. Verificar la prórroga antes de señalar vigencia. [Base de evidencia: Datos confrontados con referencias aportadas; no hay resolución individual corroborada]</t>
  </si>
  <si>
    <t>https://www.madrid.es/UnidadesDescentralizadas/Sostenibilidad/EspeInf/MOVEN/Ficheros/AYTOMAD_EstudioParqueCirculante2024.pdf
https://contratos.gobierto.es/licitaciones/1548448
https://contrataciondelestado.es/wps/wcm/connect/PLACE_es/Site/area/docAccCmpnt?DocumentIdParam=2cb03986-02dc-4deb-8434-b60c7cd35bef&amp;cmpntname=GetDocumentsById&amp;source=library&amp;srv=cmpnt</t>
  </si>
  <si>
    <t>REL-0475</t>
  </si>
  <si>
    <t>300/2021/00714|2</t>
  </si>
  <si>
    <t>FIN ORDINARIO HISTÓRICO 15/06/2026</t>
  </si>
  <si>
    <t>CONTRATO ADJUDICADO · VIGENCIA ACTUAL NO ACREDITADA</t>
  </si>
  <si>
    <t>Fin ordinario de fuente secundaria; nueva prórroga no verificada</t>
  </si>
  <si>
    <t>|NOMMON SOLUTIONS AND TECHNOLOGIES, S.L.|</t>
  </si>
  <si>
    <t>Mantenimiento de equipamientos municipales</t>
  </si>
  <si>
    <t>Juntas Municipales de Distrito (órganos territoriales; no Área de Gobierno)</t>
  </si>
  <si>
    <t>Distrito de Fuencarral-El Pardo</t>
  </si>
  <si>
    <t>Unidad gestora no acreditada por documento</t>
  </si>
  <si>
    <t>Mantenimiento integral de centros educativos, deportivos, edificios municipales y zonas ajardinadas del distrito (4 lotes)</t>
  </si>
  <si>
    <t>300/2024/00473</t>
  </si>
  <si>
    <t>CLECE FS, S.A.</t>
  </si>
  <si>
    <t>Mantenimiento de centros educativos y colegios públicos</t>
  </si>
  <si>
    <t>Equipamientos adscritos a Fuencarral-El Pardo</t>
  </si>
  <si>
    <t>No consta adscripción a un Área de Gobierno: adjudica el propio Distrito</t>
  </si>
  <si>
    <t>Lote adjudicado 30/12/2024; duración prevista 30 meses. Inicio y fin efectivos sin acreditar. Acuerdo/servicio no debe confundirse con obras individualizadas. Valor estimado total del expediente: 10.633.536,38 €; importe no repartido en esta base. | CONTROL DOCUMENTAL 21/10/2026: Cuatro lotes identificados. Mantenimiento integral en distritos; CLECE FS, ACIERTA, CPI, INGENIERÍA FORESTAL por lote. [Base de evidencia: Ficha individual de publicación / agregador contrastada]</t>
  </si>
  <si>
    <t>https://otevia.es/licitacion/reparacion-y-mantenimiento-distrito-de-fuencarral-el-pardo/300/2024/00473
https://www.alicitar.es/licitacion/6359273/el-objeto-del-presente-pliego-es-regular-las-condiciones-tecnicas-que-han-de-reg</t>
  </si>
  <si>
    <t>REL-0476</t>
  </si>
  <si>
    <t>300/2024/00473|1</t>
  </si>
  <si>
    <t>ADJUDICACIÓN IDENTIFICADA; FIN NO ACREDITADO</t>
  </si>
  <si>
    <t>ACUERDO MARCO ADJUDICADO · ejecución por contratos basados</t>
  </si>
  <si>
    <t>Fechas de inicio/fin efectivo: no acreditadas. Adjudicación/autor. en columna R.</t>
  </si>
  <si>
    <t>ACIERTA ASISTENCIA, S.A.</t>
  </si>
  <si>
    <t>Mantenimiento de centros deportivos e instalaciones deportivas básicas</t>
  </si>
  <si>
    <t>REL-0477</t>
  </si>
  <si>
    <t>300/2024/00473|2</t>
  </si>
  <si>
    <t>|ACIERTA ASISTENCIA, S.A.|</t>
  </si>
  <si>
    <t>CPI INTEGRATED SERVICES, S.A.</t>
  </si>
  <si>
    <t>Mantenimiento y reparación de edificios municipales</t>
  </si>
  <si>
    <t>REL-0478</t>
  </si>
  <si>
    <t>300/2024/00473|3</t>
  </si>
  <si>
    <t>|CPI INTEGRATED SERVICES, S.A.|</t>
  </si>
  <si>
    <t>INGENIERÍA FORESTAL, S.A.</t>
  </si>
  <si>
    <t>Conservación de zonas verdes y superficies ajardinadas en equipamientos del distrito</t>
  </si>
  <si>
    <t>Lote adjudicado 29/01/2025; duración prevista 30 meses. Inicio y fin efectivos sin acreditar. Acuerdo/servicio no debe confundirse con obras individualizadas. Valor estimado total del expediente: 10.633.536,38 €; importe no repartido en esta base. | CONTROL DOCUMENTAL 21/10/2026: Cuatro lotes identificados. Mantenimiento integral en distritos; CLECE FS, ACIERTA, CPI, INGENIERÍA FORESTAL por lote. [Base de evidencia: Ficha individual de publicación / agregador contrastada]</t>
  </si>
  <si>
    <t>REL-0479</t>
  </si>
  <si>
    <t>300/2024/00473|4</t>
  </si>
  <si>
    <t>|INGENIERÍA FORESTAL, S.A.|</t>
  </si>
  <si>
    <t>Obras de edificios y espacios públicos</t>
  </si>
  <si>
    <t>Distrito de Usera</t>
  </si>
  <si>
    <t>Acuerdo marco de obras de reforma, reparación y conservación de edificios y espacios públicos del Distrito de Usera (4 lotes)</t>
  </si>
  <si>
    <t>113/2025/03607</t>
  </si>
  <si>
    <t>UGARTE FEIJOO, S.A.</t>
  </si>
  <si>
    <t>Obras en colegios y centros educativos</t>
  </si>
  <si>
    <t>Distrito de Usera; encargos ejecutados solo mediante contratos basados</t>
  </si>
  <si>
    <t>Adjudicación del lote 03/09/2026. Acuerdo marco de dos años previstos; sin inicio/fin efectivos de las obras basadas acreditados. Valor estimado conjunto: 12.342.506 €. No atribuir a un lote específico el importe total. | FUENTE MUNICIPAL 21/10/2026: el acuerdo marco de Usera figura adjudicado el 03/09/2026. Inicio de cada obra basada no equivale a fecha del acuerdo. | CONTROL DOCUMENTAL 21/10/2026: Cuatro lotes adjudicados. Acuerdo marco distrito USERA: UGARTE lotes 1-2, UTE ACEINSA-RHIVER-ELÍAS VARAS lote 3, AZVI lote 4. [Base de evidencia: Portal municipal / resolución o resultado oficial consultado]</t>
  </si>
  <si>
    <t>https://el-vinculo.com/licitacion/acuerdo-marco-de-las-obras-de-reforma-reparacion-y-conservacion-del-conjunto-de-5513554
https://gobierto-elb-dbfe699cce09029a.elb.eu-south-2.amazonaws.com/licitaciones/5033276
https://contratacion.madrid.es/sistemas-de-racionalizacion/</t>
  </si>
  <si>
    <t>REL-0480</t>
  </si>
  <si>
    <t>113/2025/03607|1</t>
  </si>
  <si>
    <t>|UGARTE FEIJOO, S.A.|</t>
  </si>
  <si>
    <t>Obras en centros deportivos e instalaciones deportivas</t>
  </si>
  <si>
    <t>REL-0481</t>
  </si>
  <si>
    <t>113/2025/03607|2</t>
  </si>
  <si>
    <t>UTE ACEINSA MOVILIDAD – RHIVER ELEVADORES – CALEFACCIONES ELÍAS VARAS</t>
  </si>
  <si>
    <t>Obras en otros edificios municipales</t>
  </si>
  <si>
    <t>REL-0482</t>
  </si>
  <si>
    <t>113/2025/03607|3</t>
  </si>
  <si>
    <t>ACEINSA | RHIVER ELEVADORES, S.L. | CALEFACCIONES ELÍAS VARAS, S.L.</t>
  </si>
  <si>
    <t>|ACEINSA|RHIVER ELEVADORES, S.L.|CALEFACCIONES ELÍAS VARAS, S.L.|</t>
  </si>
  <si>
    <t>AZVI, S.A.U.</t>
  </si>
  <si>
    <t>Obras en espacios públicos, pavimentación, zonas verdes y vías públicas</t>
  </si>
  <si>
    <t>REL-0483</t>
  </si>
  <si>
    <t>113/2025/03607|4</t>
  </si>
  <si>
    <t>|AZVI, S.A.U.|</t>
  </si>
  <si>
    <t>Distrito de Hortaleza</t>
  </si>
  <si>
    <t>Acuerdo marco de obras de construcción, reforma y conservación de edificios y espacios públicos de Hortaleza (4 lotes)</t>
  </si>
  <si>
    <t>118/2025/00934</t>
  </si>
  <si>
    <t>EULEN, S.A.</t>
  </si>
  <si>
    <t>Obras en centros educativos</t>
  </si>
  <si>
    <t>Distrito de Hortaleza; acuerdo marco, obras solo mediante contratos basados</t>
  </si>
  <si>
    <t>Adjudicación del lote 10/06/2026; 24 meses previstos. Inicio y fin de obras específicas no acreditados. Valor estimado total del marco: 34.823.878,12 €. | CONTROL DOCUMENTAL 21/10/2026: Tres adjudicaciones identificadas; cuarto lote sin resultado. AM HORTALEZA: EULEN lote 1, ACSA lote 2, ORTIZ lote 3. La relación consultada no publica adjudicatario del lote 4. [Base de evidencia: Portal municipal / resolución o resultado oficial consultado] | CONTRASTE ADICIONAL 21/10/2026: ACUERDO MARCO HORTALEZA: no atribuir lote 4 a los adjudicatarios de lotes 1, 2 y 3; buscar la resolución específica del lote 4.</t>
  </si>
  <si>
    <t>https://licitalens.com/licitacion/17319520
https://contratacion.madrid.es/sistemas-de-racionalizacion/
https://contrataciondelestado.es/wps/poc?uri=deeplink:detalle_licitacion&amp;idEvl=8QsnCMTBfR2LAncw3qdZkA%3D%3D</t>
  </si>
  <si>
    <t>REL-0484</t>
  </si>
  <si>
    <t>118/2025/00934|1</t>
  </si>
  <si>
    <t>EULEN</t>
  </si>
  <si>
    <t>Sociedad adjudicataria; matriz sin acreditar salvo familia documentada</t>
  </si>
  <si>
    <t>|EULEN|</t>
  </si>
  <si>
    <t>ACSA OBRAS E INFRAESTRUCTURAS, S.A.U.</t>
  </si>
  <si>
    <t>Obras en centros deportivos e instalaciones deportivas básicas</t>
  </si>
  <si>
    <t>REL-0485</t>
  </si>
  <si>
    <t>118/2025/00934|2</t>
  </si>
  <si>
    <t>|ACSA OBRAS E INFRAESTRUCTURAS, S.A.U.|</t>
  </si>
  <si>
    <t>ORTIZ CONSTRUCCIONES Y PROYECTOS, S.A.</t>
  </si>
  <si>
    <t>Obras en edificios administrativos, sociales y culturales</t>
  </si>
  <si>
    <t>Adjudicación del lote 16/06/2026; 24 meses previstos. Inicio y fin de obras específicas no acreditados. Valor estimado total del marco: 34.823.878,12 €. | CONTROL DOCUMENTAL 21/10/2026: Tres adjudicaciones identificadas; cuarto lote sin resultado. AM HORTALEZA: EULEN lote 1, ACSA lote 2, ORTIZ lote 3. La relación consultada no publica adjudicatario del lote 4. [Base de evidencia: Portal municipal / resolución o resultado oficial consultado] | CONTRASTE ADICIONAL 21/10/2026: ACUERDO MARCO HORTALEZA: no atribuir lote 4 a los adjudicatarios de lotes 1, 2 y 3; buscar la resolución específica del lote 4.</t>
  </si>
  <si>
    <t>REL-0486</t>
  </si>
  <si>
    <t>118/2025/00934|3</t>
  </si>
  <si>
    <t>Grupo de empresa contrastado en fuente corporativa: https://www.grupoortiz.com/</t>
  </si>
  <si>
    <t>Sin adjudicatario del lote acreditado</t>
  </si>
  <si>
    <t>Obras en espacios públicos: zonas verdes y vías públicas</t>
  </si>
  <si>
    <t>El expediente figura adjudicado globalmente, pero no se ha confirmado adjudicatario del lote 4; 24 meses previstos. Inicio y fin de obras específicas no acreditados. Valor estimado total del marco: 34.823.878,12 €. | LOTE 4, COMPROBACIÓN 21/10/2026: la ficha actualizada el 15/10 lista adjudicatarios para lotes 1–3, pero no publica adjudicatario del lote 4. No se atribuye empresa sin anuncio o resolución. | CONTROL DOCUMENTAL 21/10/2026: Tres adjudicaciones identificadas; cuarto lote sin resultado. AM HORTALEZA: EULEN lote 1, ACSA lote 2, ORTIZ lote 3. La relación consultada no publica adjudicatario del lote 4. [Base de evidencia: Portal municipal / resolución o resultado oficial consultado] | CONTRASTE ADICIONAL 21/10/2026: ACUERDO MARCO HORTALEZA: no atribuir lote 4 a los adjudicatarios de lotes 1, 2 y 3; buscar la resolución específica del lote 4.</t>
  </si>
  <si>
    <t>REL-0487</t>
  </si>
  <si>
    <t>118/2025/00934|4</t>
  </si>
  <si>
    <t>ADJUDICACIÓN NO ACREDITADA</t>
  </si>
  <si>
    <t>LICITACIÓN/LOTE SIN ADJUDICATARIO ACREDITADO</t>
  </si>
  <si>
    <t>Distrito de Villaverde</t>
  </si>
  <si>
    <t>Acuerdo marco de obras de reforma, reparación y conservación de centros educativos, instalaciones deportivas y espacios públicos de Villaverde (2 lotes)</t>
  </si>
  <si>
    <t>112/2025/01068</t>
  </si>
  <si>
    <t>CONSTRUCTORA SAN JOSÉ, S.A.</t>
  </si>
  <si>
    <t>Distrito de Villaverde; ámbito del lote</t>
  </si>
  <si>
    <t>Adjudicación 27/02/2026; formalización publicada 30/03/2026. Duración prevista 2 años; fechas efectivas de obras basadas no acreditadas. Importe conjunto estimado del marco: 22.379.751,80 €; no asignar precio total a cada lote. | FUENTE MUNICIPAL 21/10/2026: los lotes 1 y 2 y sus adjudicatarios figuran en resultados del Ayuntamiento; los contratos basados requieren comprobación específica. | CONTROL DOCUMENTAL 21/10/2026: Dos lotes adjudicados. AM VILLAVERDE (no Usera): CONSTRUCTORA SAN JOSÉ lote 1, EULEN lote 2. [Base de evidencia: Portal municipal / resolución o resultado oficial consultado]</t>
  </si>
  <si>
    <t>https://el-vinculo.com/licitacion/acuerdo-marco-de-las-obra-de-reforma-reparacion-y-conservacion-de-los-centros-ed-5456149
https://www.alicitar.es/licitacion/14449/acuerdo-marco-de-las-obra-de-reforma-reparacion-y-conservacion-de-los-centros-ed
https://contratacion.madrid.es/ultimos-resultados/</t>
  </si>
  <si>
    <t>REL-0488</t>
  </si>
  <si>
    <t>112/2025/01068|1</t>
  </si>
  <si>
    <t>SAN JOSE</t>
  </si>
  <si>
    <t>|SAN JOSE|</t>
  </si>
  <si>
    <t>Obras en instalaciones deportivas básicas y espacios públicos</t>
  </si>
  <si>
    <t>REL-0489</t>
  </si>
  <si>
    <t>112/2025/01068|2</t>
  </si>
  <si>
    <t>Limpieza y equipamientos urbanos</t>
  </si>
  <si>
    <t>Conservación de áreas infantiles, áreas de mayores, circuitos deportivos y zonas caninas municipales</t>
  </si>
  <si>
    <t>300/2024/00001</t>
  </si>
  <si>
    <t>UTE ÁREAS INFANTILES MADRID (VALORIZA – CONTENUR)</t>
  </si>
  <si>
    <t>Inspección, limpieza, mantenimiento preventivo y correctivo de equipamientos infantiles, deportivos y zonas caninas</t>
  </si>
  <si>
    <t>Ámbito municipal; no asignar ejecución puntual a cada distrito</t>
  </si>
  <si>
    <t>Ámbito municipal no equivale a actuación individualizada en todos los distritos</t>
  </si>
  <si>
    <t>Adjudicación 19/07/2024 a UTE Valoriza–Contenur. Comprobar la vigencia actual y prórrogas; no convertir adjudicación en ejecución 2026. Adjudicataria: UTE. No atribuir el contrato íntegro a cada integrante. | CONTROL DOCUMENTAL 21/10/2026: Adjudicataria UTE identificada. Conservación áreas infantiles y caninas: UTE VALORIZA-CONTENUR; sin confundir con mantenimiento parques históricos. [Base de evidencia: Ficha individual de publicación / agregador contrastada]</t>
  </si>
  <si>
    <t>https://www.alicitar.es/licitacion/6155290/conservacion-de-las-areas-de-juegos-infantiles-areas-de-mayores-circuitos-deport
https://www.madrid.es/portales/munimadrid/es/Inicio/Medio-ambiente/Contrato-de-servicios-de-conservacion-de-las-areas-de-juegos-infantiles-areas-de-mayores-circuitos-deportivos-elementales-y-zonas-caninas-municipales/</t>
  </si>
  <si>
    <t>REL-0490</t>
  </si>
  <si>
    <t>300/2024/00001|Sin lotes</t>
  </si>
  <si>
    <t>VALORIZA | CONTENUR, S.L.</t>
  </si>
  <si>
    <t>SERVICIO ADJUDICADO · VIGENCIA EFECTIVA SIN ACREDITAR</t>
  </si>
  <si>
    <t>|VALORIZA|CONTENUR, S.L.|</t>
  </si>
  <si>
    <t>Mantenimiento y limpieza de las papeleras instaladas en la ciudad de Madrid</t>
  </si>
  <si>
    <t>300/2024/00628</t>
  </si>
  <si>
    <t>SULO IBÉRICA, S.A.</t>
  </si>
  <si>
    <t>Conservación, limpieza y reposición de papeleras Cibeles, de zonas verdes, dispensadores, aros para eventos y papeleras compactadoras solares</t>
  </si>
  <si>
    <t>Ámbito municipal; emplazamientos particulares según PPT</t>
  </si>
  <si>
    <t>Adjudicación 29/09/2025. Vigencia efectiva y prórrogas no verificadas individualmente; no deducir inicio de la fecha de adjudicación. Valor estimado 42.475.854 € según la ficha del procedimiento; no equivale a precio adjudicado. | CONTROL DOCUMENTAL 21/10/2026: Adjudicataria identificada. SULO IBÉRICA en mantenimiento de papeleras urbanas. [Base de evidencia: Portal municipal / resolución o resultado oficial consultado]</t>
  </si>
  <si>
    <t>https://www.madrid.es/portales/munimadrid/es/Inicio/Medio-ambiente/Contrato-de-servicios-de-mantenimiento-y-limpieza-de-las-papeleras-instaladas-en-la-ciudad-de-Madrid/
https://www.pliegos.es/licitacion/mantenimiento-y-limpieza-de-las-papeleras-instaladas-en-la-ciudad-de--af35247a0f</t>
  </si>
  <si>
    <t>REL-0491</t>
  </si>
  <si>
    <t>300/2024/00628|Sin lotes</t>
  </si>
  <si>
    <t>SULO</t>
  </si>
  <si>
    <t>Grupo de empresa contrastado en fuente corporativa: https://sulo.com/contact/</t>
  </si>
  <si>
    <t>|SULO|</t>
  </si>
  <si>
    <t>Tratamiento de residuos / Valdemingómez</t>
  </si>
  <si>
    <t>Dirección General del Parque Tecnológico de Valdemingómez</t>
  </si>
  <si>
    <t>Unidad de explotación de la planta no acreditada en documento</t>
  </si>
  <si>
    <t>Concesión de tratamiento de residuos y valorización energética en la planta de Las Lomas</t>
  </si>
  <si>
    <t>511/2024/41992</t>
  </si>
  <si>
    <t>Explotación y modernización de Las Lomas, recuperación de materiales y valorización energética; inversión mínima obligatoria prevista de 100 millones</t>
  </si>
  <si>
    <t>Planta Las Lomas, Parque Tecnológico de Valdemingómez, distrito Villa de Vallecas</t>
  </si>
  <si>
    <t>Sin adjudicación/empresa acreditada</t>
  </si>
  <si>
    <t>Contrato autorizado 19/02/2026, sin adjudicación acreditada en fuentes consultadas. Duración prevista 15 años; no se inventan fechas efectivas. Valor estimado del plan 2026: aprox. 871 M€; presupuesto autorizado 614 M€ (cifras de naturaleza distinta). | ESTADO COMPROBADO 21/10/2026: el portal municipal conserva el expediente en relación de licitaciones; en fuentes consultadas no se acredita adjudicación. | CONTROL DOCUMENTAL 21/10/2026: En evaluación; adjudicatario no publicado. Concesión de Las Lomas: publicación PLACSP abierta, fichas actualizadas en octubre 2026 continúan en evaluación, sin ganador identificado. [Base de evidencia: Estado del procedimiento contrastado en fichas de contratación] | CONTRASTE ADICIONAL 21/10/2026: FUENTE MUNICIPAL 2025: contiene propuesta de estructura de costes y alegaciones para planta Las Lomas. Este documento NO es resolución de adjudicación de la concesión.</t>
  </si>
  <si>
    <t>https://www.madrid.es/portales/munimadrid/es/Inicio/Actualidad/Noticias/Autorizado-el-contrato-para-el-tratamiento-de-residuos-en-Las-Lomas-la-alternativa-mas-sostenible-hasta-llegar-al-objetivo-de-vertido-cero/
https://sede.madrid.es/UnidadesDescentralizadas/AdministracionElectronica/Tramites/Ficheros2025/EstructuraCostesLasLomasValdemingomez.pdf
https://contratacion.madrid.es/en-licitacion/
https://www.alicitar.es/en/tender/9148738/tratamiento-de-residuos-domesticos-con-recuperacion-de-materiales-y-valorizacion
https://sede.madrid.es/UnidadesDescentralizadas/AdministracionElectronica/Tramites/Ficheros2025/511_2024_41992_InformeTecnicoValoracionAlegaciones.pdf</t>
  </si>
  <si>
    <t>REL-0492</t>
  </si>
  <si>
    <t>511/2024/41992|Sin lotes</t>
  </si>
  <si>
    <t>MAESTRO DE EMPRESAS Y UTE · CONTRATOS MUNICIPALES</t>
  </si>
  <si>
    <t>Sin filtro|Sin filtro</t>
  </si>
  <si>
    <t>FILTRAR GRUPO → SOCIEDAD/UTE → CONTRATO: utiliza las flechas de filtro en la fila 13. Se incluyen lotes y distritos, no solo números de expedientes.</t>
  </si>
  <si>
    <t>Dirección General de Conservación de Vías Públicas|Sin filtro</t>
  </si>
  <si>
    <t>Juntas Municipales de Distrito (órganos territoriales; no Área de Gobierno)|Sin filtro</t>
  </si>
  <si>
    <t>Juntas Municipales de Distrito (órganos territoriales; no Área de Gobierno)|Distrito de Fuencarral-El Pardo</t>
  </si>
  <si>
    <t>Dirección General de Conservación de Vías Públicas|Subdirección General de Conservación de Vías Públicas</t>
  </si>
  <si>
    <t>Juntas Municipales de Distrito (órganos territoriales; no Área de Gobierno)|Unidad gestora no acreditada por documento</t>
  </si>
  <si>
    <t>Juntas Municipales de Distrito (órganos territoriales; no Área de Gobierno)|Distrito de Hortaleza</t>
  </si>
  <si>
    <t>Ejemplo: en GRUPO selecciona ACCIONA; en SOCIEDAD/COMPONENTE comprueba las entidades y en CONTRATO sus adjudicaciones (directas o vía UTE).</t>
  </si>
  <si>
    <t>Dirección General de Conservación de Vías Públicas|Subdirección General de Instalaciones Urbanas</t>
  </si>
  <si>
    <t>Sin filtro|Subdirección General de Calidad y Evaluación Ambiental</t>
  </si>
  <si>
    <t>Juntas Municipales de Distrito (órganos territoriales; no Área de Gobierno)|Distrito de Usera</t>
  </si>
  <si>
    <t>Dirección General de Contratación y Servicios|Sin filtro</t>
  </si>
  <si>
    <t>Sin filtro|Subdirección General de Conservación de Vías Públicas</t>
  </si>
  <si>
    <t>Juntas Municipales de Distrito (órganos territoriales; no Área de Gobierno)|Distrito de Villaverde</t>
  </si>
  <si>
    <t>AVISO: los grupos por coincidencia nominal y las UTE no acreditan por sí solos propiedad societaria. Vínculos ACCIONA basados en cuentas consolidadas 2025.</t>
  </si>
  <si>
    <t>Dirección General de Contratación y Servicios|Unidad gestora de suministros centralizados</t>
  </si>
  <si>
    <t>Sin filtro|Subdirección General de Conservación de Zonas Verdes y Arbolado Urbano</t>
  </si>
  <si>
    <t>Dirección General de Gestión del Agua y Zonas Verdes|Sin filtro</t>
  </si>
  <si>
    <t>Sin filtro|Subdirección General de Energía y Cambio Climático</t>
  </si>
  <si>
    <t>Sin filtro|Dirección General de Conservación de Vías Públicas</t>
  </si>
  <si>
    <t>Dirección General de Gestión del Agua y Zonas Verdes|Subdirección General de Conservación de Zonas Verdes y Arbolado Urbano</t>
  </si>
  <si>
    <t>Sin filtro|Subdirección General de Gestión del Agua</t>
  </si>
  <si>
    <t>Sin filtro|Dirección General de Contratación y Servicios</t>
  </si>
  <si>
    <t>Dirección General de Gestión del Agua y Zonas Verdes|Subdirección General de Gestión del Agua</t>
  </si>
  <si>
    <t>Sin filtro|Subdirección General de Infraestructuras Urbanas</t>
  </si>
  <si>
    <t>Sin filtro|Dirección General de Gestión del Agua y Zonas Verdes</t>
  </si>
  <si>
    <t>Dirección General de Gestión del Agua y Zonas Verdes|Subdirección General de Parques y Viveros</t>
  </si>
  <si>
    <t>Sin filtro|Subdirección General de Instalaciones Urbanas</t>
  </si>
  <si>
    <t>Sin filtro|Dirección General de Gestión y Vigilancia de la Circulación</t>
  </si>
  <si>
    <t>CALEFACCIONES ELÍAS VARAS, S.L.</t>
  </si>
  <si>
    <t>Dirección General de Gestión y Vigilancia de la Circulación|Sin filtro</t>
  </si>
  <si>
    <t>Sin filtro|Subdirección General de Limpieza y Equipamientos</t>
  </si>
  <si>
    <t>Sin filtro|Dirección General de Servicios de Limpieza y Residuos</t>
  </si>
  <si>
    <t>GRUPO / FAMILIA</t>
  </si>
  <si>
    <t>SOCIEDAD / COMPONENTE</t>
  </si>
  <si>
    <t>ADJUDICATARIO / UTE</t>
  </si>
  <si>
    <t>TIPO</t>
  </si>
  <si>
    <t>RELACIÓN CON EL GRUPO</t>
  </si>
  <si>
    <t>EXPEDIENTE</t>
  </si>
  <si>
    <t>LOTE</t>
  </si>
  <si>
    <t>CONTRATO Y PRESTACIÓN</t>
  </si>
  <si>
    <t>DISTRITO</t>
  </si>
  <si>
    <t>SERVICIO</t>
  </si>
  <si>
    <t>ESTADO / FECHA</t>
  </si>
  <si>
    <t>FUENTE DOCUMENTAL</t>
  </si>
  <si>
    <t>Dirección General de Gestión y Vigilancia de la Circulación|Subdirección General de Regulación de la Circulación y del Servicio del Taxi</t>
  </si>
  <si>
    <t>Sin filtro|Subdirección General de Parques y Viveros</t>
  </si>
  <si>
    <t>Sin filtro|Dirección General de Sostenibilidad y Control Ambiental</t>
  </si>
  <si>
    <t>Empresa</t>
  </si>
  <si>
    <t>Familia por nombre; matriz/CIF por verificar</t>
  </si>
  <si>
    <t>FIN REGISTRADO POSTERIOR A 16/10/2026 | Contraste 21/10/2026: Adjudicación y fin publicados | CONTRASTE ADICIONAL 21/10/2026: FUENTE MUNICIPAL: la concesión registra adjudicación diferenciada en los 4 lotes (FCC, UTE VAO, UTE Sur, CONTENUR) y fin contractual 31/10/2028.</t>
  </si>
  <si>
    <t>https://contratacion.madrid.es/concesiones/</t>
  </si>
  <si>
    <t>Dirección General de Servicios de Limpieza y Residuos|Sin filtro</t>
  </si>
  <si>
    <t>Sin filtro|Subdirección General de Recogida de Residuos</t>
  </si>
  <si>
    <t>Sin filtro|Dirección General del Espacio Público, Obras e Infraestructuras</t>
  </si>
  <si>
    <t>Agrupación por denominación de la sociedad / componente para consulta; NO acredita independencia ni ausencia de empresa matriz. Matriz sin comprobar.</t>
  </si>
  <si>
    <t>Dirección General de Servicios de Limpieza y Residuos|Subdirección General de Limpieza y Equipamientos</t>
  </si>
  <si>
    <t>Sin filtro|Subdirección General de Regulación de la Circulación y del Servicio del Taxi</t>
  </si>
  <si>
    <t>Sin filtro|Dirección General del Parque Tecnológico de Valdemingómez</t>
  </si>
  <si>
    <t>PREZERO ESPAÑA, S.A.U.</t>
  </si>
  <si>
    <t>UTE</t>
  </si>
  <si>
    <t>UTE: integrante acreditado en documentación contractual</t>
  </si>
  <si>
    <t>https://contrataciondelestado.es/wps/wcm/connect/PLACE_es/Site/area/docAccCmpnt?DocumentIdParam=9b7f9793-19a5-49da-b8c1-fafab2268c42&amp;cmpntname=GetDocumentsById&amp;source=library&amp;srv=cmpnt
https://contratacion.madrid.es/concesiones/</t>
  </si>
  <si>
    <t>Dirección General de Servicios de Limpieza y Residuos|Subdirección General de Recogida de Residuos</t>
  </si>
  <si>
    <t>Sin filtro|Subdirección General de Sostenibilidad</t>
  </si>
  <si>
    <t>Sin filtro|Distrito de Fuencarral-El Pardo</t>
  </si>
  <si>
    <t>CONTENUR, S.L.</t>
  </si>
  <si>
    <t>URBASER</t>
  </si>
  <si>
    <t>URBASER, S.A.</t>
  </si>
  <si>
    <t>Dirección General de Sostenibilidad y Control Ambiental|Sin filtro</t>
  </si>
  <si>
    <t>Sin filtro|Unidad de explotación de la planta no acreditada en documento</t>
  </si>
  <si>
    <t>Sin filtro|Distrito de Hortaleza</t>
  </si>
  <si>
    <t>FIN REGISTRADO POSTERIOR A 16/10/2026 | Contraste 21/10/2026: Adjudicataria identificada | CONTRASTE ADICIONAL 21/10/2026: ADJUDICACIÓN: APORTA PLATAFORMA COOPERATIVA SCCL, resolución de 27/01/2026, contrastada con publicación de licitación.</t>
  </si>
  <si>
    <t>Dirección General de Sostenibilidad y Control Ambiental|Subdirección General de Calidad y Evaluación Ambiental</t>
  </si>
  <si>
    <t>Sin filtro|Unidad gestora de suministros centralizados</t>
  </si>
  <si>
    <t>Sin filtro|Distrito de Usera</t>
  </si>
  <si>
    <t>FIN REGISTRADO POSTERIOR A 16/10/2026 | Contraste 21/10/2026: Adjudicataria identificada | CONTRASTE ADICIONAL 21/10/2026: ADJUDICACIÓN: PREZERO ESPAÑA SA, 24/10/2024. El Ayuntamiento dispone de ficha oficial del contrato; compruébese formalización para fechas exactas.</t>
  </si>
  <si>
    <t>https://contratos.gobierto.es/licitaciones/4336157
https://contrataciondelestado.es/FileSystem/servlet/GetDocumentByIdServlet?DocumentIdParam=DX1ZAvwzaIUStPoibgXBVeTGIJOgffe86rdC19dt4dT5lTaSGg5Vq9cT4fT6Jv75jYAipcFv6g1zHenSv4lINo4IQyA7QON0MW%2BNRBCDa6cZyAJWGsSt0OzTSTyw9JAs&amp;cifrado=QUC1GjXXSiLkydRHJBmbpw%3D%3D
https://www.madrid.es/portales/munimadrid/es/Inicio/Medio-ambiente/Recogida-de-residuos/Contrato-de-servicios-de-explotacion-de-puntos-limpios-centros-de-reutilizacion-de-residuos-y-saneamiento-de-viviendas-en-la-ciudad-de-Madrid/?vgnextchannel=f81379ed268fe410VgnVCM1000000b205a0aRCRD&amp;vgnextfmt=default&amp;vgnextoid=8177150aabc46710VgnVCM2000001f4a900aRCRD</t>
  </si>
  <si>
    <t>Dirección General de Sostenibilidad y Control Ambiental|Subdirección General de Energía y Cambio Climático</t>
  </si>
  <si>
    <t>Sin filtro|Unidad gestora no acreditada por documento</t>
  </si>
  <si>
    <t>Sin filtro|Distrito de Villaverde</t>
  </si>
  <si>
    <t>TALHER consta como filial del Grupo Clece Fuente: https://clece.es/es/listado-clece-filiales/</t>
  </si>
  <si>
    <t>ADJUDICADO 30/09/2026 · SIN FORMALIZACIÓN VERIFICADA | Contraste 21/10/2026: Adjudicación localizada</t>
  </si>
  <si>
    <t>https://licitalens.com/empresa/A08602815
https://www.madrid.es/portales/munimadrid/es/Inicio/El-Ayuntamiento/Publicaciones/Listado-de-Publicaciones/Contratos-de-Recogida-de-Residuos/?vgnextchannel=f1aebadb6b997010VgnVCM100000dc0ca8c0RCRD&amp;vgnextfmt=default&amp;vgnextoid=429f71adf3d56910VgnVCM2000001f4a900aRCRD
https://contratos.gobierto.es/licitaciones/5108890</t>
  </si>
  <si>
    <t>Dirección General de Sostenibilidad y Control Ambiental|Subdirección General de Sostenibilidad</t>
  </si>
  <si>
    <t>Área de Gobierno de Economía, Innovación y Hacienda|Sin filtro</t>
  </si>
  <si>
    <t>Área de Gobierno de Economía, Innovación y Hacienda|Dirección General de Contratación y Servicios</t>
  </si>
  <si>
    <t>Dirección General del Espacio Público, Obras e Infraestructuras|Sin filtro</t>
  </si>
  <si>
    <t>Área de Gobierno de Economía, Innovación y Hacienda|Unidad gestora de suministros centralizados</t>
  </si>
  <si>
    <t>Dirección General del Espacio Público, Obras e Infraestructuras|Subdirección General de Infraestructuras Urbanas</t>
  </si>
  <si>
    <t>Área de Gobierno de Obras y Equipamientos|Sin filtro</t>
  </si>
  <si>
    <t>Área de Gobierno de Obras y Equipamientos|Dirección General de Conservación de Vías Públicas</t>
  </si>
  <si>
    <t>IMPAOR, S.A.</t>
  </si>
  <si>
    <t>Dirección General del Parque Tecnológico de Valdemingómez|Sin filtro</t>
  </si>
  <si>
    <t>Área de Gobierno de Obras y Equipamientos|Subdirección General de Conservación de Vías Públicas</t>
  </si>
  <si>
    <t>Área de Gobierno de Obras y Equipamientos|Dirección General del Espacio Público, Obras e Infraestructuras</t>
  </si>
  <si>
    <t>Dirección General del Parque Tecnológico de Valdemingómez|Unidad de explotación de la planta no acreditada en documento</t>
  </si>
  <si>
    <t>Área de Gobierno de Obras y Equipamientos|Subdirección General de Infraestructuras Urbanas</t>
  </si>
  <si>
    <t>Distrito de Fuencarral-El Pardo|Sin filtro</t>
  </si>
  <si>
    <t>Área de Gobierno de Obras y Equipamientos|Subdirección General de Instalaciones Urbanas</t>
  </si>
  <si>
    <t>Área de Gobierno de Urbanismo, Medio Ambiente y Movilidad|Dirección General de Gestión del Agua y Zonas Verdes</t>
  </si>
  <si>
    <t>Distrito de Fuencarral-El Pardo|Unidad gestora no acreditada por documento</t>
  </si>
  <si>
    <t>Área de Gobierno de Urbanismo, Medio Ambiente y Movilidad|Sin filtro</t>
  </si>
  <si>
    <t>Área de Gobierno de Urbanismo, Medio Ambiente y Movilidad|Dirección General de Gestión y Vigilancia de la Circulación</t>
  </si>
  <si>
    <t>Distrito de Hortaleza|Sin filtro</t>
  </si>
  <si>
    <t>Área de Gobierno de Urbanismo, Medio Ambiente y Movilidad|Subdirección General de Calidad y Evaluación Ambiental</t>
  </si>
  <si>
    <t>Área de Gobierno de Urbanismo, Medio Ambiente y Movilidad|Dirección General de Servicios de Limpieza y Residuos</t>
  </si>
  <si>
    <t>Distrito de Hortaleza|Unidad gestora no acreditada por documento</t>
  </si>
  <si>
    <t>Área de Gobierno de Urbanismo, Medio Ambiente y Movilidad|Subdirección General de Conservación de Zonas Verdes y Arbolado Urbano</t>
  </si>
  <si>
    <t>Área de Gobierno de Urbanismo, Medio Ambiente y Movilidad|Dirección General de Sostenibilidad y Control Ambiental</t>
  </si>
  <si>
    <t>ACCIONA SERVICIOS URBANOS, S.L.</t>
  </si>
  <si>
    <t>UTE: miembro ACCIONA Servicios Urbanos acreditado</t>
  </si>
  <si>
    <t>https://contrataciondelestado.es/wps/wcm/connect/PLACE_es/Site/area/docAccCmpnt?DocumentIdParam=7e65493f-d713-4e27-b484-d5cb8d18cb9e&amp;cmpntname=GetDocumentsById&amp;source=library&amp;srv=cmpnt
https://contratacion.madrid.es/concesiones/</t>
  </si>
  <si>
    <t>Distrito de Usera|Sin filtro</t>
  </si>
  <si>
    <t>Área de Gobierno de Urbanismo, Medio Ambiente y Movilidad|Subdirección General de Energía y Cambio Climático</t>
  </si>
  <si>
    <t>Área de Gobierno de Urbanismo, Medio Ambiente y Movilidad|Dirección General del Parque Tecnológico de Valdemingómez</t>
  </si>
  <si>
    <t>VALORIZA SERVICIOS MEDIOAMBIENTALES, S.A.</t>
  </si>
  <si>
    <t>Distrito de Usera|Unidad gestora no acreditada por documento</t>
  </si>
  <si>
    <t>Área de Gobierno de Urbanismo, Medio Ambiente y Movilidad|Subdirección General de Gestión del Agua</t>
  </si>
  <si>
    <t>OHL / INGESAN</t>
  </si>
  <si>
    <t>OHL SERVICIOS-INGESAN, S.A.</t>
  </si>
  <si>
    <t>Distrito de Villaverde|Sin filtro</t>
  </si>
  <si>
    <t>Área de Gobierno de Urbanismo, Medio Ambiente y Movilidad|Subdirección General de Limpieza y Equipamientos</t>
  </si>
  <si>
    <t>Distrito de Villaverde|Unidad gestora no acreditada por documento</t>
  </si>
  <si>
    <t>Área de Gobierno de Urbanismo, Medio Ambiente y Movilidad|Subdirección General de Parques y Viveros</t>
  </si>
  <si>
    <t>Área de Gobierno de Urbanismo, Medio Ambiente y Movilidad|Subdirección General de Recogida de Residuos</t>
  </si>
  <si>
    <t>Área de Gobierno de Urbanismo, Medio Ambiente y Movilidad|Subdirección General de Regulación de la Circulación y del Servicio del Taxi</t>
  </si>
  <si>
    <t>Área de Gobierno de Urbanismo, Medio Ambiente y Movilidad|Subdirección General de Sostenibilidad</t>
  </si>
  <si>
    <t>Área de Gobierno de Urbanismo, Medio Ambiente y Movilidad|Unidad de explotación de la planta no acreditada en documento</t>
  </si>
  <si>
    <t>RHIVER ELEVADORES, S.L.</t>
  </si>
  <si>
    <t>SERVEO</t>
  </si>
  <si>
    <t>UTE ACEINSA MOVILIDAD - ETRALUX - URBALUX</t>
  </si>
  <si>
    <t>UTE FERROVIAL ENERGÍA - FCC INDUSTRIAL</t>
  </si>
  <si>
    <t>UTE SERVEO INFRAESTRUCTURAS - FCC INDUSTRIAL - TUNELIA INGENIEROS</t>
  </si>
  <si>
    <t>TPF GETINSA</t>
  </si>
  <si>
    <t>TUNELIA INGENIEROS, S.L.</t>
  </si>
  <si>
    <t>EC INGENIERÍA, S.L.</t>
  </si>
  <si>
    <t>URBALUX</t>
  </si>
  <si>
    <t>Miembro citado en UTE, sin acreditación de matriz ni %</t>
  </si>
  <si>
    <t>FIN REGISTRADO POSTERIOR A 16/10/2026 | Contraste 21/10/2026: Siete lotes relacionados</t>
  </si>
  <si>
    <t>Sociedad de ACCIONA: cuentas consolidadas 2025</t>
  </si>
  <si>
    <t>https://www.acciona.com/content/dam/acciona-global/documentos/juntas-generales/2026/5-ana-cuentas-anuales-consolidadas-2025.pdf
https://contrataciondelestado.es/wps/wcm/connect/PLACE_es/Site/area/docAccCmpnt?DocumentIdParam=e39f9ece-4e4f-42a7-9941-d0f6917b6c66&amp;cmpntname=GetDocumentsById&amp;source=library&amp;srv=cmpnt
https://contratos.gobierto.es/licitaciones/1949358</t>
  </si>
  <si>
    <t>INGENIERIA Y DISENOS TECNICOS SAU (INDITEC)</t>
  </si>
  <si>
    <t>https://www.madrid.es/portales/munimadrid/es/Inicio/El-Ayuntamiento/Arganzuela/Direcciones-y-telefonos/Parque-Madrid-Rio/?vgnextchannel=fbf1283017e28010VgnVCM100000dc0ca8c0RCRD&amp;vgnextfmt=default&amp;vgnextoid=4fec1d25e5356310VgnVCM2000000c205a0aRCRD
https://contrataciondelestado.es/wps/wcm/connect/PLACE_es/Site/area/docAccCmpnt?DocumentIdParam=e39f9ece-4e4f-42a7-9941-d0f6917b6c66&amp;cmpntname=GetDocumentsById&amp;source=library&amp;srv=cmpnt
https://contratos.gobierto.es/licitaciones/1949358</t>
  </si>
  <si>
    <t>EULEN SA</t>
  </si>
  <si>
    <t>INDITEC (PARQUES MADRID LOTE 6)</t>
  </si>
  <si>
    <t>https://www.madrid.es/portales/munimadrid/es/Inicio/Contacto/Direcciones-y-telefonos?distrito=-1&amp;enviar=buscar&amp;tema=5adc04fb38827010VgnVCM100000dc0ca8c0TAXC&amp;thChannel=4b3a171c30036010VgnVCM100000dc0ca8c0RCRD&amp;tipo=e7d7e55a70616310VgnVCM100000171f5a0aTAXC&amp;tipoInstalacion=Parques+forestales+%28Parques+y+jardines%29&amp;vgnextchannel=bfa48ab43d6bb410VgnVCM100000171f5a0aRCRD&amp;vgnextfmt=default
https://contrataciondelestado.es/wps/wcm/connect/PLACE_es/Site/area/docAccCmpnt?DocumentIdParam=e39f9ece-4e4f-42a7-9941-d0f6917b6c66&amp;cmpntname=GetDocumentsById&amp;source=library&amp;srv=cmpnt
https://contratos.gobierto.es/licitaciones/1949358</t>
  </si>
  <si>
    <t>GRUPORAGA pertenece a Grupo Raga, cuya matriz declarada es Ricoteca Servicios y Gestiones, S.L. Fuente: https://gruporaga.com/sobre-nosotros/</t>
  </si>
  <si>
    <t>https://www.madrid.es/portales/munimadrid/es/Inicio/Vivienda-urbanismo-y-obras/Urbanismo/Direcciones-y-telefonos/Vivero-Estufas-de-El-Retiro/?vgnextchannel=fb09c8eb248fe410VgnVCM1000000b205a0aRCRD&amp;vgnextfmt=default&amp;vgnextoid=00be21c051f2f210VgnVCM2000000c205a0aRCRD
https://contrataciondelestado.es/wps/wcm/connect/PLACE_es/Site/area/docAccCmpnt?DocumentIdParam=e39f9ece-4e4f-42a7-9941-d0f6917b6c66&amp;cmpntname=GetDocumentsById&amp;source=library&amp;srv=cmpnt
https://contratos.gobierto.es/licitaciones/1949358</t>
  </si>
  <si>
    <t>CESPA SA - CYOCIVIL SA (UTE MADRID-ZONAS VERDES)</t>
  </si>
  <si>
    <t>AGRUPACIÓN UTE, NO MATRIZ: denominación recogida en la adjudicación/ficha contractual. La titularidad de sus componentes y sus grupos societarios requieren confirmación independiente.</t>
  </si>
  <si>
    <t>FIN REGISTRADO POSTERIOR A 16/10/2026 | Contraste 21/10/2026: Vigencia no deducible del plazo inicial | CONTRASTE ADICIONAL 21/10/2026: VIGENCIA: no considerar acreditada continuidad operativa en octubre de 2026 por la sola fecha del contrato originario; requiere resolución de prórroga/modificación.</t>
  </si>
  <si>
    <t>CONSTRUCTORA SAN JOSE SA</t>
  </si>
  <si>
    <t>https://www.madrid.es/portales/munimadrid/es/Inicio/Parque-Juan-Pablo-II/?vgnextchannel=1ccd566813946010VgnVCM100000dc0ca8c0RCRD&amp;vgnextfmt=default&amp;vgnextoid=ea452f20e2ebe210VgnVCM2000000c205a0aRCRD
https://contrataciondelestado.es/wps/wcm/connect/PLACE_es/Site/area/docAccCmpnt?DocumentIdParam=e39f9ece-4e4f-42a7-9941-d0f6917b6c66&amp;cmpntname=GetDocumentsById&amp;source=library&amp;srv=cmpnt
https://contratos.gobierto.es/licitaciones/1949358</t>
  </si>
  <si>
    <t>https://www.madrid.es/portales/munimadrid/es/Inicio/Medio-ambiente/Parques-y-jardines/Direcciones-y-telefonos/Parque-de-la-Gavia/?vgnextchannel=ebb679ed268fe410VgnVCM1000000b205a0aRCRD&amp;vgnextfmt=default&amp;vgnextoid=48a88d736701a410VgnVCM1000000b205a0aRCRD
https://contrataciondelestado.es/wps/wcm/connect/PLACE_es/Site/area/docAccCmpnt?DocumentIdParam=e39f9ece-4e4f-42a7-9941-d0f6917b6c66&amp;cmpntname=GetDocumentsById&amp;source=library&amp;srv=cmpnt
https://contratos.gobierto.es/licitaciones/1949358</t>
  </si>
  <si>
    <t>https://www.madrid.es/portales/munimadrid/es/Inicio/Vivienda-urbanismo-y-obras/Urbanismo/Publicaciones/Parque-Lineal-del-Manzanares-Usera-Pte-de-Vallecas-/?vgnextchannel=dbaac8eb248fe410VgnVCM1000000b205a0aRCRD&amp;vgnextfmt=default&amp;vgnextoid=a0a4b0cedda9e210VgnVCM1000000b205a0aRCRD
https://contrataciondelestado.es/wps/wcm/connect/PLACE_es/Site/area/docAccCmpnt?DocumentIdParam=e39f9ece-4e4f-42a7-9941-d0f6917b6c66&amp;cmpntname=GetDocumentsById&amp;source=library&amp;srv=cmpnt
https://contratos.gobierto.es/licitaciones/1949358</t>
  </si>
  <si>
    <t>https://www.madrid.es/portales/munimadrid/es/Inicio/El-Ayuntamiento/Centro/Direcciones-y-telefonos/Jardines-de-la-Plaza-de-Oriente-Lepanto-y-Cabo-Noval/?vgnextchannel=cac1d47ffee28010VgnVCM100000dc0ca8c0RCRD&amp;vgnextfmt=default&amp;vgnextoid=5089e51ecd6ee210VgnVCM2000000c205a0aRCRD
https://contrataciondelestado.es/wps/wcm/connect/PLACE_es/Site/area/docAccCmpnt?DocumentIdParam=e39f9ece-4e4f-42a7-9941-d0f6917b6c66&amp;cmpntname=GetDocumentsById&amp;source=library&amp;srv=cmpnt
https://contratos.gobierto.es/licitaciones/1949358</t>
  </si>
  <si>
    <t>https://www.madrid.es/portales/munimadrid/es/Inicio/Medio-ambiente/Parques-y-jardines/Direcciones-y-telefonos/Jardines-de-la-Plaza-de-Espana/?vgnextchannel=ebb679ed268fe410VgnVCM1000000b205a0aRCRD&amp;vgnextfmt=default&amp;vgnextoid=e5021544198be210VgnVCM2000000c205a0aRCRD
https://contrataciondelestado.es/wps/wcm/connect/PLACE_es/Site/area/docAccCmpnt?DocumentIdParam=e39f9ece-4e4f-42a7-9941-d0f6917b6c66&amp;cmpntname=GetDocumentsById&amp;source=library&amp;srv=cmpnt
https://contratos.gobierto.es/licitaciones/1949358</t>
  </si>
  <si>
    <t>https://www.madrid.es/portales/munimadrid/es/Inicio/El-Ayuntamiento/Moncloa-Aravaca/Direcciones-y-telefonos/Vivero-municipal-de-Migas-Calientes/?vgnextchannel=a6d4d47ffee28010VgnVCM100000dc0ca8c0RCRD&amp;vgnextfmt=default&amp;vgnextoid=478dce6b78d2f210VgnVCM1000000b205a0aRCRD
https://contrataciondelestado.es/wps/wcm/connect/PLACE_es/Site/area/docAccCmpnt?DocumentIdParam=e39f9ece-4e4f-42a7-9941-d0f6917b6c66&amp;cmpntname=GetDocumentsById&amp;source=library&amp;srv=cmpnt
https://contratos.gobierto.es/licitaciones/1949358</t>
  </si>
  <si>
    <t>PWACS - AUTOMATICA - TRACK MOBILITY</t>
  </si>
  <si>
    <t>FIN NO ACREDITADO — verificar contrato / prórroga | Contraste 21/10/2026: Adjudicación publicada oficialmente | CONTRASTE ADICIONAL 21/10/2026: FUENTE MUNICIPAL DE RESULTADOS: adjudicado 24/03/2026 a UTE PWACS-AUTOMATICA-TRACK MOBILITY, importe publicado 2.357.262,02 EUR.</t>
  </si>
  <si>
    <t>https://ted.europa.eu/es/notice/-/detail/508191-2026
https://contratacion.madrid.es/ultimos-resultados/</t>
  </si>
  <si>
    <t>FIN REGISTRADO POSTERIOR A 16/10/2026 | Contraste 21/10/2026: Acuerdo marco adjudicado por lotes</t>
  </si>
  <si>
    <t>https://contrataciondelestado.es/wps/poc?uri=deeplink:detalle_licitacion&amp;idEvl=P9PcK0cHxg1J8Trn0ZPzLw%3D%3D
https://www.madrid.es/portales/munimadrid/es/Inicio/El-Ayuntamiento/Gobierno-y-Administracion/Actuaciones-en-materia-de-eficiencia-energetica-realizadas-en-2025/?vgnextchannel=78f8e3d5d3e07010VgnVCM100000dc0ca8c0RCRD&amp;vgnextfmt=default&amp;vgnextoid=f4da3131f299c910VgnVCM200000f921e388RCRD</t>
  </si>
  <si>
    <t>Grupo ETRA: ETRALUX consta entre sus empresas; entidad jurídica concreta de la matriz no deducida de esta ficha. Fuente: https://www.grupoetra.com/en/etra-group/donde-estamos/</t>
  </si>
  <si>
    <t>GIC INGENIA (GESTIÓN INTELIGENTE DE CARGAS SL - INGENIA PROYECTOS Y SOLUCIONES SL)</t>
  </si>
  <si>
    <t>FIN REGISTRADO POSTERIOR A 16/10/2026 | Contraste 21/10/2026: Adjudicataria localizada</t>
  </si>
  <si>
    <t>https://www.acciona.com/content/dam/acciona-global/documentos/juntas-generales/2026/5-ana-cuentas-anuales-consolidadas-2025.pdf
https://www.madrid.es/UnidadesDescentralizadas/Sostenibilidad/AYRE/SistemaGestionEnergia/Promocionales/Actuaciones%20departamento/ficheros/Informe%20tecnico%20actuaciones%20por%20el%20Dpto%20EE%202025%20rev.pdf
https://www.madrid.es/portales/munimadrid/es/Inicio/El-Ayuntamiento/Gobierno-y-Administracion/Actuaciones-en-materia-de-eficiencia-energetica-realizadas-en-2025/?vgnextchannel=78f8e3d5d3e07010VgnVCM100000dc0ca8c0RCRD&amp;vgnextfmt=default&amp;vgnextoid=f4da3131f299c910VgnVCM200000f921e388RCRD</t>
  </si>
  <si>
    <t>Iberdrola Clientes figura en el Grupo Iberdrola Fuente: https://www.iberdrola.com/wcorp/gc/prod/es_ES/estaticos/mapa-sociedades-2025/mapa-sociedades_ES.html</t>
  </si>
  <si>
    <t>FIN REGISTRADO POSTERIOR A 16/10/2026 | Contraste 21/10/2026: Suministradora identificada</t>
  </si>
  <si>
    <t>FIN REGISTRADO POSTERIOR A 16/10/2026 | Contraste 21/10/2026: Contrato basado localizado | CONTRASTE ADICIONAL 21/10/2026: BASADO INDIVIDUAL: adjudicado a COLWAY ENERGÍA SL el 31/07/2026 por 50.411,83 EUR sin IVA. No confundir con otros contratos del mismo acuerdo marco.</t>
  </si>
  <si>
    <t>FIN REGISTRADO POSTERIOR A 16/10/2026 | Contraste 21/10/2026: Contrato basado localizado | CONTRASTE ADICIONAL 21/10/2026: BASADO INDIVIDUAL: adjudicado a COLWAY ENERGÍA SL el 17/08/2026 por 56.930,72 EUR según la ficha consultada; importe y fecha no corresponden al acuerdo marco general.</t>
  </si>
  <si>
    <t>https://contratos.gobierto.es/contratos/10663581</t>
  </si>
  <si>
    <t>FIN NO ACREDITADO — verificar contrato / prórroga | Contraste 21/10/2026: Contrato basado localizado</t>
  </si>
  <si>
    <t>FIN NO ACREDITADO — verificar contrato / prórroga | Contraste 21/10/2026: Seis lotes identificados | CONTRASTE ADICIONAL 21/10/2026: ACUERDO MARCO: adjudicado por seis lotes; comprobar cada adjudicataria por lote; los contratos basados tienen expediente y resolución propios.</t>
  </si>
  <si>
    <t>FIN REGISTRADO POSTERIOR A 16/10/2026 | Contraste 21/10/2026: Seis lotes identificados | CONTRASTE ADICIONAL 21/10/2026: ACUERDO MARCO: adjudicado por seis lotes; comprobar cada adjudicataria por lote; los contratos basados tienen expediente y resolución propios.</t>
  </si>
  <si>
    <t>INGENIERÍA DE LOS RECURSOS NATURALES SA – OBRAS Y SERVICIOS TAGA SA (UTE AM ZONAS VERDES L1)</t>
  </si>
  <si>
    <t>FIN NO ACREDITADO — verificar contrato / prórroga | Contraste 21/10/2026: Siete lotes identificados | CONTRASTE ADICIONAL 21/10/2026: FUENTE MUNICIPAL: figura como acuerdo marco en Sistemas de Racionalización. Las obras basadas 102 y 205 deben verificarse por separado.</t>
  </si>
  <si>
    <t>VALORIZA SERVICIOS MEDIOAMBIENTALES SA CONSTRUCTORA SAN JOSE SA EL EJIDILLO VIVEROS INTEGRALES SL</t>
  </si>
  <si>
    <t>INGENIERÍA OBRAS Y TECNOLOGÍA EUROPEA SL – JARYPARK SL (UTE 2025 ZONAS VERDES LOTE 3)</t>
  </si>
  <si>
    <t>Composición societaria de UTE AM ZONAS VERDES L1 no contrastada</t>
  </si>
  <si>
    <t>FIN NO ACREDITADO — verificar contrato / prórroga | Contraste 21/10/2026: Basado individual localizado</t>
  </si>
  <si>
    <t>Composición societaria de UTE ACUERDO MARCO ZONA NORESTE LOTE 2 BIS no contrastada</t>
  </si>
  <si>
    <t>FIN NO ACREDITADO — verificar contrato / prórroga | Contraste 21/10/2026: Contrato basado adjudicado</t>
  </si>
  <si>
    <t>FIN REGISTRADO POSTERIOR A 16/10/2026 | Contraste 21/10/2026: Dos lotes identificados</t>
  </si>
  <si>
    <t>FIN REGISTRADO POSTERIOR A 16/10/2026 | Contraste 21/10/2026: Adjudicación publicada oficialmente</t>
  </si>
  <si>
    <t>Electronic Trafic figura como titular del portal del Grupo ETRA Fuente: https://www.grupoetra.com/nota-legal/</t>
  </si>
  <si>
    <t>FIN REGISTRADO POSTERIOR A 16/10/2026 | Contraste 21/10/2026: Siete lotes identificados | CONTRASTE ADICIONAL 21/10/2026: PLATAFORMA OFICIAL: pliegos de 7 lotes. Los adjudicatarios por lote y su formalización se comprobarán sin extrapolar el inicio de uno a los demás.</t>
  </si>
  <si>
    <t>Kapsch TrafficCom Transportation figura en la estructura Kapsch TrafficCom Fuente: https://www.kapsch.net/es/sobre-kapsch/traffic-com-en-el-mundo</t>
  </si>
  <si>
    <t>Composición societaria de UTE ACISA TEVA MADRID no contrastada</t>
  </si>
  <si>
    <t>Composición societaria de UTE TRÁFICO L7 no contrastada</t>
  </si>
  <si>
    <t>Pendiente de contraste documental</t>
  </si>
  <si>
    <t>No atribuir este expediente a IMPAOR: la referencia municipal encontrada para IMPAOR corresponde a otro expediente (135/2015/00006).</t>
  </si>
  <si>
    <t>FIN NO ACREDITADO — verificar contrato / prórroga | Contraste 21/10/2026: Adjudicación no acreditada en las fuentes consultadas</t>
  </si>
  <si>
    <t>FIN REGISTRADO POSTERIOR A 16/10/2026 | Contraste 21/10/2026: Adjudicación localizada</t>
  </si>
  <si>
    <t>https://www.alicitar.es/licitacion/42781/apoyo-tecnico-en-materia-de-contaminacion-acustica-para-cumplimiento-de-normativ</t>
  </si>
  <si>
    <t>FIN NO ACREDITADO — verificar contrato / prórroga | Contraste 21/10/2026: Adjudicación publicada | CONTRASTE ADICIONAL 21/10/2026: RESULTADO: adjudicado a HOTTINGER BRÜEL &amp; KJAER IBÉRICA SLU el 17/07/2026, 762.363 EUR; formalización 17/08/2026. La fecha de fin indicada en agregadores no acredita por sí sola la ejecución efectiva.</t>
  </si>
  <si>
    <t>https://contratos.gobierto.es/adjudicatarios/hottinger-bruel-amp-kjaer-iberica-s-l-u
https://contratos.gobierto.es/licitaciones/5133200</t>
  </si>
  <si>
    <t>FCC INDUSTRIAL</t>
  </si>
  <si>
    <t>FIN REGISTRADO POSTERIOR A 16/10/2026 | Contraste 21/10/2026: Tres lotes identificados</t>
  </si>
  <si>
    <t>FERROVIAL ENERGIA</t>
  </si>
  <si>
    <t>ETRALUX</t>
  </si>
  <si>
    <t>ACEINSA MOVILIDAD</t>
  </si>
  <si>
    <t>SOCIEDAD IBERICA DE CONSTRUCCIONES ELECTRICAS (SICE)</t>
  </si>
  <si>
    <t>FIN REGISTRADO POSTERIOR A 16/10/2026 | Contraste 21/10/2026: Adjudicataria UTE identificada</t>
  </si>
  <si>
    <t>https://sede.madrid.es/portal/site/tramites/menuitem.b4c91589e7f6a5d829da39e5a8a409a0/?vgnextchannel=741d814231ede410VgnVCM1000000b205a0aRCRD&amp;vgnextfmt=default&amp;vgnextoid=370acbf28ab11a10VgnVCM100000891ecb1aRCRD
https://transparencia.madrid.es/UnidadesDescentralizadas/JuntaDeGobierno/1.%20Acuerdos%20Transparencia/2025/1.%20Ficheros/Acuedos%20Web%202025.07.17.pdf</t>
  </si>
  <si>
    <t>https://www.madrid.es/portales/munimadrid/es/Inicio/El-Ayuntamiento/Todas-las-noticias/Prorrogado-el-contrato-de-inspeccion-conservacion-y-control-de-las-galerias-de-servicios/?vgnextchannel=e40362215c483510VgnVCM2000001f4a900aRCRD&amp;vgnextfmt=default&amp;vgnextoid=cc3d99b2b2efe910VgnVCM100000891ecb1aRCRD
https://transparencia.madrid.es/UnidadesDescentralizadas/JuntaDeGobierno/1.%20Acuerdos%20Transparencia/2025/1.%20Ficheros/Acuerdos%20Web%202025.07.03.pdf</t>
  </si>
  <si>
    <t>FIN REGISTRADO POSTERIOR A 16/10/2026 | Contraste 21/10/2026: Adjudicataria identificada</t>
  </si>
  <si>
    <t>https://www.madrid.es/portales/munimadrid/es/Inicio/El-Ayuntamiento/Todas-las-noticias/El-Ayuntamiento-da-luz-verde-a-la-prorroga-del-contrato-de-conservacion-de-las-445-fuentes-ornamentales-de-la-ciudad/?vgnextchannel=e40362215c483510VgnVCM2000001f4a900aRCRD&amp;vgnextfmt=default&amp;vgnextoid=7b6743dbf69de910VgnVCM100000891ecb1aRCRD
https://transparencia.madrid.es/UnidadesDescentralizadas/JuntaDeGobierno/1.%20Acuerdos%20Transparencia/2025/1.%20Ficheros/Modelo%20acuedos%20Web.pdf</t>
  </si>
  <si>
    <t>TPF GETINSA EUROESTUDIOS</t>
  </si>
  <si>
    <t>FIN REGISTRADO POSTERIOR A 16/10/2026 | Contraste 21/10/2026: UTE identificada</t>
  </si>
  <si>
    <t>VAZQUEZ OFITEP</t>
  </si>
  <si>
    <t>FIN NO ACREDITADO — verificar contrato / prórroga | Contraste 21/10/2026: Acuerdo marco adjudicado | CONTRASTE ADICIONAL 21/10/2026: ACUERDO MARCO: lotes 1 y 2 adjudicados a ILUMINACIONES XIMÉNEZ SAU, según adjudicación de 2026.</t>
  </si>
  <si>
    <t>FIN NO ACREDITADO — verificar contrato / prórroga | Contraste 21/10/2026: Contrato basado adjudicado | CONTRASTE ADICIONAL 21/10/2026: BASADO: adjudicado a ILUMINACIONES XIMÉNEZ SAU el 13/08/2026 (lote 1), 294.443,64 EUR sin IVA.</t>
  </si>
  <si>
    <t>FIN NO ACREDITADO — verificar contrato / prórroga | Contraste 21/10/2026: Contrato basado adjudicado | CONTRASTE ADICIONAL 21/10/2026: BASADO: adjudicado a ILUMINACIONES XIMÉNEZ SAU el 13/08/2026 (lote 2).</t>
  </si>
  <si>
    <t>FIN REGISTRADO POSTERIOR A 16/10/2026 | Contraste 21/10/2026: Cinco lotes identificados | CONTRASTE ADICIONAL 21/10/2026: ANUNCIO OFICIAL DE ADJUDICACIÓN: acuerdo marco de urbanización e infraestructuras por cinco lotes, publicado el 19/03/2025. Los basados tienen adjudicaciones propias.</t>
  </si>
  <si>
    <t>PACSA SERVICIOS URBANOS</t>
  </si>
  <si>
    <t>SERANCO - INGENIERÍA OBRAS Y TECNOLOGÍA EUROPEA - PRODESUR</t>
  </si>
  <si>
    <t>ORTIZ CONSTRUCCIONES Y PROYECTOS</t>
  </si>
  <si>
    <t>ROVER INFRAESTRUCTURAS - COTODISA OBRAS Y SERVICIOS</t>
  </si>
  <si>
    <t>FIN NO ACREDITADO — verificar contrato / prórroga | Contraste 21/10/2026: Cinco lotes identificados</t>
  </si>
  <si>
    <t>https://contratacion.madrid.es/sistemas-de-racionalizacion/
https://contratos.gobierto.es/licitaciones/4492882/contracting_system_contracts</t>
  </si>
  <si>
    <t>FHECOR INGENIEROS CONSULTORES - COTA CERO ESTUDIOS URBANOS Y TERRITORIALES</t>
  </si>
  <si>
    <t>ENMACOSA CONSULTORÍA TÉCNICA - ADAMAS CONTROL Y GEOTECNIA - AUSCULTACIÓN CONTROL ENSAYOS</t>
  </si>
  <si>
    <t>FIN REGISTRADO POSTERIOR A 16/10/2026 | Contraste 21/10/2026: Adjudicación corregida en lote 2</t>
  </si>
  <si>
    <t>Adjudicataria del lote 2 según Resolución 057/2023 del Tribunal Administrativo de Contratación Pública de Madrid. Matriz independiente no comprobada. https://www.comunidad.madrid/tacp/sites/default/files/resolucion_057-2023.pdf</t>
  </si>
  <si>
    <t>FIN NO ACREDITADO — verificar contrato / prórroga | Contraste 21/10/2026: Basado adjudicado</t>
  </si>
  <si>
    <t>FIN REGISTRADO POSTERIOR A 16/10/2026 | Contraste 21/10/2026: Basado adjudicado</t>
  </si>
  <si>
    <t>FIN REGISTRADO POSTERIOR A 16/10/2026 | Contraste 21/10/2026: Basado adjudicado 10/09/2026</t>
  </si>
  <si>
    <t>FIN NO ACREDITADO — verificar contrato / prórroga | Contraste 21/10/2026: Basado adjudicado | CONTRASTE ADICIONAL 21/10/2026: BASADO: adjudicado el 23/07/2026 a UTE ORTIZ CONSTRUCCIONES Y PROYECTOS y GESTIÓN Y EJECUCIÓN DE OBRA CIVIL, importe 10.815.923,47 EUR sin IVA.</t>
  </si>
  <si>
    <t>FIN REGISTRADO POSTERIOR A 16/10/2026 | Contraste 21/10/2026: Basado adjudicado | CONTRASTE ADICIONAL 21/10/2026: BASADO: adjudicado el 15/06/2026 a UTE ROVER INFRAESTRUCTURAS y COTODISA OBRAS Y SERVICIOS. Contrato de pasarela CLESA–Ramón y Cajal.</t>
  </si>
  <si>
    <t>TPF GETINSA EUROESTUDIOS, S.L.</t>
  </si>
  <si>
    <t>VAZQUEZ OFITEP, S.L.</t>
  </si>
  <si>
    <t>PACSA SERVICIOS URBANOS Y DEL MEDIO NATURAL, S.L.</t>
  </si>
  <si>
    <t>FIN REGISTRADO POSTERIOR A 16/10/2026 | Contraste 21/10/2026: Contrato basado adjudicado</t>
  </si>
  <si>
    <t>https://contratos.gobierto.es/licitaciones/2344788/contracting_system_contracts?page=5</t>
  </si>
  <si>
    <t>FIN NO ACREDITADO — verificar contrato / prórroga | Contraste 21/10/2026: Contrato basado identificado</t>
  </si>
  <si>
    <t>FIN NO ACREDITADO — verificar contrato / prórroga | Contraste 21/10/2026: Adjudicataria identificada</t>
  </si>
  <si>
    <t>—</t>
  </si>
  <si>
    <t>Licitación</t>
  </si>
  <si>
    <t>Sin adjudicatario identificado en el resultado publicado consultado; esta clasificación NO equivale a una resolución de desierto ni a un desistimiento.</t>
  </si>
  <si>
    <t>Conservación de los pavimentos de las vías públicas del Ayuntamiento de Madrid (6 lotes) — Reparación y mantenimiento preventivo y correctivo de pavimentos, aceras y calzadas; atención de urgencias y drenaje superficial. Incluye red pasiva de telecomunicaciones; lote 1: almacén y taller de cantería.</t>
  </si>
  <si>
    <t>Sin adjudicación; 16/10/2026 | Contraste 21/10/2026: En evaluación; adjudicatario no publicado | CONTRASTE ADICIONAL 21/10/2026: ESTADO PROCEDIMENTAL CONSULTADO OCT-2026: en evaluación, sin empresa adjudicataria ni resolución de adjudicación en la ficha consultada; no es una adjudicación desconocida de un contrato en ejecución.</t>
  </si>
  <si>
    <t>Conservación del mobiliario urbano municipal (3 lotes: centro, este y oeste) — Inspección y mantenimiento preventivo y correctivo de bancos, bolardos, vallas, barandillas, pérgolas y otros elementos; inventario digital georreferenciado y atención de incidencias.</t>
  </si>
  <si>
    <t>Sin adjudicación; 16/10/2026 | Contraste 21/10/2026: En evaluación; adjudicatario no publicado | CONTRASTE ADICIONAL 21/10/2026: ESTADO PROCEDIMENTAL CONSULTADO OCT-2026: en evaluación, sin empresa adjudicataria publicada en la ficha examinada.</t>
  </si>
  <si>
    <t>Atención, vigilancia y conservación de pasos a distinto nivel y estructuras municipales (2 lotes) — Atención a emergencias, vigilancia, inspecciones rutinarias y conservación preventiva/correctiva de pasos superiores/inferiores, pasarelas, muros y estructuras viarias municipales.</t>
  </si>
  <si>
    <t>Sin adjudicación; 16/10/2026 | Contraste 21/10/2026: En evaluación; adjudicatario no publicado | CONTRASTE ADICIONAL 21/10/2026: ESTADO PROCEDIMENTAL CONSULTADO OCT-2026: en evaluación; ambos lotes figuran sin adjudicatario en el resultado consultado.</t>
  </si>
  <si>
    <t>https://contratos.gobierto.es/licitaciones/5174164
https://diario.madrid.es/blog/notas-de-prensa/aprobados-dos-nuevos-contratos-para-la-conservacion-e-inspeccion-de-los-pasos-a-distinto-nivel-y-estructuras-de-la-ciudad/
https://contratacion.madrid.es/en-licitacion/
https://contratos.gobierto.es/licitaciones/5174164?locale=es</t>
  </si>
  <si>
    <t>Inspección y seguimiento de actuaciones en pasos a distinto nivel y estructuras — Asistencia técnica especializada: ingeniería, diagnósticos, informes, inspecciones y seguimiento técnico de obras de conservación de estructuras; no ejecuta obras.</t>
  </si>
  <si>
    <t>Sin adjudicación; 16/10/2026 | Contraste 21/10/2026: En evaluación; adjudicatario no publicado | CONTRASTE ADICIONAL 21/10/2026: ESTADO PROCEDIMENTAL CONSULTADO OCT-2026: información de licitación disponible; no se ha acreditado adjudicataria en los resultados consultados.</t>
  </si>
  <si>
    <t>ACEINSA MOVILIDAD, S.A.</t>
  </si>
  <si>
    <t>Miembro citado en adjudicación del acuerdo marco; sociedad y % de participación en UTE no son contrato adjudicado individualmente.</t>
  </si>
  <si>
    <t>ACUERDO MARCO ADJUDICADO POR LOTE · NO EJECUCIÓN | Contraste 21/10/2026: Tres lotes identificados | CONTRASTE ADICIONAL 21/10/2026: ACUERDO MARCO: consta publicado en los sistemas de racionalización municipales. No inferir inicio de trabajos a partir de la existencia del acuerdo marco.</t>
  </si>
  <si>
    <t>ETRALUX, S.A.</t>
  </si>
  <si>
    <t>URBALUX, S.A.</t>
  </si>
  <si>
    <t>FERROVIAL ENERGÍA, S.A.U.</t>
  </si>
  <si>
    <t>FCC INDUSTRIAL E INFRAESTRUCTURAS ENERGÉTICAS, S.A.U.</t>
  </si>
  <si>
    <t>SERVEO INFRAESTRUCTURAS, S.A.U.</t>
  </si>
  <si>
    <t>LICITACIÓN EN EVALUACIÓN · SIN ADJUDICAR | Contraste 21/10/2026: En evaluación; adjudicatario no publicado | CONTRASTE ADICIONAL 21/10/2026: ESTADO PROCEDIMENTAL CONSULTADO OCT-2026: 5 lotes en evaluación, sin adjudicatarios publicados en la ficha consultada.</t>
  </si>
  <si>
    <t>https://contratos.gobierto.es/licitaciones/5146652
https://www.madrid.es/portales/munimadrid/es/Inicio/El-Ayuntamiento/Notas-de-prensa-de-hoy/Autorizado-el-nuevo-contrato-de-zonas-verdes-mas-presupuesto-y-personal-aplicacion-de-la-IA-en-la-gestion-y-refuerzo-en-la-seguridad-del-arbolado/?vgnextchannel=2fe262215c483510VgnVCM2000001f4a900aRCRD&amp;vgnextfmt=default&amp;vgnextoid=87fe22107710e910VgnVCM100000891ecb1aRCRD
https://www.cashstalker.com/licitacion/b91199ba-518e-4326-9f60-9a616062156e</t>
  </si>
  <si>
    <t>MARCO ADJUDICADO; SIN FECHAS DE EJECUCIÓN | Contraste 21/10/2026: Siete lotes identificados | CONTRASTE ADICIONAL 21/10/2026: FUENTE MUNICIPAL: figura como acuerdo marco en Sistemas de Racionalización. Las obras basadas 102 y 205 deben verificarse por separado.</t>
  </si>
  <si>
    <t>FIN ORDINARIO 15/06/2026; VIGENCIA ACTUAL SIN ACREDITAR | Contraste 21/10/2026: Dos lotes identificados</t>
  </si>
  <si>
    <t>CLECE FS consta como filial del Grupo Clece Fuente: https://clece.es/es/listado-clece-filiales/</t>
  </si>
  <si>
    <t>Lote adjudicado 30/12/2024; duración prevista 30 meses. Inicio y fin efectivos sin acreditar. Acuerdo/servicio no debe confundirse con obras individualizadas. | Contraste 21/10/2026: Cuatro lotes identificados</t>
  </si>
  <si>
    <t>Lote adjudicado 29/01/2025; duración prevista 30 meses. Inicio y fin efectivos sin acreditar. Acuerdo/servicio no debe confundirse con obras individualizadas. | Contraste 21/10/2026: Cuatro lotes identificados</t>
  </si>
  <si>
    <t>Adjudicación del lote 03/09/2026. Acuerdo marco de dos años previstos; sin inicio/fin efectivos de las obras basadas acreditados. | Contraste 21/10/2026: Cuatro lotes adjudicados</t>
  </si>
  <si>
    <t>Componente de UTE; no implica adjudicación directa ni control societario</t>
  </si>
  <si>
    <t>Familia comercial; vínculo matriz a revisar</t>
  </si>
  <si>
    <t>Adjudicación del lote 10/06/2026; 24 meses previstos. Inicio y fin de obras específicas no acreditados. | Contraste 21/10/2026: Tres adjudicaciones identificadas; cuarto lote sin resultado | CONTRASTE ADICIONAL 21/10/2026: ACUERDO MARCO HORTALEZA: no atribuir lote 4 a los adjudicatarios de lotes 1, 2 y 3; buscar la resolución específica del lote 4.</t>
  </si>
  <si>
    <t>Ortiz Construcciones y Proyectos integra el Grupo Ortiz Fuente: https://www.grupoortiz.com/</t>
  </si>
  <si>
    <t>Adjudicación del lote 16/06/2026; 24 meses previstos. Inicio y fin de obras específicas no acreditados. | Contraste 21/10/2026: Tres adjudicaciones identificadas; cuarto lote sin resultado | CONTRASTE ADICIONAL 21/10/2026: ACUERDO MARCO HORTALEZA: no atribuir lote 4 a los adjudicatarios de lotes 1, 2 y 3; buscar la resolución específica del lote 4.</t>
  </si>
  <si>
    <t>Licitación/AM</t>
  </si>
  <si>
    <t>No se acredita adjudicatario para este lote/expediente en las fichas de resultados consultadas. No asignar grupo hasta resolución oficial.</t>
  </si>
  <si>
    <t>El expediente figura adjudicado globalmente, pero no se ha confirmado adjudicatario del lote 4; 24 meses previstos. Inicio y fin de obras específicas no acreditados. | Contraste 21/10/2026: Tres adjudicaciones identificadas; cuarto lote sin resultado | CONTRASTE ADICIONAL 21/10/2026: ACUERDO MARCO HORTALEZA: no atribuir lote 4 a los adjudicatarios de lotes 1, 2 y 3; buscar la resolución específica del lote 4.</t>
  </si>
  <si>
    <t>Adjudicación 27/02/2026; formalización publicada 30/03/2026. Duración prevista 2 años; fechas efectivas de obras basadas no acreditadas. | Contraste 21/10/2026: Dos lotes adjudicados</t>
  </si>
  <si>
    <t>Adjudicación 19/07/2024 a UTE Valoriza–Contenur. Comprobar la vigencia actual y prórrogas; no convertir adjudicación en ejecución 2026. | Contraste 21/10/2026: Adjudicataria UTE identificada</t>
  </si>
  <si>
    <t>SULO Ibérica figura entre las empresas del grupo SULO Fuente: https://sulo.com/contact/</t>
  </si>
  <si>
    <t>Adjudicación 29/09/2025. Vigencia efectiva y prórrogas no verificadas individualmente; no deducir inicio de la fecha de adjudicación. | Contraste 21/10/2026: Adjudicataria identificada</t>
  </si>
  <si>
    <t>Contrato autorizado 19/02/2026, sin adjudicación acreditada en fuentes consultadas. Duración prevista 15 años; no se inventan fechas efectivas. | Contraste 21/10/2026: En evaluación; adjudicatario no publicado | CONTRASTE ADICIONAL 21/10/2026: FUENTE MUNICIPAL 2025: contiene propuesta de estructura de costes y alegaciones para planta Las Lomas. Este documento NO es resolución de adjudicación de la concesión.</t>
  </si>
  <si>
    <t>https://www.madrid.es/portales/munimadrid/es/Inicio/Actualidad/Noticias/Autorizado-el-contrato-para-el-tratamiento-de-residuos-en-Las-Lomas-la-alternativa-mas-sostenible-hasta-llegar-al-objetivo-de-vertido-cero/
https://sede.madrid.es/UnidadesDescentralizadas/AdministracionElectronica/Tramites/Ficheros2025/EstructuraCostesLasLomasValdemingomez.pdf
https://www.alicitar.es/en/tender/9148738/tratamiento-de-residuos-domesticos-con-recuperacion-de-materiales-y-valorizacion
https://sede.madrid.es/UnidadesDescentralizadas/AdministracionElectronica/Tramites/Ficheros2025/511_2024_41992_InformeTecnicoValoracionAlegaciones.pdf</t>
  </si>
  <si>
    <t>Inicio registrado (ver criterio)</t>
  </si>
  <si>
    <t>Fin registrado (ver criterio)</t>
  </si>
  <si>
    <t>Adjudicación publicada en datos de PLACSP; formalización e inicio efectivos sin contrastar. | ATENCIÓN · CONTRASTE 23/10/2026: el portal municipal incluye este expediente entre los contratos en vigor, mientras un agregador lo presenta como «Desistida». La resolución de adjudicación, la formalización y el inicio efectivo requieren comprobación directa.</t>
  </si>
  <si>
    <t>ADJUDICACIÓN 30/09/2026 A TALHER, S.A. (1.432.107 € sin IVA) recogida en LicitaLens a partir de PLACSP. Pendiente de verificar resolución y fecha de formalización en documento oficial; no certificar inicio efectivo. | CONTROL DOCUMENTAL 21/10/2026: Adjudicación localizada. Adjudicación a TALHER encontrada en plataformas que reproducen PLACSP; la resolución y la fecha de ejecución requieren lectura directa. [Base de evidencia: Ficha individual de publicación / agregador contrastada] | CONTRASTE DE FUENTES 23/10/2026: ficha municipal lo relaciona entre contratos en vigor; Gobierto muestra estado «Desistida», pese a reflejar datos de adjudicación del 30/09/2026. No tratar la formalización, la entrada en servicio ni la vigencia como acreditadas sin resolución.</t>
  </si>
  <si>
    <t>https://www.madrid.es/portales/munimadrid/es/Inicio/El-Ayuntamiento/Publicaciones/Listado-de-Publicaciones/Contratos-de-Recogida-de-Residuos/?vgnextchannel=f1aebadb6b997010VgnVCM100000dc0ca8c0RCRD&amp;vgnextfmt=default&amp;vgnextoid=429f71adf3d56910VgnVCM2000001f4a900aRCRD
https://contratos.gobierto.es/licitaciones/5108890
https://licitalens.com/empresa/A08602815
https://www.madrid.es/portales/munimadrid/es/Inicio/Medio-ambiente/Recogida-de-residuos/Actividades-y-eventos/Contrato-de-servicio-de-actividades-de-sensibilizacion/?vgnextchannel=d04bbb21278fe410VgnVCM1000000b205a0aRCRD&amp;vgnextfmt=default&amp;vgnextoid=1d1f49ec5caef910VgnVCM200000f921e388RCRD</t>
  </si>
  <si>
    <t>LOTE ADJUDICADO 11/09/2025. Acuerdo marco de obras con plazo de 3 años; encargos concretos por contratos basados. | FECHAS SIN ACREDITAR: Lote homologado/adjudicado; las fuentes de revisión no fijan fecha de entrada en vigor inequívoca del acuerdo marco. Los contratos basados tienen plazos propios. | CONTROL DOCUMENTAL 21/10/2026: Siete lotes identificados. AM de obras de la DG de Gestión del Agua y Zonas Verdes; siete lotes y varias UTE. Los basados 102 y 205 son actuaciones separadas. [Base de evidencia: Portal municipal / resolución o resultado oficial consultado] | CONTRASTE ADICIONAL 21/10/2026: FUENTE MUNICIPAL: figura como acuerdo marco en Sistemas de Racionalización. Las obras basadas 102 y 205 deben verificarse por separado.</t>
  </si>
  <si>
    <t>LOTE ADJUDICADO 11/09/2025. Acuerdo marco de obras con plazo de 3 años; encargos concretos por contratos basados. | FECHAS SIN ACREDITAR: Lote homologado/adjudicado; las fuentes de revisión no fijan fecha de entrada en vigor inequívoca del acuerdo marco. Los contratos basados tienen plazos propios. | CONTROL ADICIONAL: dos UTE homologadas; cada basado debe imputarse a su adjudicatario real. | CONTROL DOCUMENTAL 21/10/2026: Siete lotes identificados. AM de obras de la DG de Gestión del Agua y Zonas Verdes; siete lotes y varias UTE. Los basados 102 y 205 son actuaciones separadas. [Base de evidencia: Portal municipal / resolución o resultado oficial consultado] | CONTRASTE ADICIONAL 21/10/2026: FUENTE MUNICIPAL: figura como acuerdo marco en Sistemas de Racionalización. Las obras basadas 102 y 205 deben verificarse por separado.</t>
  </si>
  <si>
    <t>LOTE 7 ADJUDICADO 11/09/2025 a FCC MEDIO AMBIENTE SAU; acuerdo marco 3 años. | FECHAS SIN ACREDITAR: Lote homologado/adjudicado; las fuentes de revisión no fijan fecha de entrada en vigor inequívoca del acuerdo marco. Los contratos basados tienen plazos propios. | CONTROL DOCUMENTAL 21/10/2026: Siete lotes identificados. AM de obras de la DG de Gestión del Agua y Zonas Verdes; siete lotes y varias UTE. Los basados 102 y 205 son actuaciones separadas. [Base de evidencia: Portal municipal / resolución o resultado oficial consultado] | CONTRASTE ADICIONAL 21/10/2026: FUENTE MUNICIPAL: figura como acuerdo marco en Sistemas de Racionalización. Las obras basadas 102 y 205 deben verificarse por separado.</t>
  </si>
  <si>
    <t>El lote 2 (NOMMON) figura por separado en la base, como histórico y sin prórroga acreditada. No atribuirle la vigencia del lote 1.</t>
  </si>
  <si>
    <t>ADJUDICACIÓN NO ACREDITADA · no afirmar adjudicatario</t>
  </si>
  <si>
    <t>Acuerdo marco adjudicado por lotes en septiembre 2025; inicio, fin y obras basadas NO acreditados para este registro. | CONTROL DOCUMENTAL 21/10/2026: Siete lotes identificados. AM de obras de la DG de Gestión del Agua y Zonas Verdes; siete lotes y varias UTE. Los basados 102 y 205 son actuaciones separadas. [Base de evidencia: Portal municipal / resolución o resultado oficial consultado] | CONTRASTE ADICIONAL 21/10/2026: FUENTE MUNICIPAL: figura como acuerdo marco en Sistemas de Racionalización. Las obras basadas 102 y 205 deben verificarse por separado.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</si>
</sst>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2" x14ac:knownFonts="1">
    <font>
      <sz val="11"/>
      <color theme="1"/>
      <name val="Calibri"/>
    </font>
    <font>
      <sz val="11"/>
      <color rgb="FF333333"/>
      <name val="Calibri"/>
    </font>
    <font>
      <b/>
      <sz val="11"/>
      <color rgb="FF253B4B"/>
      <name val="Calibri"/>
    </font>
    <font>
      <sz val="11"/>
      <color rgb="FF245B83"/>
      <name val="Calibri"/>
    </font>
    <font>
      <b/>
      <sz val="11"/>
      <color rgb="FF347CAD"/>
      <name val="Calibri"/>
    </font>
    <font>
      <b/>
      <sz val="11"/>
      <color rgb="FF245B83"/>
      <name val="Calibri"/>
    </font>
    <font>
      <sz val="11"/>
      <color rgb="FF687780"/>
      <name val="Calibri"/>
    </font>
    <font>
      <b/>
      <sz val="10.5"/>
      <color rgb="FFFFFFFF"/>
      <name val="Calibri"/>
    </font>
    <font>
      <b/>
      <sz val="18"/>
      <color rgb="FFFFFFFF"/>
      <name val="Calibri"/>
    </font>
    <font>
      <b/>
      <sz val="10.5"/>
      <color rgb="FF22313D"/>
      <name val="Calibri"/>
    </font>
    <font>
      <sz val="10.5"/>
      <color rgb="FF22313D"/>
      <name val="Calibri"/>
    </font>
    <font>
      <sz val="11"/>
      <color rgb="FF22313D"/>
      <name val="Calibri"/>
    </font>
  </fonts>
  <fills count="9">
    <fill>
      <patternFill patternType="none"/>
    </fill>
    <fill>
      <patternFill patternType="gray125"/>
    </fill>
    <fill>
      <patternFill patternType="solid">
        <fgColor rgb="FF245B83"/>
      </patternFill>
    </fill>
    <fill>
      <patternFill patternType="solid">
        <fgColor rgb="FFEFF3F6"/>
      </patternFill>
    </fill>
    <fill>
      <patternFill patternType="solid">
        <fgColor rgb="FFE4F1FC"/>
      </patternFill>
    </fill>
    <fill>
      <patternFill patternType="solid">
        <fgColor rgb="FF347CAD"/>
      </patternFill>
    </fill>
    <fill>
      <patternFill patternType="solid">
        <fgColor rgb="FF2D8179"/>
      </patternFill>
    </fill>
    <fill>
      <patternFill patternType="solid">
        <fgColor rgb="FFE4F1FC"/>
      </patternFill>
    </fill>
    <fill>
      <patternFill patternType="solid">
        <fgColor rgb="FFEDF4F8"/>
      </patternFill>
    </fill>
  </fills>
  <borders count="7">
    <border>
      <left/>
      <right/>
      <top/>
      <bottom/>
      <diagonal/>
    </border>
    <border>
      <left/>
      <right/>
      <top/>
      <bottom style="thin">
        <color rgb="FFCCD9E2"/>
      </bottom>
      <diagonal/>
    </border>
    <border>
      <left/>
      <right/>
      <top style="thin">
        <color rgb="FFBDD5E8"/>
      </top>
      <bottom style="thin">
        <color rgb="FFCCD9E2"/>
      </bottom>
      <diagonal/>
    </border>
    <border>
      <left/>
      <right/>
      <top/>
      <bottom style="hair">
        <color rgb="FFD1DBE3"/>
      </bottom>
      <diagonal/>
    </border>
    <border>
      <left/>
      <right style="hair">
        <color rgb="FFE0E7EC"/>
      </right>
      <top/>
      <bottom style="hair">
        <color rgb="FFD1DBE3"/>
      </bottom>
      <diagonal/>
    </border>
    <border>
      <left/>
      <right style="thin">
        <color rgb="FF537F98"/>
      </right>
      <top/>
      <bottom/>
      <diagonal/>
    </border>
    <border>
      <left/>
      <right/>
      <top style="thin">
        <color rgb="FFBDCEDB"/>
      </top>
      <bottom style="thin">
        <color rgb="FFBDCEDB"/>
      </bottom>
      <diagonal/>
    </border>
  </borders>
  <cellStyleXfs count="1">
    <xf numFmtId="0" fontId="0" fillId="0" borderId="0"/>
  </cellStyleXfs>
  <cellXfs count="24">
    <xf numFmtId="0" fontId="0" fillId="0" borderId="0" xfId="0"/>
    <xf numFmtId="164" fontId="0" fillId="0" borderId="0" xfId="0" applyNumberFormat="1"/>
    <xf numFmtId="0" fontId="4" fillId="0" borderId="1" xfId="0" applyFont="1" applyBorder="1" applyAlignment="1">
      <alignment horizontal="center" vertical="center"/>
    </xf>
    <xf numFmtId="0" fontId="2" fillId="3" borderId="1" xfId="0" applyFont="1" applyFill="1" applyBorder="1" applyAlignment="1">
      <alignment vertical="center" wrapText="1"/>
    </xf>
    <xf numFmtId="0" fontId="9"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center" vertical="top" wrapText="1"/>
    </xf>
    <xf numFmtId="14" fontId="10" fillId="0" borderId="4" xfId="0" applyNumberFormat="1" applyFont="1" applyBorder="1" applyAlignment="1">
      <alignment horizontal="center" vertical="top" wrapText="1"/>
    </xf>
    <xf numFmtId="0" fontId="7" fillId="5" borderId="5" xfId="0" applyFont="1" applyFill="1" applyBorder="1" applyAlignment="1">
      <alignment vertical="center" wrapText="1"/>
    </xf>
    <xf numFmtId="0" fontId="7" fillId="6" borderId="5" xfId="0" applyFont="1" applyFill="1" applyBorder="1" applyAlignment="1">
      <alignment vertical="center" wrapText="1"/>
    </xf>
    <xf numFmtId="0" fontId="7" fillId="2" borderId="5" xfId="0" applyFont="1" applyFill="1" applyBorder="1" applyAlignment="1">
      <alignment vertical="center" wrapText="1"/>
    </xf>
    <xf numFmtId="14" fontId="0" fillId="0" borderId="0" xfId="0" applyNumberFormat="1"/>
    <xf numFmtId="0" fontId="0" fillId="0" borderId="6" xfId="0" applyBorder="1"/>
    <xf numFmtId="0" fontId="11" fillId="0" borderId="6" xfId="0" applyFont="1" applyBorder="1" applyAlignment="1">
      <alignment horizontal="center" vertical="center"/>
    </xf>
    <xf numFmtId="0" fontId="5" fillId="8" borderId="0" xfId="0" applyFont="1" applyFill="1" applyAlignment="1">
      <alignment vertical="center"/>
    </xf>
    <xf numFmtId="0" fontId="3" fillId="7" borderId="6" xfId="0" applyFont="1" applyFill="1" applyBorder="1" applyAlignment="1">
      <alignment vertical="center" wrapText="1"/>
    </xf>
    <xf numFmtId="0" fontId="8" fillId="2" borderId="0" xfId="0" applyFont="1" applyFill="1" applyAlignment="1">
      <alignment vertical="center"/>
    </xf>
    <xf numFmtId="0" fontId="0" fillId="0" borderId="0" xfId="0"/>
    <xf numFmtId="0" fontId="3" fillId="4" borderId="2" xfId="0" applyFont="1" applyFill="1" applyBorder="1" applyAlignment="1">
      <alignment vertical="center" wrapText="1"/>
    </xf>
    <xf numFmtId="0" fontId="0" fillId="0" borderId="2" xfId="0" applyBorder="1"/>
    <xf numFmtId="0" fontId="6" fillId="0" borderId="0" xfId="0" applyFont="1" applyAlignment="1">
      <alignment vertical="center"/>
    </xf>
    <xf numFmtId="0" fontId="1" fillId="0" borderId="0" xfId="0" applyFont="1" applyAlignment="1">
      <alignment vertical="center"/>
    </xf>
    <xf numFmtId="0" fontId="9" fillId="0" borderId="3" xfId="0" applyFont="1" applyBorder="1" applyAlignment="1">
      <alignment horizontal="left" vertical="top" wrapText="1"/>
    </xf>
  </cellXfs>
  <cellStyles count="1">
    <cellStyle name="Normal" xfId="0" builtinId="0"/>
  </cellStyles>
  <dxfs count="1">
    <dxf>
      <fill>
        <patternFill>
          <bgColor rgb="FFF2F6F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1670050</xdr:colOff>
      <xdr:row>18</xdr:row>
      <xdr:rowOff>196850</xdr:rowOff>
    </xdr:to>
    <xdr:sp macro="" textlink="">
      <xdr:nvSpPr>
        <xdr:cNvPr id="1026" name="Text Box 2" hidden="1">
          <a:extLst>
            <a:ext uri="{FF2B5EF4-FFF2-40B4-BE49-F238E27FC236}">
              <a16:creationId xmlns:a16="http://schemas.microsoft.com/office/drawing/2014/main" id="{AC931E5D-CA33-B7B5-DFF4-0DD0694D5773}"/>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3771900</xdr:colOff>
      <xdr:row>146</xdr:row>
      <xdr:rowOff>88900</xdr:rowOff>
    </xdr:to>
    <xdr:sp macro="" textlink="">
      <xdr:nvSpPr>
        <xdr:cNvPr id="2182" name="Text Box 134" hidden="1">
          <a:extLst>
            <a:ext uri="{FF2B5EF4-FFF2-40B4-BE49-F238E27FC236}">
              <a16:creationId xmlns:a16="http://schemas.microsoft.com/office/drawing/2014/main" id="{A29D170A-6DC0-C7A9-A63A-0F3C1D546518}"/>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MaestroGrupos" displayName="TablaMaestroGrupos" ref="A13:L631" totalsRowShown="0">
  <autoFilter ref="A13:L631" xr:uid="{00000000-0009-0000-0100-000001000000}"/>
  <tableColumns count="12">
    <tableColumn id="1" xr3:uid="{00000000-0010-0000-0000-000001000000}" name="GRUPO / FAMILIA"/>
    <tableColumn id="2" xr3:uid="{00000000-0010-0000-0000-000002000000}" name="SOCIEDAD / COMPONENTE"/>
    <tableColumn id="3" xr3:uid="{00000000-0010-0000-0000-000003000000}" name="ADJUDICATARIO / UTE"/>
    <tableColumn id="4" xr3:uid="{00000000-0010-0000-0000-000004000000}" name="TIPO"/>
    <tableColumn id="5" xr3:uid="{00000000-0010-0000-0000-000005000000}" name="RELACIÓN CON EL GRUPO"/>
    <tableColumn id="6" xr3:uid="{00000000-0010-0000-0000-000006000000}" name="EXPEDIENTE"/>
    <tableColumn id="7" xr3:uid="{00000000-0010-0000-0000-000007000000}" name="LOTE"/>
    <tableColumn id="8" xr3:uid="{00000000-0010-0000-0000-000008000000}" name="CONTRATO Y PRESTACIÓN"/>
    <tableColumn id="9" xr3:uid="{00000000-0010-0000-0000-000009000000}" name="DISTRITO"/>
    <tableColumn id="10" xr3:uid="{00000000-0010-0000-0000-00000A000000}" name="SERVICIO"/>
    <tableColumn id="11" xr3:uid="{00000000-0010-0000-0000-00000B000000}" name="ESTADO / FECHA"/>
    <tableColumn id="12" xr3:uid="{00000000-0010-0000-0000-00000C000000}" name="FUENTE DOCUMENTAL"/>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5B83"/>
  </sheetPr>
  <dimension ref="A1:K517"/>
  <sheetViews>
    <sheetView showGridLines="0" tabSelected="1" topLeftCell="A4" zoomScale="90" zoomScaleNormal="90" workbookViewId="0">
      <selection activeCell="B14" sqref="B14:D14"/>
    </sheetView>
  </sheetViews>
  <sheetFormatPr defaultColWidth="8.90625" defaultRowHeight="14.5" x14ac:dyDescent="0.35"/>
  <cols>
    <col min="1" max="1" width="29" customWidth="1"/>
    <col min="2" max="3" width="38" customWidth="1"/>
    <col min="4" max="4" width="50" customWidth="1"/>
    <col min="5" max="5" width="13" customWidth="1"/>
    <col min="6" max="6" width="35" customWidth="1"/>
    <col min="7" max="7" width="21" customWidth="1"/>
    <col min="8" max="8" width="47" customWidth="1"/>
    <col min="10" max="11" width="13" hidden="1" customWidth="1"/>
  </cols>
  <sheetData>
    <row r="1" spans="1:11" ht="38" customHeight="1" x14ac:dyDescent="0.35">
      <c r="A1" s="17" t="s">
        <v>0</v>
      </c>
      <c r="B1" s="18"/>
      <c r="C1" s="18"/>
      <c r="D1" s="18"/>
      <c r="E1" s="18"/>
      <c r="F1" s="18"/>
      <c r="G1" s="18"/>
      <c r="H1" s="18"/>
      <c r="K1" t="str">
        <f>IF(OR(B4="",B4="Sin filtro"),"",B4)</f>
        <v/>
      </c>
    </row>
    <row r="2" spans="1:11" ht="26.15" customHeight="1" x14ac:dyDescent="0.35">
      <c r="A2" s="22" t="s">
        <v>1</v>
      </c>
      <c r="B2" s="18"/>
      <c r="C2" s="18"/>
      <c r="D2" s="18"/>
      <c r="E2" s="18"/>
      <c r="F2" s="18"/>
      <c r="G2" s="18"/>
      <c r="H2" s="18"/>
      <c r="K2" t="str">
        <f>IF(OR(B8="",B8="Sin filtro"),"",B8)</f>
        <v/>
      </c>
    </row>
    <row r="3" spans="1:11" x14ac:dyDescent="0.35">
      <c r="K3" t="str">
        <f>IF(OR(B10="",B10="Sin filtro"),"",B10)</f>
        <v/>
      </c>
    </row>
    <row r="4" spans="1:11" ht="34" customHeight="1" x14ac:dyDescent="0.35">
      <c r="A4" s="3" t="s">
        <v>2</v>
      </c>
      <c r="B4" s="19" t="s">
        <v>3</v>
      </c>
      <c r="C4" s="20"/>
      <c r="D4" s="20"/>
      <c r="E4" s="2" t="s">
        <v>4</v>
      </c>
      <c r="K4" t="str">
        <f>IF(OR(B12="",B12="Sin filtro"),"",B12)</f>
        <v/>
      </c>
    </row>
    <row r="5" spans="1:11" ht="7" customHeight="1" x14ac:dyDescent="0.35">
      <c r="K5" t="str">
        <f>IF(OR(B14="",B14="Sin filtro"),"",B14)</f>
        <v/>
      </c>
    </row>
    <row r="6" spans="1:11" ht="34" customHeight="1" x14ac:dyDescent="0.35">
      <c r="A6" s="3" t="s">
        <v>5</v>
      </c>
      <c r="B6" s="19" t="s">
        <v>3</v>
      </c>
      <c r="C6" s="20"/>
      <c r="D6" s="20"/>
      <c r="E6" s="2" t="s">
        <v>4</v>
      </c>
      <c r="K6" t="str">
        <f>IF(OR(B6="",B6="Sin filtro"),"",B6)</f>
        <v/>
      </c>
    </row>
    <row r="7" spans="1:11" ht="7" customHeight="1" x14ac:dyDescent="0.35"/>
    <row r="8" spans="1:11" ht="34" customHeight="1" x14ac:dyDescent="0.35">
      <c r="A8" s="3" t="s">
        <v>6</v>
      </c>
      <c r="B8" s="19" t="s">
        <v>3</v>
      </c>
      <c r="C8" s="20"/>
      <c r="D8" s="20"/>
      <c r="E8" s="2" t="s">
        <v>4</v>
      </c>
    </row>
    <row r="9" spans="1:11" ht="7" customHeight="1" x14ac:dyDescent="0.35"/>
    <row r="10" spans="1:11" ht="34" customHeight="1" x14ac:dyDescent="0.35">
      <c r="A10" s="3" t="s">
        <v>7</v>
      </c>
      <c r="B10" s="19" t="s">
        <v>3</v>
      </c>
      <c r="C10" s="20"/>
      <c r="D10" s="20"/>
      <c r="E10" s="2" t="s">
        <v>4</v>
      </c>
    </row>
    <row r="11" spans="1:11" ht="7" customHeight="1" x14ac:dyDescent="0.35"/>
    <row r="12" spans="1:11" ht="34" customHeight="1" x14ac:dyDescent="0.35">
      <c r="A12" s="3" t="s">
        <v>8</v>
      </c>
      <c r="B12" s="19" t="s">
        <v>3</v>
      </c>
      <c r="C12" s="20"/>
      <c r="D12" s="20"/>
      <c r="E12" s="2" t="s">
        <v>4</v>
      </c>
    </row>
    <row r="13" spans="1:11" ht="7" customHeight="1" x14ac:dyDescent="0.35"/>
    <row r="14" spans="1:11" ht="32" customHeight="1" x14ac:dyDescent="0.35">
      <c r="A14" s="3" t="s">
        <v>9</v>
      </c>
      <c r="B14" s="16" t="s">
        <v>3</v>
      </c>
      <c r="C14" s="16"/>
      <c r="D14" s="16"/>
      <c r="E14" s="14" t="s">
        <v>4</v>
      </c>
      <c r="F14" s="13"/>
      <c r="G14" s="13"/>
      <c r="H14" s="13"/>
    </row>
    <row r="15" spans="1:11" ht="10.5" customHeight="1" x14ac:dyDescent="0.35">
      <c r="A15" s="21"/>
      <c r="B15" s="18"/>
      <c r="C15" s="18"/>
      <c r="D15" s="18"/>
      <c r="E15" s="18"/>
      <c r="F15" s="18"/>
      <c r="G15" s="18"/>
      <c r="H15" s="18"/>
    </row>
    <row r="16" spans="1:11" ht="36.5" customHeight="1" x14ac:dyDescent="0.35">
      <c r="A16" s="15" t="str">
        <f>IF(AND(K3&lt;&gt;"",K4&lt;&gt;"",COUNTIFS(Datos!$C$2:$C$1000,K3,Datos!$D$2:$D$1000,K4)=0),"Revise filtros: Área y Dirección General no son compatibles",IF(AND(K4&lt;&gt;"",K5&lt;&gt;"",COUNTIFS(Datos!$D$2:$D$1000,K4,Datos!$E$2:$E$1000,K5)=0),"Revise filtros: Dirección y Subdirección no son compatibles",IF(SUM(IF(K1="",0,1),IF(K2="",0,1),IF(K3="",0,1),IF(K4="",0,1),IF(K5="",0,1),IF(K6="",0,1))=0,"Seleccione un criterio para iniciar la consulta",IF(SUM(Datos!V2:V1000)=0,"Sin coincidencias. Retire o cambie un criterio.",SUM(Datos!V2:V1000)&amp;" prestaciones encontradas"))))</f>
        <v>Seleccione un criterio para iniciar la consulta</v>
      </c>
      <c r="B16" s="15"/>
      <c r="C16" s="15"/>
      <c r="D16" s="15"/>
      <c r="E16" s="15"/>
      <c r="F16" s="15"/>
      <c r="G16" s="15"/>
      <c r="H16" s="15"/>
    </row>
    <row r="17" spans="1:10" ht="40" customHeight="1" x14ac:dyDescent="0.35">
      <c r="A17" s="9" t="s">
        <v>2</v>
      </c>
      <c r="B17" s="9" t="s">
        <v>9</v>
      </c>
      <c r="C17" s="10" t="s">
        <v>6</v>
      </c>
      <c r="D17" s="11" t="s">
        <v>10</v>
      </c>
      <c r="E17" s="11" t="s">
        <v>11</v>
      </c>
      <c r="F17" s="11" t="s">
        <v>12</v>
      </c>
      <c r="G17" s="11" t="s">
        <v>13</v>
      </c>
      <c r="H17" s="11" t="s">
        <v>14</v>
      </c>
    </row>
    <row r="18" spans="1:10" ht="82" customHeight="1" x14ac:dyDescent="0.35">
      <c r="A18" s="4" t="str">
        <f>IF($J18=0,"",IF(INDEX(Datos!$A$2:$A$1000,$J18)="","",INDEX(Datos!$A$2:$A$1000,$J18)))</f>
        <v/>
      </c>
      <c r="B18" s="5" t="str">
        <f>IF($J18=0,"",IF(INDEX(Datos!$E$2:$E$1000,$J18)="","",INDEX(Datos!$E$2:$E$1000,$J18)))</f>
        <v/>
      </c>
      <c r="C18" s="5" t="str">
        <f>IF($J18=0,"",IF(INDEX(Datos!$I$2:$I$1000,$J18)="","",INDEX(Datos!$I$2:$I$1000,$J18)))</f>
        <v/>
      </c>
      <c r="D18" s="6" t="str">
        <f>IF($J18=0,"",IF(INDEX(Datos!$F$2:$F$1000,$J18)="","",INDEX(Datos!$F$2:$F$1000,$J18)))</f>
        <v/>
      </c>
      <c r="E18" s="7" t="str">
        <f>IF($J18=0,"",IF(INDEX(Datos!$H$2:$H$1000,$J18)="","",INDEX(Datos!$H$2:$H$1000,$J18)))</f>
        <v/>
      </c>
      <c r="F18" s="6" t="str">
        <f>IF($J18=0,"",IF(INDEX(Datos!$N$2:$N$1000,$J18)="","",INDEX(Datos!$N$2:$N$1000,$J18)))</f>
        <v/>
      </c>
      <c r="G18" s="8" t="str">
        <f>IF($J18=0,"",IF(INDEX(Datos!$M$2:$M$1000,$J18)="","",INDEX(Datos!$M$2:$M$1000,$J18)))</f>
        <v/>
      </c>
      <c r="H18" s="6" t="str">
        <f>IF($J18=0,"",INDEX(Datos!$J$2:$J$1000,$J18)&amp;IF(INDEX(Datos!$Q$2:$Q$1000,$J18)="",""," | "&amp;INDEX(Datos!$Q$2:$Q$1000,$J18)))</f>
        <v/>
      </c>
      <c r="J18">
        <f>IFERROR(MATCH(ROW()-17,Datos!$W$2:$W$1000,0),0)</f>
        <v>0</v>
      </c>
    </row>
    <row r="19" spans="1:10" ht="82" customHeight="1" x14ac:dyDescent="0.35">
      <c r="A19" s="4" t="str">
        <f>IF($J19=0,"",IF(INDEX(Datos!$A$2:$A$1000,$J19)="","",INDEX(Datos!$A$2:$A$1000,$J19)))</f>
        <v/>
      </c>
      <c r="B19" s="5" t="str">
        <f>IF($J19=0,"",IF(INDEX(Datos!$E$2:$E$1000,$J19)="","",INDEX(Datos!$E$2:$E$1000,$J19)))</f>
        <v/>
      </c>
      <c r="C19" s="5" t="str">
        <f>IF($J19=0,"",IF(INDEX(Datos!$I$2:$I$1000,$J19)="","",INDEX(Datos!$I$2:$I$1000,$J19)))</f>
        <v/>
      </c>
      <c r="D19" s="6" t="str">
        <f>IF($J19=0,"",IF(INDEX(Datos!$F$2:$F$1000,$J19)="","",INDEX(Datos!$F$2:$F$1000,$J19)))</f>
        <v/>
      </c>
      <c r="E19" s="7" t="str">
        <f>IF($J19=0,"",IF(INDEX(Datos!$H$2:$H$1000,$J19)="","",INDEX(Datos!$H$2:$H$1000,$J19)))</f>
        <v/>
      </c>
      <c r="F19" s="6" t="str">
        <f>IF($J19=0,"",IF(INDEX(Datos!$N$2:$N$1000,$J19)="","",INDEX(Datos!$N$2:$N$1000,$J19)))</f>
        <v/>
      </c>
      <c r="G19" s="8" t="str">
        <f>IF($J19=0,"",IF(INDEX(Datos!$M$2:$M$1000,$J19)="","",INDEX(Datos!$M$2:$M$1000,$J19)))</f>
        <v/>
      </c>
      <c r="H19" s="6" t="str">
        <f>IF($J19=0,"",INDEX(Datos!$J$2:$J$1000,$J19)&amp;IF(INDEX(Datos!$Q$2:$Q$1000,$J19)="",""," | "&amp;INDEX(Datos!$Q$2:$Q$1000,$J19)))</f>
        <v/>
      </c>
      <c r="J19">
        <f>IFERROR(MATCH(ROW()-17,Datos!$W$2:$W$1000,0),0)</f>
        <v>0</v>
      </c>
    </row>
    <row r="20" spans="1:10" ht="82" customHeight="1" x14ac:dyDescent="0.35">
      <c r="A20" s="4" t="str">
        <f>IF($J20=0,"",IF(INDEX(Datos!$A$2:$A$1000,$J20)="","",INDEX(Datos!$A$2:$A$1000,$J20)))</f>
        <v/>
      </c>
      <c r="B20" s="5" t="str">
        <f>IF($J20=0,"",IF(INDEX(Datos!$E$2:$E$1000,$J20)="","",INDEX(Datos!$E$2:$E$1000,$J20)))</f>
        <v/>
      </c>
      <c r="C20" s="5" t="str">
        <f>IF($J20=0,"",IF(INDEX(Datos!$I$2:$I$1000,$J20)="","",INDEX(Datos!$I$2:$I$1000,$J20)))</f>
        <v/>
      </c>
      <c r="D20" s="6" t="str">
        <f>IF($J20=0,"",IF(INDEX(Datos!$F$2:$F$1000,$J20)="","",INDEX(Datos!$F$2:$F$1000,$J20)))</f>
        <v/>
      </c>
      <c r="E20" s="7" t="str">
        <f>IF($J20=0,"",IF(INDEX(Datos!$H$2:$H$1000,$J20)="","",INDEX(Datos!$H$2:$H$1000,$J20)))</f>
        <v/>
      </c>
      <c r="F20" s="6" t="str">
        <f>IF($J20=0,"",IF(INDEX(Datos!$N$2:$N$1000,$J20)="","",INDEX(Datos!$N$2:$N$1000,$J20)))</f>
        <v/>
      </c>
      <c r="G20" s="8" t="str">
        <f>IF($J20=0,"",IF(INDEX(Datos!$M$2:$M$1000,$J20)="","",INDEX(Datos!$M$2:$M$1000,$J20)))</f>
        <v/>
      </c>
      <c r="H20" s="6" t="str">
        <f>IF($J20=0,"",INDEX(Datos!$J$2:$J$1000,$J20)&amp;IF(INDEX(Datos!$Q$2:$Q$1000,$J20)="",""," | "&amp;INDEX(Datos!$Q$2:$Q$1000,$J20)))</f>
        <v/>
      </c>
      <c r="J20">
        <f>IFERROR(MATCH(ROW()-17,Datos!$W$2:$W$1000,0),0)</f>
        <v>0</v>
      </c>
    </row>
    <row r="21" spans="1:10" ht="82" customHeight="1" x14ac:dyDescent="0.35">
      <c r="A21" s="4" t="str">
        <f>IF($J21=0,"",IF(INDEX(Datos!$A$2:$A$1000,$J21)="","",INDEX(Datos!$A$2:$A$1000,$J21)))</f>
        <v/>
      </c>
      <c r="B21" s="5" t="str">
        <f>IF($J21=0,"",IF(INDEX(Datos!$E$2:$E$1000,$J21)="","",INDEX(Datos!$E$2:$E$1000,$J21)))</f>
        <v/>
      </c>
      <c r="C21" s="5" t="str">
        <f>IF($J21=0,"",IF(INDEX(Datos!$I$2:$I$1000,$J21)="","",INDEX(Datos!$I$2:$I$1000,$J21)))</f>
        <v/>
      </c>
      <c r="D21" s="6" t="str">
        <f>IF($J21=0,"",IF(INDEX(Datos!$F$2:$F$1000,$J21)="","",INDEX(Datos!$F$2:$F$1000,$J21)))</f>
        <v/>
      </c>
      <c r="E21" s="7" t="str">
        <f>IF($J21=0,"",IF(INDEX(Datos!$H$2:$H$1000,$J21)="","",INDEX(Datos!$H$2:$H$1000,$J21)))</f>
        <v/>
      </c>
      <c r="F21" s="6" t="str">
        <f>IF($J21=0,"",IF(INDEX(Datos!$N$2:$N$1000,$J21)="","",INDEX(Datos!$N$2:$N$1000,$J21)))</f>
        <v/>
      </c>
      <c r="G21" s="8" t="str">
        <f>IF($J21=0,"",IF(INDEX(Datos!$M$2:$M$1000,$J21)="","",INDEX(Datos!$M$2:$M$1000,$J21)))</f>
        <v/>
      </c>
      <c r="H21" s="6" t="str">
        <f>IF($J21=0,"",INDEX(Datos!$J$2:$J$1000,$J21)&amp;IF(INDEX(Datos!$Q$2:$Q$1000,$J21)="",""," | "&amp;INDEX(Datos!$Q$2:$Q$1000,$J21)))</f>
        <v/>
      </c>
      <c r="J21">
        <f>IFERROR(MATCH(ROW()-17,Datos!$W$2:$W$1000,0),0)</f>
        <v>0</v>
      </c>
    </row>
    <row r="22" spans="1:10" ht="82" customHeight="1" x14ac:dyDescent="0.35">
      <c r="A22" s="4" t="str">
        <f>IF($J22=0,"",IF(INDEX(Datos!$A$2:$A$1000,$J22)="","",INDEX(Datos!$A$2:$A$1000,$J22)))</f>
        <v/>
      </c>
      <c r="B22" s="5" t="str">
        <f>IF($J22=0,"",IF(INDEX(Datos!$E$2:$E$1000,$J22)="","",INDEX(Datos!$E$2:$E$1000,$J22)))</f>
        <v/>
      </c>
      <c r="C22" s="5" t="str">
        <f>IF($J22=0,"",IF(INDEX(Datos!$I$2:$I$1000,$J22)="","",INDEX(Datos!$I$2:$I$1000,$J22)))</f>
        <v/>
      </c>
      <c r="D22" s="6" t="str">
        <f>IF($J22=0,"",IF(INDEX(Datos!$F$2:$F$1000,$J22)="","",INDEX(Datos!$F$2:$F$1000,$J22)))</f>
        <v/>
      </c>
      <c r="E22" s="7" t="str">
        <f>IF($J22=0,"",IF(INDEX(Datos!$H$2:$H$1000,$J22)="","",INDEX(Datos!$H$2:$H$1000,$J22)))</f>
        <v/>
      </c>
      <c r="F22" s="6" t="str">
        <f>IF($J22=0,"",IF(INDEX(Datos!$N$2:$N$1000,$J22)="","",INDEX(Datos!$N$2:$N$1000,$J22)))</f>
        <v/>
      </c>
      <c r="G22" s="8" t="str">
        <f>IF($J22=0,"",IF(INDEX(Datos!$M$2:$M$1000,$J22)="","",INDEX(Datos!$M$2:$M$1000,$J22)))</f>
        <v/>
      </c>
      <c r="H22" s="6" t="str">
        <f>IF($J22=0,"",INDEX(Datos!$J$2:$J$1000,$J22)&amp;IF(INDEX(Datos!$Q$2:$Q$1000,$J22)="",""," | "&amp;INDEX(Datos!$Q$2:$Q$1000,$J22)))</f>
        <v/>
      </c>
      <c r="J22">
        <f>IFERROR(MATCH(ROW()-17,Datos!$W$2:$W$1000,0),0)</f>
        <v>0</v>
      </c>
    </row>
    <row r="23" spans="1:10" ht="82" customHeight="1" x14ac:dyDescent="0.35">
      <c r="A23" s="4" t="str">
        <f>IF($J23=0,"",IF(INDEX(Datos!$A$2:$A$1000,$J23)="","",INDEX(Datos!$A$2:$A$1000,$J23)))</f>
        <v/>
      </c>
      <c r="B23" s="5" t="str">
        <f>IF($J23=0,"",IF(INDEX(Datos!$E$2:$E$1000,$J23)="","",INDEX(Datos!$E$2:$E$1000,$J23)))</f>
        <v/>
      </c>
      <c r="C23" s="5" t="str">
        <f>IF($J23=0,"",IF(INDEX(Datos!$I$2:$I$1000,$J23)="","",INDEX(Datos!$I$2:$I$1000,$J23)))</f>
        <v/>
      </c>
      <c r="D23" s="6" t="str">
        <f>IF($J23=0,"",IF(INDEX(Datos!$F$2:$F$1000,$J23)="","",INDEX(Datos!$F$2:$F$1000,$J23)))</f>
        <v/>
      </c>
      <c r="E23" s="7" t="str">
        <f>IF($J23=0,"",IF(INDEX(Datos!$H$2:$H$1000,$J23)="","",INDEX(Datos!$H$2:$H$1000,$J23)))</f>
        <v/>
      </c>
      <c r="F23" s="6" t="str">
        <f>IF($J23=0,"",IF(INDEX(Datos!$N$2:$N$1000,$J23)="","",INDEX(Datos!$N$2:$N$1000,$J23)))</f>
        <v/>
      </c>
      <c r="G23" s="8" t="str">
        <f>IF($J23=0,"",IF(INDEX(Datos!$M$2:$M$1000,$J23)="","",INDEX(Datos!$M$2:$M$1000,$J23)))</f>
        <v/>
      </c>
      <c r="H23" s="6" t="str">
        <f>IF($J23=0,"",INDEX(Datos!$J$2:$J$1000,$J23)&amp;IF(INDEX(Datos!$Q$2:$Q$1000,$J23)="",""," | "&amp;INDEX(Datos!$Q$2:$Q$1000,$J23)))</f>
        <v/>
      </c>
      <c r="J23">
        <f>IFERROR(MATCH(ROW()-17,Datos!$W$2:$W$1000,0),0)</f>
        <v>0</v>
      </c>
    </row>
    <row r="24" spans="1:10" ht="82" customHeight="1" x14ac:dyDescent="0.35">
      <c r="A24" s="4" t="str">
        <f>IF($J24=0,"",IF(INDEX(Datos!$A$2:$A$1000,$J24)="","",INDEX(Datos!$A$2:$A$1000,$J24)))</f>
        <v/>
      </c>
      <c r="B24" s="5" t="str">
        <f>IF($J24=0,"",IF(INDEX(Datos!$E$2:$E$1000,$J24)="","",INDEX(Datos!$E$2:$E$1000,$J24)))</f>
        <v/>
      </c>
      <c r="C24" s="5" t="str">
        <f>IF($J24=0,"",IF(INDEX(Datos!$I$2:$I$1000,$J24)="","",INDEX(Datos!$I$2:$I$1000,$J24)))</f>
        <v/>
      </c>
      <c r="D24" s="6" t="str">
        <f>IF($J24=0,"",IF(INDEX(Datos!$F$2:$F$1000,$J24)="","",INDEX(Datos!$F$2:$F$1000,$J24)))</f>
        <v/>
      </c>
      <c r="E24" s="7" t="str">
        <f>IF($J24=0,"",IF(INDEX(Datos!$H$2:$H$1000,$J24)="","",INDEX(Datos!$H$2:$H$1000,$J24)))</f>
        <v/>
      </c>
      <c r="F24" s="6" t="str">
        <f>IF($J24=0,"",IF(INDEX(Datos!$N$2:$N$1000,$J24)="","",INDEX(Datos!$N$2:$N$1000,$J24)))</f>
        <v/>
      </c>
      <c r="G24" s="8" t="str">
        <f>IF($J24=0,"",IF(INDEX(Datos!$M$2:$M$1000,$J24)="","",INDEX(Datos!$M$2:$M$1000,$J24)))</f>
        <v/>
      </c>
      <c r="H24" s="6" t="str">
        <f>IF($J24=0,"",INDEX(Datos!$J$2:$J$1000,$J24)&amp;IF(INDEX(Datos!$Q$2:$Q$1000,$J24)="",""," | "&amp;INDEX(Datos!$Q$2:$Q$1000,$J24)))</f>
        <v/>
      </c>
      <c r="J24">
        <f>IFERROR(MATCH(ROW()-17,Datos!$W$2:$W$1000,0),0)</f>
        <v>0</v>
      </c>
    </row>
    <row r="25" spans="1:10" ht="82" customHeight="1" x14ac:dyDescent="0.35">
      <c r="A25" s="4" t="str">
        <f>IF($J25=0,"",IF(INDEX(Datos!$A$2:$A$1000,$J25)="","",INDEX(Datos!$A$2:$A$1000,$J25)))</f>
        <v/>
      </c>
      <c r="B25" s="5" t="str">
        <f>IF($J25=0,"",IF(INDEX(Datos!$E$2:$E$1000,$J25)="","",INDEX(Datos!$E$2:$E$1000,$J25)))</f>
        <v/>
      </c>
      <c r="C25" s="5" t="str">
        <f>IF($J25=0,"",IF(INDEX(Datos!$I$2:$I$1000,$J25)="","",INDEX(Datos!$I$2:$I$1000,$J25)))</f>
        <v/>
      </c>
      <c r="D25" s="6" t="str">
        <f>IF($J25=0,"",IF(INDEX(Datos!$F$2:$F$1000,$J25)="","",INDEX(Datos!$F$2:$F$1000,$J25)))</f>
        <v/>
      </c>
      <c r="E25" s="7" t="str">
        <f>IF($J25=0,"",IF(INDEX(Datos!$H$2:$H$1000,$J25)="","",INDEX(Datos!$H$2:$H$1000,$J25)))</f>
        <v/>
      </c>
      <c r="F25" s="6" t="str">
        <f>IF($J25=0,"",IF(INDEX(Datos!$N$2:$N$1000,$J25)="","",INDEX(Datos!$N$2:$N$1000,$J25)))</f>
        <v/>
      </c>
      <c r="G25" s="8" t="str">
        <f>IF($J25=0,"",IF(INDEX(Datos!$M$2:$M$1000,$J25)="","",INDEX(Datos!$M$2:$M$1000,$J25)))</f>
        <v/>
      </c>
      <c r="H25" s="6" t="str">
        <f>IF($J25=0,"",INDEX(Datos!$J$2:$J$1000,$J25)&amp;IF(INDEX(Datos!$Q$2:$Q$1000,$J25)="",""," | "&amp;INDEX(Datos!$Q$2:$Q$1000,$J25)))</f>
        <v/>
      </c>
      <c r="J25">
        <f>IFERROR(MATCH(ROW()-17,Datos!$W$2:$W$1000,0),0)</f>
        <v>0</v>
      </c>
    </row>
    <row r="26" spans="1:10" ht="82" customHeight="1" x14ac:dyDescent="0.35">
      <c r="A26" s="4" t="str">
        <f>IF($J26=0,"",IF(INDEX(Datos!$A$2:$A$1000,$J26)="","",INDEX(Datos!$A$2:$A$1000,$J26)))</f>
        <v/>
      </c>
      <c r="B26" s="5" t="str">
        <f>IF($J26=0,"",IF(INDEX(Datos!$E$2:$E$1000,$J26)="","",INDEX(Datos!$E$2:$E$1000,$J26)))</f>
        <v/>
      </c>
      <c r="C26" s="5" t="str">
        <f>IF($J26=0,"",IF(INDEX(Datos!$I$2:$I$1000,$J26)="","",INDEX(Datos!$I$2:$I$1000,$J26)))</f>
        <v/>
      </c>
      <c r="D26" s="6" t="str">
        <f>IF($J26=0,"",IF(INDEX(Datos!$F$2:$F$1000,$J26)="","",INDEX(Datos!$F$2:$F$1000,$J26)))</f>
        <v/>
      </c>
      <c r="E26" s="7" t="str">
        <f>IF($J26=0,"",IF(INDEX(Datos!$H$2:$H$1000,$J26)="","",INDEX(Datos!$H$2:$H$1000,$J26)))</f>
        <v/>
      </c>
      <c r="F26" s="6" t="str">
        <f>IF($J26=0,"",IF(INDEX(Datos!$N$2:$N$1000,$J26)="","",INDEX(Datos!$N$2:$N$1000,$J26)))</f>
        <v/>
      </c>
      <c r="G26" s="8" t="str">
        <f>IF($J26=0,"",IF(INDEX(Datos!$M$2:$M$1000,$J26)="","",INDEX(Datos!$M$2:$M$1000,$J26)))</f>
        <v/>
      </c>
      <c r="H26" s="6" t="str">
        <f>IF($J26=0,"",INDEX(Datos!$J$2:$J$1000,$J26)&amp;IF(INDEX(Datos!$Q$2:$Q$1000,$J26)="",""," | "&amp;INDEX(Datos!$Q$2:$Q$1000,$J26)))</f>
        <v/>
      </c>
      <c r="J26">
        <f>IFERROR(MATCH(ROW()-17,Datos!$W$2:$W$1000,0),0)</f>
        <v>0</v>
      </c>
    </row>
    <row r="27" spans="1:10" ht="82" customHeight="1" x14ac:dyDescent="0.35">
      <c r="A27" s="4" t="str">
        <f>IF($J27=0,"",IF(INDEX(Datos!$A$2:$A$1000,$J27)="","",INDEX(Datos!$A$2:$A$1000,$J27)))</f>
        <v/>
      </c>
      <c r="B27" s="5" t="str">
        <f>IF($J27=0,"",IF(INDEX(Datos!$E$2:$E$1000,$J27)="","",INDEX(Datos!$E$2:$E$1000,$J27)))</f>
        <v/>
      </c>
      <c r="C27" s="5" t="str">
        <f>IF($J27=0,"",IF(INDEX(Datos!$I$2:$I$1000,$J27)="","",INDEX(Datos!$I$2:$I$1000,$J27)))</f>
        <v/>
      </c>
      <c r="D27" s="6" t="str">
        <f>IF($J27=0,"",IF(INDEX(Datos!$F$2:$F$1000,$J27)="","",INDEX(Datos!$F$2:$F$1000,$J27)))</f>
        <v/>
      </c>
      <c r="E27" s="7" t="str">
        <f>IF($J27=0,"",IF(INDEX(Datos!$H$2:$H$1000,$J27)="","",INDEX(Datos!$H$2:$H$1000,$J27)))</f>
        <v/>
      </c>
      <c r="F27" s="6" t="str">
        <f>IF($J27=0,"",IF(INDEX(Datos!$N$2:$N$1000,$J27)="","",INDEX(Datos!$N$2:$N$1000,$J27)))</f>
        <v/>
      </c>
      <c r="G27" s="8" t="str">
        <f>IF($J27=0,"",IF(INDEX(Datos!$M$2:$M$1000,$J27)="","",INDEX(Datos!$M$2:$M$1000,$J27)))</f>
        <v/>
      </c>
      <c r="H27" s="6" t="str">
        <f>IF($J27=0,"",INDEX(Datos!$J$2:$J$1000,$J27)&amp;IF(INDEX(Datos!$Q$2:$Q$1000,$J27)="",""," | "&amp;INDEX(Datos!$Q$2:$Q$1000,$J27)))</f>
        <v/>
      </c>
      <c r="J27">
        <f>IFERROR(MATCH(ROW()-17,Datos!$W$2:$W$1000,0),0)</f>
        <v>0</v>
      </c>
    </row>
    <row r="28" spans="1:10" ht="82" customHeight="1" x14ac:dyDescent="0.35">
      <c r="A28" s="4" t="str">
        <f>IF($J28=0,"",IF(INDEX(Datos!$A$2:$A$1000,$J28)="","",INDEX(Datos!$A$2:$A$1000,$J28)))</f>
        <v/>
      </c>
      <c r="B28" s="5" t="str">
        <f>IF($J28=0,"",IF(INDEX(Datos!$E$2:$E$1000,$J28)="","",INDEX(Datos!$E$2:$E$1000,$J28)))</f>
        <v/>
      </c>
      <c r="C28" s="5" t="str">
        <f>IF($J28=0,"",IF(INDEX(Datos!$I$2:$I$1000,$J28)="","",INDEX(Datos!$I$2:$I$1000,$J28)))</f>
        <v/>
      </c>
      <c r="D28" s="6" t="str">
        <f>IF($J28=0,"",IF(INDEX(Datos!$F$2:$F$1000,$J28)="","",INDEX(Datos!$F$2:$F$1000,$J28)))</f>
        <v/>
      </c>
      <c r="E28" s="7" t="str">
        <f>IF($J28=0,"",IF(INDEX(Datos!$H$2:$H$1000,$J28)="","",INDEX(Datos!$H$2:$H$1000,$J28)))</f>
        <v/>
      </c>
      <c r="F28" s="6" t="str">
        <f>IF($J28=0,"",IF(INDEX(Datos!$N$2:$N$1000,$J28)="","",INDEX(Datos!$N$2:$N$1000,$J28)))</f>
        <v/>
      </c>
      <c r="G28" s="8" t="str">
        <f>IF($J28=0,"",IF(INDEX(Datos!$M$2:$M$1000,$J28)="","",INDEX(Datos!$M$2:$M$1000,$J28)))</f>
        <v/>
      </c>
      <c r="H28" s="6" t="str">
        <f>IF($J28=0,"",INDEX(Datos!$J$2:$J$1000,$J28)&amp;IF(INDEX(Datos!$Q$2:$Q$1000,$J28)="",""," | "&amp;INDEX(Datos!$Q$2:$Q$1000,$J28)))</f>
        <v/>
      </c>
      <c r="J28">
        <f>IFERROR(MATCH(ROW()-17,Datos!$W$2:$W$1000,0),0)</f>
        <v>0</v>
      </c>
    </row>
    <row r="29" spans="1:10" ht="82" customHeight="1" x14ac:dyDescent="0.35">
      <c r="A29" s="4" t="str">
        <f>IF($J29=0,"",IF(INDEX(Datos!$A$2:$A$1000,$J29)="","",INDEX(Datos!$A$2:$A$1000,$J29)))</f>
        <v/>
      </c>
      <c r="B29" s="5" t="str">
        <f>IF($J29=0,"",IF(INDEX(Datos!$E$2:$E$1000,$J29)="","",INDEX(Datos!$E$2:$E$1000,$J29)))</f>
        <v/>
      </c>
      <c r="C29" s="5" t="str">
        <f>IF($J29=0,"",IF(INDEX(Datos!$I$2:$I$1000,$J29)="","",INDEX(Datos!$I$2:$I$1000,$J29)))</f>
        <v/>
      </c>
      <c r="D29" s="6" t="str">
        <f>IF($J29=0,"",IF(INDEX(Datos!$F$2:$F$1000,$J29)="","",INDEX(Datos!$F$2:$F$1000,$J29)))</f>
        <v/>
      </c>
      <c r="E29" s="7" t="str">
        <f>IF($J29=0,"",IF(INDEX(Datos!$H$2:$H$1000,$J29)="","",INDEX(Datos!$H$2:$H$1000,$J29)))</f>
        <v/>
      </c>
      <c r="F29" s="6" t="str">
        <f>IF($J29=0,"",IF(INDEX(Datos!$N$2:$N$1000,$J29)="","",INDEX(Datos!$N$2:$N$1000,$J29)))</f>
        <v/>
      </c>
      <c r="G29" s="8" t="str">
        <f>IF($J29=0,"",IF(INDEX(Datos!$M$2:$M$1000,$J29)="","",INDEX(Datos!$M$2:$M$1000,$J29)))</f>
        <v/>
      </c>
      <c r="H29" s="6" t="str">
        <f>IF($J29=0,"",INDEX(Datos!$J$2:$J$1000,$J29)&amp;IF(INDEX(Datos!$Q$2:$Q$1000,$J29)="",""," | "&amp;INDEX(Datos!$Q$2:$Q$1000,$J29)))</f>
        <v/>
      </c>
      <c r="J29">
        <f>IFERROR(MATCH(ROW()-17,Datos!$W$2:$W$1000,0),0)</f>
        <v>0</v>
      </c>
    </row>
    <row r="30" spans="1:10" ht="82" customHeight="1" x14ac:dyDescent="0.35">
      <c r="A30" s="4" t="str">
        <f>IF($J30=0,"",IF(INDEX(Datos!$A$2:$A$1000,$J30)="","",INDEX(Datos!$A$2:$A$1000,$J30)))</f>
        <v/>
      </c>
      <c r="B30" s="5" t="str">
        <f>IF($J30=0,"",IF(INDEX(Datos!$E$2:$E$1000,$J30)="","",INDEX(Datos!$E$2:$E$1000,$J30)))</f>
        <v/>
      </c>
      <c r="C30" s="5" t="str">
        <f>IF($J30=0,"",IF(INDEX(Datos!$I$2:$I$1000,$J30)="","",INDEX(Datos!$I$2:$I$1000,$J30)))</f>
        <v/>
      </c>
      <c r="D30" s="6" t="str">
        <f>IF($J30=0,"",IF(INDEX(Datos!$F$2:$F$1000,$J30)="","",INDEX(Datos!$F$2:$F$1000,$J30)))</f>
        <v/>
      </c>
      <c r="E30" s="7" t="str">
        <f>IF($J30=0,"",IF(INDEX(Datos!$H$2:$H$1000,$J30)="","",INDEX(Datos!$H$2:$H$1000,$J30)))</f>
        <v/>
      </c>
      <c r="F30" s="6" t="str">
        <f>IF($J30=0,"",IF(INDEX(Datos!$N$2:$N$1000,$J30)="","",INDEX(Datos!$N$2:$N$1000,$J30)))</f>
        <v/>
      </c>
      <c r="G30" s="8" t="str">
        <f>IF($J30=0,"",IF(INDEX(Datos!$M$2:$M$1000,$J30)="","",INDEX(Datos!$M$2:$M$1000,$J30)))</f>
        <v/>
      </c>
      <c r="H30" s="6" t="str">
        <f>IF($J30=0,"",INDEX(Datos!$J$2:$J$1000,$J30)&amp;IF(INDEX(Datos!$Q$2:$Q$1000,$J30)="",""," | "&amp;INDEX(Datos!$Q$2:$Q$1000,$J30)))</f>
        <v/>
      </c>
      <c r="J30">
        <f>IFERROR(MATCH(ROW()-17,Datos!$W$2:$W$1000,0),0)</f>
        <v>0</v>
      </c>
    </row>
    <row r="31" spans="1:10" ht="82" customHeight="1" x14ac:dyDescent="0.35">
      <c r="A31" s="4" t="str">
        <f>IF($J31=0,"",IF(INDEX(Datos!$A$2:$A$1000,$J31)="","",INDEX(Datos!$A$2:$A$1000,$J31)))</f>
        <v/>
      </c>
      <c r="B31" s="5" t="str">
        <f>IF($J31=0,"",IF(INDEX(Datos!$E$2:$E$1000,$J31)="","",INDEX(Datos!$E$2:$E$1000,$J31)))</f>
        <v/>
      </c>
      <c r="C31" s="5" t="str">
        <f>IF($J31=0,"",IF(INDEX(Datos!$I$2:$I$1000,$J31)="","",INDEX(Datos!$I$2:$I$1000,$J31)))</f>
        <v/>
      </c>
      <c r="D31" s="6" t="str">
        <f>IF($J31=0,"",IF(INDEX(Datos!$F$2:$F$1000,$J31)="","",INDEX(Datos!$F$2:$F$1000,$J31)))</f>
        <v/>
      </c>
      <c r="E31" s="7" t="str">
        <f>IF($J31=0,"",IF(INDEX(Datos!$H$2:$H$1000,$J31)="","",INDEX(Datos!$H$2:$H$1000,$J31)))</f>
        <v/>
      </c>
      <c r="F31" s="6" t="str">
        <f>IF($J31=0,"",IF(INDEX(Datos!$N$2:$N$1000,$J31)="","",INDEX(Datos!$N$2:$N$1000,$J31)))</f>
        <v/>
      </c>
      <c r="G31" s="8" t="str">
        <f>IF($J31=0,"",IF(INDEX(Datos!$M$2:$M$1000,$J31)="","",INDEX(Datos!$M$2:$M$1000,$J31)))</f>
        <v/>
      </c>
      <c r="H31" s="6" t="str">
        <f>IF($J31=0,"",INDEX(Datos!$J$2:$J$1000,$J31)&amp;IF(INDEX(Datos!$Q$2:$Q$1000,$J31)="",""," | "&amp;INDEX(Datos!$Q$2:$Q$1000,$J31)))</f>
        <v/>
      </c>
      <c r="J31">
        <f>IFERROR(MATCH(ROW()-17,Datos!$W$2:$W$1000,0),0)</f>
        <v>0</v>
      </c>
    </row>
    <row r="32" spans="1:10" ht="82" customHeight="1" x14ac:dyDescent="0.35">
      <c r="A32" s="4" t="str">
        <f>IF($J32=0,"",IF(INDEX(Datos!$A$2:$A$1000,$J32)="","",INDEX(Datos!$A$2:$A$1000,$J32)))</f>
        <v/>
      </c>
      <c r="B32" s="5" t="str">
        <f>IF($J32=0,"",IF(INDEX(Datos!$E$2:$E$1000,$J32)="","",INDEX(Datos!$E$2:$E$1000,$J32)))</f>
        <v/>
      </c>
      <c r="C32" s="5" t="str">
        <f>IF($J32=0,"",IF(INDEX(Datos!$I$2:$I$1000,$J32)="","",INDEX(Datos!$I$2:$I$1000,$J32)))</f>
        <v/>
      </c>
      <c r="D32" s="6" t="str">
        <f>IF($J32=0,"",IF(INDEX(Datos!$F$2:$F$1000,$J32)="","",INDEX(Datos!$F$2:$F$1000,$J32)))</f>
        <v/>
      </c>
      <c r="E32" s="7" t="str">
        <f>IF($J32=0,"",IF(INDEX(Datos!$H$2:$H$1000,$J32)="","",INDEX(Datos!$H$2:$H$1000,$J32)))</f>
        <v/>
      </c>
      <c r="F32" s="6" t="str">
        <f>IF($J32=0,"",IF(INDEX(Datos!$N$2:$N$1000,$J32)="","",INDEX(Datos!$N$2:$N$1000,$J32)))</f>
        <v/>
      </c>
      <c r="G32" s="8" t="str">
        <f>IF($J32=0,"",IF(INDEX(Datos!$M$2:$M$1000,$J32)="","",INDEX(Datos!$M$2:$M$1000,$J32)))</f>
        <v/>
      </c>
      <c r="H32" s="6" t="str">
        <f>IF($J32=0,"",INDEX(Datos!$J$2:$J$1000,$J32)&amp;IF(INDEX(Datos!$Q$2:$Q$1000,$J32)="",""," | "&amp;INDEX(Datos!$Q$2:$Q$1000,$J32)))</f>
        <v/>
      </c>
      <c r="J32">
        <f>IFERROR(MATCH(ROW()-17,Datos!$W$2:$W$1000,0),0)</f>
        <v>0</v>
      </c>
    </row>
    <row r="33" spans="1:10" ht="82" customHeight="1" x14ac:dyDescent="0.35">
      <c r="A33" s="4" t="str">
        <f>IF($J33=0,"",IF(INDEX(Datos!$A$2:$A$1000,$J33)="","",INDEX(Datos!$A$2:$A$1000,$J33)))</f>
        <v/>
      </c>
      <c r="B33" s="5" t="str">
        <f>IF($J33=0,"",IF(INDEX(Datos!$E$2:$E$1000,$J33)="","",INDEX(Datos!$E$2:$E$1000,$J33)))</f>
        <v/>
      </c>
      <c r="C33" s="5" t="str">
        <f>IF($J33=0,"",IF(INDEX(Datos!$I$2:$I$1000,$J33)="","",INDEX(Datos!$I$2:$I$1000,$J33)))</f>
        <v/>
      </c>
      <c r="D33" s="6" t="str">
        <f>IF($J33=0,"",IF(INDEX(Datos!$F$2:$F$1000,$J33)="","",INDEX(Datos!$F$2:$F$1000,$J33)))</f>
        <v/>
      </c>
      <c r="E33" s="7" t="str">
        <f>IF($J33=0,"",IF(INDEX(Datos!$H$2:$H$1000,$J33)="","",INDEX(Datos!$H$2:$H$1000,$J33)))</f>
        <v/>
      </c>
      <c r="F33" s="6" t="str">
        <f>IF($J33=0,"",IF(INDEX(Datos!$N$2:$N$1000,$J33)="","",INDEX(Datos!$N$2:$N$1000,$J33)))</f>
        <v/>
      </c>
      <c r="G33" s="8" t="str">
        <f>IF($J33=0,"",IF(INDEX(Datos!$M$2:$M$1000,$J33)="","",INDEX(Datos!$M$2:$M$1000,$J33)))</f>
        <v/>
      </c>
      <c r="H33" s="6" t="str">
        <f>IF($J33=0,"",INDEX(Datos!$J$2:$J$1000,$J33)&amp;IF(INDEX(Datos!$Q$2:$Q$1000,$J33)="",""," | "&amp;INDEX(Datos!$Q$2:$Q$1000,$J33)))</f>
        <v/>
      </c>
      <c r="J33">
        <f>IFERROR(MATCH(ROW()-17,Datos!$W$2:$W$1000,0),0)</f>
        <v>0</v>
      </c>
    </row>
    <row r="34" spans="1:10" ht="82" customHeight="1" x14ac:dyDescent="0.35">
      <c r="A34" s="4" t="str">
        <f>IF($J34=0,"",IF(INDEX(Datos!$A$2:$A$1000,$J34)="","",INDEX(Datos!$A$2:$A$1000,$J34)))</f>
        <v/>
      </c>
      <c r="B34" s="5" t="str">
        <f>IF($J34=0,"",IF(INDEX(Datos!$E$2:$E$1000,$J34)="","",INDEX(Datos!$E$2:$E$1000,$J34)))</f>
        <v/>
      </c>
      <c r="C34" s="5" t="str">
        <f>IF($J34=0,"",IF(INDEX(Datos!$I$2:$I$1000,$J34)="","",INDEX(Datos!$I$2:$I$1000,$J34)))</f>
        <v/>
      </c>
      <c r="D34" s="6" t="str">
        <f>IF($J34=0,"",IF(INDEX(Datos!$F$2:$F$1000,$J34)="","",INDEX(Datos!$F$2:$F$1000,$J34)))</f>
        <v/>
      </c>
      <c r="E34" s="7" t="str">
        <f>IF($J34=0,"",IF(INDEX(Datos!$H$2:$H$1000,$J34)="","",INDEX(Datos!$H$2:$H$1000,$J34)))</f>
        <v/>
      </c>
      <c r="F34" s="6" t="str">
        <f>IF($J34=0,"",IF(INDEX(Datos!$N$2:$N$1000,$J34)="","",INDEX(Datos!$N$2:$N$1000,$J34)))</f>
        <v/>
      </c>
      <c r="G34" s="8" t="str">
        <f>IF($J34=0,"",IF(INDEX(Datos!$M$2:$M$1000,$J34)="","",INDEX(Datos!$M$2:$M$1000,$J34)))</f>
        <v/>
      </c>
      <c r="H34" s="6" t="str">
        <f>IF($J34=0,"",INDEX(Datos!$J$2:$J$1000,$J34)&amp;IF(INDEX(Datos!$Q$2:$Q$1000,$J34)="",""," | "&amp;INDEX(Datos!$Q$2:$Q$1000,$J34)))</f>
        <v/>
      </c>
      <c r="J34">
        <f>IFERROR(MATCH(ROW()-17,Datos!$W$2:$W$1000,0),0)</f>
        <v>0</v>
      </c>
    </row>
    <row r="35" spans="1:10" ht="82" customHeight="1" x14ac:dyDescent="0.35">
      <c r="A35" s="4" t="str">
        <f>IF($J35=0,"",IF(INDEX(Datos!$A$2:$A$1000,$J35)="","",INDEX(Datos!$A$2:$A$1000,$J35)))</f>
        <v/>
      </c>
      <c r="B35" s="5" t="str">
        <f>IF($J35=0,"",IF(INDEX(Datos!$E$2:$E$1000,$J35)="","",INDEX(Datos!$E$2:$E$1000,$J35)))</f>
        <v/>
      </c>
      <c r="C35" s="5" t="str">
        <f>IF($J35=0,"",IF(INDEX(Datos!$I$2:$I$1000,$J35)="","",INDEX(Datos!$I$2:$I$1000,$J35)))</f>
        <v/>
      </c>
      <c r="D35" s="6" t="str">
        <f>IF($J35=0,"",IF(INDEX(Datos!$F$2:$F$1000,$J35)="","",INDEX(Datos!$F$2:$F$1000,$J35)))</f>
        <v/>
      </c>
      <c r="E35" s="7" t="str">
        <f>IF($J35=0,"",IF(INDEX(Datos!$H$2:$H$1000,$J35)="","",INDEX(Datos!$H$2:$H$1000,$J35)))</f>
        <v/>
      </c>
      <c r="F35" s="6" t="str">
        <f>IF($J35=0,"",IF(INDEX(Datos!$N$2:$N$1000,$J35)="","",INDEX(Datos!$N$2:$N$1000,$J35)))</f>
        <v/>
      </c>
      <c r="G35" s="8" t="str">
        <f>IF($J35=0,"",IF(INDEX(Datos!$M$2:$M$1000,$J35)="","",INDEX(Datos!$M$2:$M$1000,$J35)))</f>
        <v/>
      </c>
      <c r="H35" s="6" t="str">
        <f>IF($J35=0,"",INDEX(Datos!$J$2:$J$1000,$J35)&amp;IF(INDEX(Datos!$Q$2:$Q$1000,$J35)="",""," | "&amp;INDEX(Datos!$Q$2:$Q$1000,$J35)))</f>
        <v/>
      </c>
      <c r="J35">
        <f>IFERROR(MATCH(ROW()-17,Datos!$W$2:$W$1000,0),0)</f>
        <v>0</v>
      </c>
    </row>
    <row r="36" spans="1:10" ht="82" customHeight="1" x14ac:dyDescent="0.35">
      <c r="A36" s="4" t="str">
        <f>IF($J36=0,"",IF(INDEX(Datos!$A$2:$A$1000,$J36)="","",INDEX(Datos!$A$2:$A$1000,$J36)))</f>
        <v/>
      </c>
      <c r="B36" s="5" t="str">
        <f>IF($J36=0,"",IF(INDEX(Datos!$E$2:$E$1000,$J36)="","",INDEX(Datos!$E$2:$E$1000,$J36)))</f>
        <v/>
      </c>
      <c r="C36" s="5" t="str">
        <f>IF($J36=0,"",IF(INDEX(Datos!$I$2:$I$1000,$J36)="","",INDEX(Datos!$I$2:$I$1000,$J36)))</f>
        <v/>
      </c>
      <c r="D36" s="6" t="str">
        <f>IF($J36=0,"",IF(INDEX(Datos!$F$2:$F$1000,$J36)="","",INDEX(Datos!$F$2:$F$1000,$J36)))</f>
        <v/>
      </c>
      <c r="E36" s="7" t="str">
        <f>IF($J36=0,"",IF(INDEX(Datos!$H$2:$H$1000,$J36)="","",INDEX(Datos!$H$2:$H$1000,$J36)))</f>
        <v/>
      </c>
      <c r="F36" s="6" t="str">
        <f>IF($J36=0,"",IF(INDEX(Datos!$N$2:$N$1000,$J36)="","",INDEX(Datos!$N$2:$N$1000,$J36)))</f>
        <v/>
      </c>
      <c r="G36" s="8" t="str">
        <f>IF($J36=0,"",IF(INDEX(Datos!$M$2:$M$1000,$J36)="","",INDEX(Datos!$M$2:$M$1000,$J36)))</f>
        <v/>
      </c>
      <c r="H36" s="6" t="str">
        <f>IF($J36=0,"",INDEX(Datos!$J$2:$J$1000,$J36)&amp;IF(INDEX(Datos!$Q$2:$Q$1000,$J36)="",""," | "&amp;INDEX(Datos!$Q$2:$Q$1000,$J36)))</f>
        <v/>
      </c>
      <c r="J36">
        <f>IFERROR(MATCH(ROW()-17,Datos!$W$2:$W$1000,0),0)</f>
        <v>0</v>
      </c>
    </row>
    <row r="37" spans="1:10" ht="82" customHeight="1" x14ac:dyDescent="0.35">
      <c r="A37" s="4" t="str">
        <f>IF($J37=0,"",IF(INDEX(Datos!$A$2:$A$1000,$J37)="","",INDEX(Datos!$A$2:$A$1000,$J37)))</f>
        <v/>
      </c>
      <c r="B37" s="5" t="str">
        <f>IF($J37=0,"",IF(INDEX(Datos!$E$2:$E$1000,$J37)="","",INDEX(Datos!$E$2:$E$1000,$J37)))</f>
        <v/>
      </c>
      <c r="C37" s="5" t="str">
        <f>IF($J37=0,"",IF(INDEX(Datos!$I$2:$I$1000,$J37)="","",INDEX(Datos!$I$2:$I$1000,$J37)))</f>
        <v/>
      </c>
      <c r="D37" s="6" t="str">
        <f>IF($J37=0,"",IF(INDEX(Datos!$F$2:$F$1000,$J37)="","",INDEX(Datos!$F$2:$F$1000,$J37)))</f>
        <v/>
      </c>
      <c r="E37" s="7" t="str">
        <f>IF($J37=0,"",IF(INDEX(Datos!$H$2:$H$1000,$J37)="","",INDEX(Datos!$H$2:$H$1000,$J37)))</f>
        <v/>
      </c>
      <c r="F37" s="6" t="str">
        <f>IF($J37=0,"",IF(INDEX(Datos!$N$2:$N$1000,$J37)="","",INDEX(Datos!$N$2:$N$1000,$J37)))</f>
        <v/>
      </c>
      <c r="G37" s="8" t="str">
        <f>IF($J37=0,"",IF(INDEX(Datos!$M$2:$M$1000,$J37)="","",INDEX(Datos!$M$2:$M$1000,$J37)))</f>
        <v/>
      </c>
      <c r="H37" s="6" t="str">
        <f>IF($J37=0,"",INDEX(Datos!$J$2:$J$1000,$J37)&amp;IF(INDEX(Datos!$Q$2:$Q$1000,$J37)="",""," | "&amp;INDEX(Datos!$Q$2:$Q$1000,$J37)))</f>
        <v/>
      </c>
      <c r="J37">
        <f>IFERROR(MATCH(ROW()-17,Datos!$W$2:$W$1000,0),0)</f>
        <v>0</v>
      </c>
    </row>
    <row r="38" spans="1:10" ht="82" customHeight="1" x14ac:dyDescent="0.35">
      <c r="A38" s="4" t="str">
        <f>IF($J38=0,"",IF(INDEX(Datos!$A$2:$A$1000,$J38)="","",INDEX(Datos!$A$2:$A$1000,$J38)))</f>
        <v/>
      </c>
      <c r="B38" s="5" t="str">
        <f>IF($J38=0,"",IF(INDEX(Datos!$E$2:$E$1000,$J38)="","",INDEX(Datos!$E$2:$E$1000,$J38)))</f>
        <v/>
      </c>
      <c r="C38" s="5" t="str">
        <f>IF($J38=0,"",IF(INDEX(Datos!$I$2:$I$1000,$J38)="","",INDEX(Datos!$I$2:$I$1000,$J38)))</f>
        <v/>
      </c>
      <c r="D38" s="6" t="str">
        <f>IF($J38=0,"",IF(INDEX(Datos!$F$2:$F$1000,$J38)="","",INDEX(Datos!$F$2:$F$1000,$J38)))</f>
        <v/>
      </c>
      <c r="E38" s="7" t="str">
        <f>IF($J38=0,"",IF(INDEX(Datos!$H$2:$H$1000,$J38)="","",INDEX(Datos!$H$2:$H$1000,$J38)))</f>
        <v/>
      </c>
      <c r="F38" s="6" t="str">
        <f>IF($J38=0,"",IF(INDEX(Datos!$N$2:$N$1000,$J38)="","",INDEX(Datos!$N$2:$N$1000,$J38)))</f>
        <v/>
      </c>
      <c r="G38" s="8" t="str">
        <f>IF($J38=0,"",IF(INDEX(Datos!$M$2:$M$1000,$J38)="","",INDEX(Datos!$M$2:$M$1000,$J38)))</f>
        <v/>
      </c>
      <c r="H38" s="6" t="str">
        <f>IF($J38=0,"",INDEX(Datos!$J$2:$J$1000,$J38)&amp;IF(INDEX(Datos!$Q$2:$Q$1000,$J38)="",""," | "&amp;INDEX(Datos!$Q$2:$Q$1000,$J38)))</f>
        <v/>
      </c>
      <c r="J38">
        <f>IFERROR(MATCH(ROW()-17,Datos!$W$2:$W$1000,0),0)</f>
        <v>0</v>
      </c>
    </row>
    <row r="39" spans="1:10" ht="82" customHeight="1" x14ac:dyDescent="0.35">
      <c r="A39" s="4" t="str">
        <f>IF($J39=0,"",IF(INDEX(Datos!$A$2:$A$1000,$J39)="","",INDEX(Datos!$A$2:$A$1000,$J39)))</f>
        <v/>
      </c>
      <c r="B39" s="5" t="str">
        <f>IF($J39=0,"",IF(INDEX(Datos!$E$2:$E$1000,$J39)="","",INDEX(Datos!$E$2:$E$1000,$J39)))</f>
        <v/>
      </c>
      <c r="C39" s="5" t="str">
        <f>IF($J39=0,"",IF(INDEX(Datos!$I$2:$I$1000,$J39)="","",INDEX(Datos!$I$2:$I$1000,$J39)))</f>
        <v/>
      </c>
      <c r="D39" s="6" t="str">
        <f>IF($J39=0,"",IF(INDEX(Datos!$F$2:$F$1000,$J39)="","",INDEX(Datos!$F$2:$F$1000,$J39)))</f>
        <v/>
      </c>
      <c r="E39" s="7" t="str">
        <f>IF($J39=0,"",IF(INDEX(Datos!$H$2:$H$1000,$J39)="","",INDEX(Datos!$H$2:$H$1000,$J39)))</f>
        <v/>
      </c>
      <c r="F39" s="6" t="str">
        <f>IF($J39=0,"",IF(INDEX(Datos!$N$2:$N$1000,$J39)="","",INDEX(Datos!$N$2:$N$1000,$J39)))</f>
        <v/>
      </c>
      <c r="G39" s="8" t="str">
        <f>IF($J39=0,"",IF(INDEX(Datos!$M$2:$M$1000,$J39)="","",INDEX(Datos!$M$2:$M$1000,$J39)))</f>
        <v/>
      </c>
      <c r="H39" s="6" t="str">
        <f>IF($J39=0,"",INDEX(Datos!$J$2:$J$1000,$J39)&amp;IF(INDEX(Datos!$Q$2:$Q$1000,$J39)="",""," | "&amp;INDEX(Datos!$Q$2:$Q$1000,$J39)))</f>
        <v/>
      </c>
      <c r="J39">
        <f>IFERROR(MATCH(ROW()-17,Datos!$W$2:$W$1000,0),0)</f>
        <v>0</v>
      </c>
    </row>
    <row r="40" spans="1:10" ht="82" customHeight="1" x14ac:dyDescent="0.35">
      <c r="A40" s="4" t="str">
        <f>IF($J40=0,"",IF(INDEX(Datos!$A$2:$A$1000,$J40)="","",INDEX(Datos!$A$2:$A$1000,$J40)))</f>
        <v/>
      </c>
      <c r="B40" s="5" t="str">
        <f>IF($J40=0,"",IF(INDEX(Datos!$E$2:$E$1000,$J40)="","",INDEX(Datos!$E$2:$E$1000,$J40)))</f>
        <v/>
      </c>
      <c r="C40" s="5" t="str">
        <f>IF($J40=0,"",IF(INDEX(Datos!$I$2:$I$1000,$J40)="","",INDEX(Datos!$I$2:$I$1000,$J40)))</f>
        <v/>
      </c>
      <c r="D40" s="6" t="str">
        <f>IF($J40=0,"",IF(INDEX(Datos!$F$2:$F$1000,$J40)="","",INDEX(Datos!$F$2:$F$1000,$J40)))</f>
        <v/>
      </c>
      <c r="E40" s="7" t="str">
        <f>IF($J40=0,"",IF(INDEX(Datos!$H$2:$H$1000,$J40)="","",INDEX(Datos!$H$2:$H$1000,$J40)))</f>
        <v/>
      </c>
      <c r="F40" s="6" t="str">
        <f>IF($J40=0,"",IF(INDEX(Datos!$N$2:$N$1000,$J40)="","",INDEX(Datos!$N$2:$N$1000,$J40)))</f>
        <v/>
      </c>
      <c r="G40" s="8" t="str">
        <f>IF($J40=0,"",IF(INDEX(Datos!$M$2:$M$1000,$J40)="","",INDEX(Datos!$M$2:$M$1000,$J40)))</f>
        <v/>
      </c>
      <c r="H40" s="6" t="str">
        <f>IF($J40=0,"",INDEX(Datos!$J$2:$J$1000,$J40)&amp;IF(INDEX(Datos!$Q$2:$Q$1000,$J40)="",""," | "&amp;INDEX(Datos!$Q$2:$Q$1000,$J40)))</f>
        <v/>
      </c>
      <c r="J40">
        <f>IFERROR(MATCH(ROW()-17,Datos!$W$2:$W$1000,0),0)</f>
        <v>0</v>
      </c>
    </row>
    <row r="41" spans="1:10" ht="82" customHeight="1" x14ac:dyDescent="0.35">
      <c r="A41" s="4" t="str">
        <f>IF($J41=0,"",IF(INDEX(Datos!$A$2:$A$1000,$J41)="","",INDEX(Datos!$A$2:$A$1000,$J41)))</f>
        <v/>
      </c>
      <c r="B41" s="5" t="str">
        <f>IF($J41=0,"",IF(INDEX(Datos!$E$2:$E$1000,$J41)="","",INDEX(Datos!$E$2:$E$1000,$J41)))</f>
        <v/>
      </c>
      <c r="C41" s="5" t="str">
        <f>IF($J41=0,"",IF(INDEX(Datos!$I$2:$I$1000,$J41)="","",INDEX(Datos!$I$2:$I$1000,$J41)))</f>
        <v/>
      </c>
      <c r="D41" s="6" t="str">
        <f>IF($J41=0,"",IF(INDEX(Datos!$F$2:$F$1000,$J41)="","",INDEX(Datos!$F$2:$F$1000,$J41)))</f>
        <v/>
      </c>
      <c r="E41" s="7" t="str">
        <f>IF($J41=0,"",IF(INDEX(Datos!$H$2:$H$1000,$J41)="","",INDEX(Datos!$H$2:$H$1000,$J41)))</f>
        <v/>
      </c>
      <c r="F41" s="6" t="str">
        <f>IF($J41=0,"",IF(INDEX(Datos!$N$2:$N$1000,$J41)="","",INDEX(Datos!$N$2:$N$1000,$J41)))</f>
        <v/>
      </c>
      <c r="G41" s="8" t="str">
        <f>IF($J41=0,"",IF(INDEX(Datos!$M$2:$M$1000,$J41)="","",INDEX(Datos!$M$2:$M$1000,$J41)))</f>
        <v/>
      </c>
      <c r="H41" s="6" t="str">
        <f>IF($J41=0,"",INDEX(Datos!$J$2:$J$1000,$J41)&amp;IF(INDEX(Datos!$Q$2:$Q$1000,$J41)="",""," | "&amp;INDEX(Datos!$Q$2:$Q$1000,$J41)))</f>
        <v/>
      </c>
      <c r="J41">
        <f>IFERROR(MATCH(ROW()-17,Datos!$W$2:$W$1000,0),0)</f>
        <v>0</v>
      </c>
    </row>
    <row r="42" spans="1:10" ht="82" customHeight="1" x14ac:dyDescent="0.35">
      <c r="A42" s="4" t="str">
        <f>IF($J42=0,"",IF(INDEX(Datos!$A$2:$A$1000,$J42)="","",INDEX(Datos!$A$2:$A$1000,$J42)))</f>
        <v/>
      </c>
      <c r="B42" s="5" t="str">
        <f>IF($J42=0,"",IF(INDEX(Datos!$E$2:$E$1000,$J42)="","",INDEX(Datos!$E$2:$E$1000,$J42)))</f>
        <v/>
      </c>
      <c r="C42" s="5" t="str">
        <f>IF($J42=0,"",IF(INDEX(Datos!$I$2:$I$1000,$J42)="","",INDEX(Datos!$I$2:$I$1000,$J42)))</f>
        <v/>
      </c>
      <c r="D42" s="6" t="str">
        <f>IF($J42=0,"",IF(INDEX(Datos!$F$2:$F$1000,$J42)="","",INDEX(Datos!$F$2:$F$1000,$J42)))</f>
        <v/>
      </c>
      <c r="E42" s="7" t="str">
        <f>IF($J42=0,"",IF(INDEX(Datos!$H$2:$H$1000,$J42)="","",INDEX(Datos!$H$2:$H$1000,$J42)))</f>
        <v/>
      </c>
      <c r="F42" s="6" t="str">
        <f>IF($J42=0,"",IF(INDEX(Datos!$N$2:$N$1000,$J42)="","",INDEX(Datos!$N$2:$N$1000,$J42)))</f>
        <v/>
      </c>
      <c r="G42" s="8" t="str">
        <f>IF($J42=0,"",IF(INDEX(Datos!$M$2:$M$1000,$J42)="","",INDEX(Datos!$M$2:$M$1000,$J42)))</f>
        <v/>
      </c>
      <c r="H42" s="6" t="str">
        <f>IF($J42=0,"",INDEX(Datos!$J$2:$J$1000,$J42)&amp;IF(INDEX(Datos!$Q$2:$Q$1000,$J42)="",""," | "&amp;INDEX(Datos!$Q$2:$Q$1000,$J42)))</f>
        <v/>
      </c>
      <c r="J42">
        <f>IFERROR(MATCH(ROW()-17,Datos!$W$2:$W$1000,0),0)</f>
        <v>0</v>
      </c>
    </row>
    <row r="43" spans="1:10" ht="82" customHeight="1" x14ac:dyDescent="0.35">
      <c r="A43" s="4" t="str">
        <f>IF($J43=0,"",IF(INDEX(Datos!$A$2:$A$1000,$J43)="","",INDEX(Datos!$A$2:$A$1000,$J43)))</f>
        <v/>
      </c>
      <c r="B43" s="5" t="str">
        <f>IF($J43=0,"",IF(INDEX(Datos!$E$2:$E$1000,$J43)="","",INDEX(Datos!$E$2:$E$1000,$J43)))</f>
        <v/>
      </c>
      <c r="C43" s="5" t="str">
        <f>IF($J43=0,"",IF(INDEX(Datos!$I$2:$I$1000,$J43)="","",INDEX(Datos!$I$2:$I$1000,$J43)))</f>
        <v/>
      </c>
      <c r="D43" s="6" t="str">
        <f>IF($J43=0,"",IF(INDEX(Datos!$F$2:$F$1000,$J43)="","",INDEX(Datos!$F$2:$F$1000,$J43)))</f>
        <v/>
      </c>
      <c r="E43" s="7" t="str">
        <f>IF($J43=0,"",IF(INDEX(Datos!$H$2:$H$1000,$J43)="","",INDEX(Datos!$H$2:$H$1000,$J43)))</f>
        <v/>
      </c>
      <c r="F43" s="6" t="str">
        <f>IF($J43=0,"",IF(INDEX(Datos!$N$2:$N$1000,$J43)="","",INDEX(Datos!$N$2:$N$1000,$J43)))</f>
        <v/>
      </c>
      <c r="G43" s="8" t="str">
        <f>IF($J43=0,"",IF(INDEX(Datos!$M$2:$M$1000,$J43)="","",INDEX(Datos!$M$2:$M$1000,$J43)))</f>
        <v/>
      </c>
      <c r="H43" s="6" t="str">
        <f>IF($J43=0,"",INDEX(Datos!$J$2:$J$1000,$J43)&amp;IF(INDEX(Datos!$Q$2:$Q$1000,$J43)="",""," | "&amp;INDEX(Datos!$Q$2:$Q$1000,$J43)))</f>
        <v/>
      </c>
      <c r="J43">
        <f>IFERROR(MATCH(ROW()-17,Datos!$W$2:$W$1000,0),0)</f>
        <v>0</v>
      </c>
    </row>
    <row r="44" spans="1:10" ht="82" customHeight="1" x14ac:dyDescent="0.35">
      <c r="A44" s="4" t="str">
        <f>IF($J44=0,"",IF(INDEX(Datos!$A$2:$A$1000,$J44)="","",INDEX(Datos!$A$2:$A$1000,$J44)))</f>
        <v/>
      </c>
      <c r="B44" s="5" t="str">
        <f>IF($J44=0,"",IF(INDEX(Datos!$E$2:$E$1000,$J44)="","",INDEX(Datos!$E$2:$E$1000,$J44)))</f>
        <v/>
      </c>
      <c r="C44" s="5" t="str">
        <f>IF($J44=0,"",IF(INDEX(Datos!$I$2:$I$1000,$J44)="","",INDEX(Datos!$I$2:$I$1000,$J44)))</f>
        <v/>
      </c>
      <c r="D44" s="6" t="str">
        <f>IF($J44=0,"",IF(INDEX(Datos!$F$2:$F$1000,$J44)="","",INDEX(Datos!$F$2:$F$1000,$J44)))</f>
        <v/>
      </c>
      <c r="E44" s="7" t="str">
        <f>IF($J44=0,"",IF(INDEX(Datos!$H$2:$H$1000,$J44)="","",INDEX(Datos!$H$2:$H$1000,$J44)))</f>
        <v/>
      </c>
      <c r="F44" s="6" t="str">
        <f>IF($J44=0,"",IF(INDEX(Datos!$N$2:$N$1000,$J44)="","",INDEX(Datos!$N$2:$N$1000,$J44)))</f>
        <v/>
      </c>
      <c r="G44" s="8" t="str">
        <f>IF($J44=0,"",IF(INDEX(Datos!$M$2:$M$1000,$J44)="","",INDEX(Datos!$M$2:$M$1000,$J44)))</f>
        <v/>
      </c>
      <c r="H44" s="6" t="str">
        <f>IF($J44=0,"",INDEX(Datos!$J$2:$J$1000,$J44)&amp;IF(INDEX(Datos!$Q$2:$Q$1000,$J44)="",""," | "&amp;INDEX(Datos!$Q$2:$Q$1000,$J44)))</f>
        <v/>
      </c>
      <c r="J44">
        <f>IFERROR(MATCH(ROW()-17,Datos!$W$2:$W$1000,0),0)</f>
        <v>0</v>
      </c>
    </row>
    <row r="45" spans="1:10" ht="82" customHeight="1" x14ac:dyDescent="0.35">
      <c r="A45" s="4" t="str">
        <f>IF($J45=0,"",IF(INDEX(Datos!$A$2:$A$1000,$J45)="","",INDEX(Datos!$A$2:$A$1000,$J45)))</f>
        <v/>
      </c>
      <c r="B45" s="5" t="str">
        <f>IF($J45=0,"",IF(INDEX(Datos!$E$2:$E$1000,$J45)="","",INDEX(Datos!$E$2:$E$1000,$J45)))</f>
        <v/>
      </c>
      <c r="C45" s="5" t="str">
        <f>IF($J45=0,"",IF(INDEX(Datos!$I$2:$I$1000,$J45)="","",INDEX(Datos!$I$2:$I$1000,$J45)))</f>
        <v/>
      </c>
      <c r="D45" s="6" t="str">
        <f>IF($J45=0,"",IF(INDEX(Datos!$F$2:$F$1000,$J45)="","",INDEX(Datos!$F$2:$F$1000,$J45)))</f>
        <v/>
      </c>
      <c r="E45" s="7" t="str">
        <f>IF($J45=0,"",IF(INDEX(Datos!$H$2:$H$1000,$J45)="","",INDEX(Datos!$H$2:$H$1000,$J45)))</f>
        <v/>
      </c>
      <c r="F45" s="6" t="str">
        <f>IF($J45=0,"",IF(INDEX(Datos!$N$2:$N$1000,$J45)="","",INDEX(Datos!$N$2:$N$1000,$J45)))</f>
        <v/>
      </c>
      <c r="G45" s="8" t="str">
        <f>IF($J45=0,"",IF(INDEX(Datos!$M$2:$M$1000,$J45)="","",INDEX(Datos!$M$2:$M$1000,$J45)))</f>
        <v/>
      </c>
      <c r="H45" s="6" t="str">
        <f>IF($J45=0,"",INDEX(Datos!$J$2:$J$1000,$J45)&amp;IF(INDEX(Datos!$Q$2:$Q$1000,$J45)="",""," | "&amp;INDEX(Datos!$Q$2:$Q$1000,$J45)))</f>
        <v/>
      </c>
      <c r="J45">
        <f>IFERROR(MATCH(ROW()-17,Datos!$W$2:$W$1000,0),0)</f>
        <v>0</v>
      </c>
    </row>
    <row r="46" spans="1:10" ht="82" customHeight="1" x14ac:dyDescent="0.35">
      <c r="A46" s="4" t="str">
        <f>IF($J46=0,"",IF(INDEX(Datos!$A$2:$A$1000,$J46)="","",INDEX(Datos!$A$2:$A$1000,$J46)))</f>
        <v/>
      </c>
      <c r="B46" s="5" t="str">
        <f>IF($J46=0,"",IF(INDEX(Datos!$E$2:$E$1000,$J46)="","",INDEX(Datos!$E$2:$E$1000,$J46)))</f>
        <v/>
      </c>
      <c r="C46" s="5" t="str">
        <f>IF($J46=0,"",IF(INDEX(Datos!$I$2:$I$1000,$J46)="","",INDEX(Datos!$I$2:$I$1000,$J46)))</f>
        <v/>
      </c>
      <c r="D46" s="6" t="str">
        <f>IF($J46=0,"",IF(INDEX(Datos!$F$2:$F$1000,$J46)="","",INDEX(Datos!$F$2:$F$1000,$J46)))</f>
        <v/>
      </c>
      <c r="E46" s="7" t="str">
        <f>IF($J46=0,"",IF(INDEX(Datos!$H$2:$H$1000,$J46)="","",INDEX(Datos!$H$2:$H$1000,$J46)))</f>
        <v/>
      </c>
      <c r="F46" s="6" t="str">
        <f>IF($J46=0,"",IF(INDEX(Datos!$N$2:$N$1000,$J46)="","",INDEX(Datos!$N$2:$N$1000,$J46)))</f>
        <v/>
      </c>
      <c r="G46" s="8" t="str">
        <f>IF($J46=0,"",IF(INDEX(Datos!$M$2:$M$1000,$J46)="","",INDEX(Datos!$M$2:$M$1000,$J46)))</f>
        <v/>
      </c>
      <c r="H46" s="6" t="str">
        <f>IF($J46=0,"",INDEX(Datos!$J$2:$J$1000,$J46)&amp;IF(INDEX(Datos!$Q$2:$Q$1000,$J46)="",""," | "&amp;INDEX(Datos!$Q$2:$Q$1000,$J46)))</f>
        <v/>
      </c>
      <c r="J46">
        <f>IFERROR(MATCH(ROW()-17,Datos!$W$2:$W$1000,0),0)</f>
        <v>0</v>
      </c>
    </row>
    <row r="47" spans="1:10" ht="82" customHeight="1" x14ac:dyDescent="0.35">
      <c r="A47" s="4" t="str">
        <f>IF($J47=0,"",IF(INDEX(Datos!$A$2:$A$1000,$J47)="","",INDEX(Datos!$A$2:$A$1000,$J47)))</f>
        <v/>
      </c>
      <c r="B47" s="5" t="str">
        <f>IF($J47=0,"",IF(INDEX(Datos!$E$2:$E$1000,$J47)="","",INDEX(Datos!$E$2:$E$1000,$J47)))</f>
        <v/>
      </c>
      <c r="C47" s="5" t="str">
        <f>IF($J47=0,"",IF(INDEX(Datos!$I$2:$I$1000,$J47)="","",INDEX(Datos!$I$2:$I$1000,$J47)))</f>
        <v/>
      </c>
      <c r="D47" s="6" t="str">
        <f>IF($J47=0,"",IF(INDEX(Datos!$F$2:$F$1000,$J47)="","",INDEX(Datos!$F$2:$F$1000,$J47)))</f>
        <v/>
      </c>
      <c r="E47" s="7" t="str">
        <f>IF($J47=0,"",IF(INDEX(Datos!$H$2:$H$1000,$J47)="","",INDEX(Datos!$H$2:$H$1000,$J47)))</f>
        <v/>
      </c>
      <c r="F47" s="6" t="str">
        <f>IF($J47=0,"",IF(INDEX(Datos!$N$2:$N$1000,$J47)="","",INDEX(Datos!$N$2:$N$1000,$J47)))</f>
        <v/>
      </c>
      <c r="G47" s="8" t="str">
        <f>IF($J47=0,"",IF(INDEX(Datos!$M$2:$M$1000,$J47)="","",INDEX(Datos!$M$2:$M$1000,$J47)))</f>
        <v/>
      </c>
      <c r="H47" s="6" t="str">
        <f>IF($J47=0,"",INDEX(Datos!$J$2:$J$1000,$J47)&amp;IF(INDEX(Datos!$Q$2:$Q$1000,$J47)="",""," | "&amp;INDEX(Datos!$Q$2:$Q$1000,$J47)))</f>
        <v/>
      </c>
      <c r="J47">
        <f>IFERROR(MATCH(ROW()-17,Datos!$W$2:$W$1000,0),0)</f>
        <v>0</v>
      </c>
    </row>
    <row r="48" spans="1:10" ht="82" customHeight="1" x14ac:dyDescent="0.35">
      <c r="A48" s="4" t="str">
        <f>IF($J48=0,"",IF(INDEX(Datos!$A$2:$A$1000,$J48)="","",INDEX(Datos!$A$2:$A$1000,$J48)))</f>
        <v/>
      </c>
      <c r="B48" s="5" t="str">
        <f>IF($J48=0,"",IF(INDEX(Datos!$E$2:$E$1000,$J48)="","",INDEX(Datos!$E$2:$E$1000,$J48)))</f>
        <v/>
      </c>
      <c r="C48" s="5" t="str">
        <f>IF($J48=0,"",IF(INDEX(Datos!$I$2:$I$1000,$J48)="","",INDEX(Datos!$I$2:$I$1000,$J48)))</f>
        <v/>
      </c>
      <c r="D48" s="6" t="str">
        <f>IF($J48=0,"",IF(INDEX(Datos!$F$2:$F$1000,$J48)="","",INDEX(Datos!$F$2:$F$1000,$J48)))</f>
        <v/>
      </c>
      <c r="E48" s="7" t="str">
        <f>IF($J48=0,"",IF(INDEX(Datos!$H$2:$H$1000,$J48)="","",INDEX(Datos!$H$2:$H$1000,$J48)))</f>
        <v/>
      </c>
      <c r="F48" s="6" t="str">
        <f>IF($J48=0,"",IF(INDEX(Datos!$N$2:$N$1000,$J48)="","",INDEX(Datos!$N$2:$N$1000,$J48)))</f>
        <v/>
      </c>
      <c r="G48" s="8" t="str">
        <f>IF($J48=0,"",IF(INDEX(Datos!$M$2:$M$1000,$J48)="","",INDEX(Datos!$M$2:$M$1000,$J48)))</f>
        <v/>
      </c>
      <c r="H48" s="6" t="str">
        <f>IF($J48=0,"",INDEX(Datos!$J$2:$J$1000,$J48)&amp;IF(INDEX(Datos!$Q$2:$Q$1000,$J48)="",""," | "&amp;INDEX(Datos!$Q$2:$Q$1000,$J48)))</f>
        <v/>
      </c>
      <c r="J48">
        <f>IFERROR(MATCH(ROW()-17,Datos!$W$2:$W$1000,0),0)</f>
        <v>0</v>
      </c>
    </row>
    <row r="49" spans="1:10" ht="82" customHeight="1" x14ac:dyDescent="0.35">
      <c r="A49" s="4" t="str">
        <f>IF($J49=0,"",IF(INDEX(Datos!$A$2:$A$1000,$J49)="","",INDEX(Datos!$A$2:$A$1000,$J49)))</f>
        <v/>
      </c>
      <c r="B49" s="5" t="str">
        <f>IF($J49=0,"",IF(INDEX(Datos!$E$2:$E$1000,$J49)="","",INDEX(Datos!$E$2:$E$1000,$J49)))</f>
        <v/>
      </c>
      <c r="C49" s="5" t="str">
        <f>IF($J49=0,"",IF(INDEX(Datos!$I$2:$I$1000,$J49)="","",INDEX(Datos!$I$2:$I$1000,$J49)))</f>
        <v/>
      </c>
      <c r="D49" s="6" t="str">
        <f>IF($J49=0,"",IF(INDEX(Datos!$F$2:$F$1000,$J49)="","",INDEX(Datos!$F$2:$F$1000,$J49)))</f>
        <v/>
      </c>
      <c r="E49" s="7" t="str">
        <f>IF($J49=0,"",IF(INDEX(Datos!$H$2:$H$1000,$J49)="","",INDEX(Datos!$H$2:$H$1000,$J49)))</f>
        <v/>
      </c>
      <c r="F49" s="6" t="str">
        <f>IF($J49=0,"",IF(INDEX(Datos!$N$2:$N$1000,$J49)="","",INDEX(Datos!$N$2:$N$1000,$J49)))</f>
        <v/>
      </c>
      <c r="G49" s="8" t="str">
        <f>IF($J49=0,"",IF(INDEX(Datos!$M$2:$M$1000,$J49)="","",INDEX(Datos!$M$2:$M$1000,$J49)))</f>
        <v/>
      </c>
      <c r="H49" s="6" t="str">
        <f>IF($J49=0,"",INDEX(Datos!$J$2:$J$1000,$J49)&amp;IF(INDEX(Datos!$Q$2:$Q$1000,$J49)="",""," | "&amp;INDEX(Datos!$Q$2:$Q$1000,$J49)))</f>
        <v/>
      </c>
      <c r="J49">
        <f>IFERROR(MATCH(ROW()-17,Datos!$W$2:$W$1000,0),0)</f>
        <v>0</v>
      </c>
    </row>
    <row r="50" spans="1:10" ht="82" customHeight="1" x14ac:dyDescent="0.35">
      <c r="A50" s="4" t="str">
        <f>IF($J50=0,"",IF(INDEX(Datos!$A$2:$A$1000,$J50)="","",INDEX(Datos!$A$2:$A$1000,$J50)))</f>
        <v/>
      </c>
      <c r="B50" s="5" t="str">
        <f>IF($J50=0,"",IF(INDEX(Datos!$E$2:$E$1000,$J50)="","",INDEX(Datos!$E$2:$E$1000,$J50)))</f>
        <v/>
      </c>
      <c r="C50" s="5" t="str">
        <f>IF($J50=0,"",IF(INDEX(Datos!$I$2:$I$1000,$J50)="","",INDEX(Datos!$I$2:$I$1000,$J50)))</f>
        <v/>
      </c>
      <c r="D50" s="6" t="str">
        <f>IF($J50=0,"",IF(INDEX(Datos!$F$2:$F$1000,$J50)="","",INDEX(Datos!$F$2:$F$1000,$J50)))</f>
        <v/>
      </c>
      <c r="E50" s="7" t="str">
        <f>IF($J50=0,"",IF(INDEX(Datos!$H$2:$H$1000,$J50)="","",INDEX(Datos!$H$2:$H$1000,$J50)))</f>
        <v/>
      </c>
      <c r="F50" s="6" t="str">
        <f>IF($J50=0,"",IF(INDEX(Datos!$N$2:$N$1000,$J50)="","",INDEX(Datos!$N$2:$N$1000,$J50)))</f>
        <v/>
      </c>
      <c r="G50" s="8" t="str">
        <f>IF($J50=0,"",IF(INDEX(Datos!$M$2:$M$1000,$J50)="","",INDEX(Datos!$M$2:$M$1000,$J50)))</f>
        <v/>
      </c>
      <c r="H50" s="6" t="str">
        <f>IF($J50=0,"",INDEX(Datos!$J$2:$J$1000,$J50)&amp;IF(INDEX(Datos!$Q$2:$Q$1000,$J50)="",""," | "&amp;INDEX(Datos!$Q$2:$Q$1000,$J50)))</f>
        <v/>
      </c>
      <c r="J50">
        <f>IFERROR(MATCH(ROW()-17,Datos!$W$2:$W$1000,0),0)</f>
        <v>0</v>
      </c>
    </row>
    <row r="51" spans="1:10" ht="82" customHeight="1" x14ac:dyDescent="0.35">
      <c r="A51" s="4" t="str">
        <f>IF($J51=0,"",IF(INDEX(Datos!$A$2:$A$1000,$J51)="","",INDEX(Datos!$A$2:$A$1000,$J51)))</f>
        <v/>
      </c>
      <c r="B51" s="5" t="str">
        <f>IF($J51=0,"",IF(INDEX(Datos!$E$2:$E$1000,$J51)="","",INDEX(Datos!$E$2:$E$1000,$J51)))</f>
        <v/>
      </c>
      <c r="C51" s="5" t="str">
        <f>IF($J51=0,"",IF(INDEX(Datos!$I$2:$I$1000,$J51)="","",INDEX(Datos!$I$2:$I$1000,$J51)))</f>
        <v/>
      </c>
      <c r="D51" s="6" t="str">
        <f>IF($J51=0,"",IF(INDEX(Datos!$F$2:$F$1000,$J51)="","",INDEX(Datos!$F$2:$F$1000,$J51)))</f>
        <v/>
      </c>
      <c r="E51" s="7" t="str">
        <f>IF($J51=0,"",IF(INDEX(Datos!$H$2:$H$1000,$J51)="","",INDEX(Datos!$H$2:$H$1000,$J51)))</f>
        <v/>
      </c>
      <c r="F51" s="6" t="str">
        <f>IF($J51=0,"",IF(INDEX(Datos!$N$2:$N$1000,$J51)="","",INDEX(Datos!$N$2:$N$1000,$J51)))</f>
        <v/>
      </c>
      <c r="G51" s="8" t="str">
        <f>IF($J51=0,"",IF(INDEX(Datos!$M$2:$M$1000,$J51)="","",INDEX(Datos!$M$2:$M$1000,$J51)))</f>
        <v/>
      </c>
      <c r="H51" s="6" t="str">
        <f>IF($J51=0,"",INDEX(Datos!$J$2:$J$1000,$J51)&amp;IF(INDEX(Datos!$Q$2:$Q$1000,$J51)="",""," | "&amp;INDEX(Datos!$Q$2:$Q$1000,$J51)))</f>
        <v/>
      </c>
      <c r="J51">
        <f>IFERROR(MATCH(ROW()-17,Datos!$W$2:$W$1000,0),0)</f>
        <v>0</v>
      </c>
    </row>
    <row r="52" spans="1:10" ht="82" customHeight="1" x14ac:dyDescent="0.35">
      <c r="A52" s="4" t="str">
        <f>IF($J52=0,"",IF(INDEX(Datos!$A$2:$A$1000,$J52)="","",INDEX(Datos!$A$2:$A$1000,$J52)))</f>
        <v/>
      </c>
      <c r="B52" s="5" t="str">
        <f>IF($J52=0,"",IF(INDEX(Datos!$E$2:$E$1000,$J52)="","",INDEX(Datos!$E$2:$E$1000,$J52)))</f>
        <v/>
      </c>
      <c r="C52" s="5" t="str">
        <f>IF($J52=0,"",IF(INDEX(Datos!$I$2:$I$1000,$J52)="","",INDEX(Datos!$I$2:$I$1000,$J52)))</f>
        <v/>
      </c>
      <c r="D52" s="6" t="str">
        <f>IF($J52=0,"",IF(INDEX(Datos!$F$2:$F$1000,$J52)="","",INDEX(Datos!$F$2:$F$1000,$J52)))</f>
        <v/>
      </c>
      <c r="E52" s="7" t="str">
        <f>IF($J52=0,"",IF(INDEX(Datos!$H$2:$H$1000,$J52)="","",INDEX(Datos!$H$2:$H$1000,$J52)))</f>
        <v/>
      </c>
      <c r="F52" s="6" t="str">
        <f>IF($J52=0,"",IF(INDEX(Datos!$N$2:$N$1000,$J52)="","",INDEX(Datos!$N$2:$N$1000,$J52)))</f>
        <v/>
      </c>
      <c r="G52" s="8" t="str">
        <f>IF($J52=0,"",IF(INDEX(Datos!$M$2:$M$1000,$J52)="","",INDEX(Datos!$M$2:$M$1000,$J52)))</f>
        <v/>
      </c>
      <c r="H52" s="6" t="str">
        <f>IF($J52=0,"",INDEX(Datos!$J$2:$J$1000,$J52)&amp;IF(INDEX(Datos!$Q$2:$Q$1000,$J52)="",""," | "&amp;INDEX(Datos!$Q$2:$Q$1000,$J52)))</f>
        <v/>
      </c>
      <c r="J52">
        <f>IFERROR(MATCH(ROW()-17,Datos!$W$2:$W$1000,0),0)</f>
        <v>0</v>
      </c>
    </row>
    <row r="53" spans="1:10" ht="82" customHeight="1" x14ac:dyDescent="0.35">
      <c r="A53" s="4" t="str">
        <f>IF($J53=0,"",IF(INDEX(Datos!$A$2:$A$1000,$J53)="","",INDEX(Datos!$A$2:$A$1000,$J53)))</f>
        <v/>
      </c>
      <c r="B53" s="5" t="str">
        <f>IF($J53=0,"",IF(INDEX(Datos!$E$2:$E$1000,$J53)="","",INDEX(Datos!$E$2:$E$1000,$J53)))</f>
        <v/>
      </c>
      <c r="C53" s="5" t="str">
        <f>IF($J53=0,"",IF(INDEX(Datos!$I$2:$I$1000,$J53)="","",INDEX(Datos!$I$2:$I$1000,$J53)))</f>
        <v/>
      </c>
      <c r="D53" s="6" t="str">
        <f>IF($J53=0,"",IF(INDEX(Datos!$F$2:$F$1000,$J53)="","",INDEX(Datos!$F$2:$F$1000,$J53)))</f>
        <v/>
      </c>
      <c r="E53" s="7" t="str">
        <f>IF($J53=0,"",IF(INDEX(Datos!$H$2:$H$1000,$J53)="","",INDEX(Datos!$H$2:$H$1000,$J53)))</f>
        <v/>
      </c>
      <c r="F53" s="6" t="str">
        <f>IF($J53=0,"",IF(INDEX(Datos!$N$2:$N$1000,$J53)="","",INDEX(Datos!$N$2:$N$1000,$J53)))</f>
        <v/>
      </c>
      <c r="G53" s="8" t="str">
        <f>IF($J53=0,"",IF(INDEX(Datos!$M$2:$M$1000,$J53)="","",INDEX(Datos!$M$2:$M$1000,$J53)))</f>
        <v/>
      </c>
      <c r="H53" s="6" t="str">
        <f>IF($J53=0,"",INDEX(Datos!$J$2:$J$1000,$J53)&amp;IF(INDEX(Datos!$Q$2:$Q$1000,$J53)="",""," | "&amp;INDEX(Datos!$Q$2:$Q$1000,$J53)))</f>
        <v/>
      </c>
      <c r="J53">
        <f>IFERROR(MATCH(ROW()-17,Datos!$W$2:$W$1000,0),0)</f>
        <v>0</v>
      </c>
    </row>
    <row r="54" spans="1:10" ht="82" customHeight="1" x14ac:dyDescent="0.35">
      <c r="A54" s="4" t="str">
        <f>IF($J54=0,"",IF(INDEX(Datos!$A$2:$A$1000,$J54)="","",INDEX(Datos!$A$2:$A$1000,$J54)))</f>
        <v/>
      </c>
      <c r="B54" s="5" t="str">
        <f>IF($J54=0,"",IF(INDEX(Datos!$E$2:$E$1000,$J54)="","",INDEX(Datos!$E$2:$E$1000,$J54)))</f>
        <v/>
      </c>
      <c r="C54" s="5" t="str">
        <f>IF($J54=0,"",IF(INDEX(Datos!$I$2:$I$1000,$J54)="","",INDEX(Datos!$I$2:$I$1000,$J54)))</f>
        <v/>
      </c>
      <c r="D54" s="6" t="str">
        <f>IF($J54=0,"",IF(INDEX(Datos!$F$2:$F$1000,$J54)="","",INDEX(Datos!$F$2:$F$1000,$J54)))</f>
        <v/>
      </c>
      <c r="E54" s="7" t="str">
        <f>IF($J54=0,"",IF(INDEX(Datos!$H$2:$H$1000,$J54)="","",INDEX(Datos!$H$2:$H$1000,$J54)))</f>
        <v/>
      </c>
      <c r="F54" s="6" t="str">
        <f>IF($J54=0,"",IF(INDEX(Datos!$N$2:$N$1000,$J54)="","",INDEX(Datos!$N$2:$N$1000,$J54)))</f>
        <v/>
      </c>
      <c r="G54" s="8" t="str">
        <f>IF($J54=0,"",IF(INDEX(Datos!$M$2:$M$1000,$J54)="","",INDEX(Datos!$M$2:$M$1000,$J54)))</f>
        <v/>
      </c>
      <c r="H54" s="6" t="str">
        <f>IF($J54=0,"",INDEX(Datos!$J$2:$J$1000,$J54)&amp;IF(INDEX(Datos!$Q$2:$Q$1000,$J54)="",""," | "&amp;INDEX(Datos!$Q$2:$Q$1000,$J54)))</f>
        <v/>
      </c>
      <c r="J54">
        <f>IFERROR(MATCH(ROW()-17,Datos!$W$2:$W$1000,0),0)</f>
        <v>0</v>
      </c>
    </row>
    <row r="55" spans="1:10" ht="82" customHeight="1" x14ac:dyDescent="0.35">
      <c r="A55" s="4" t="str">
        <f>IF($J55=0,"",IF(INDEX(Datos!$A$2:$A$1000,$J55)="","",INDEX(Datos!$A$2:$A$1000,$J55)))</f>
        <v/>
      </c>
      <c r="B55" s="5" t="str">
        <f>IF($J55=0,"",IF(INDEX(Datos!$E$2:$E$1000,$J55)="","",INDEX(Datos!$E$2:$E$1000,$J55)))</f>
        <v/>
      </c>
      <c r="C55" s="5" t="str">
        <f>IF($J55=0,"",IF(INDEX(Datos!$I$2:$I$1000,$J55)="","",INDEX(Datos!$I$2:$I$1000,$J55)))</f>
        <v/>
      </c>
      <c r="D55" s="6" t="str">
        <f>IF($J55=0,"",IF(INDEX(Datos!$F$2:$F$1000,$J55)="","",INDEX(Datos!$F$2:$F$1000,$J55)))</f>
        <v/>
      </c>
      <c r="E55" s="7" t="str">
        <f>IF($J55=0,"",IF(INDEX(Datos!$H$2:$H$1000,$J55)="","",INDEX(Datos!$H$2:$H$1000,$J55)))</f>
        <v/>
      </c>
      <c r="F55" s="6" t="str">
        <f>IF($J55=0,"",IF(INDEX(Datos!$N$2:$N$1000,$J55)="","",INDEX(Datos!$N$2:$N$1000,$J55)))</f>
        <v/>
      </c>
      <c r="G55" s="8" t="str">
        <f>IF($J55=0,"",IF(INDEX(Datos!$M$2:$M$1000,$J55)="","",INDEX(Datos!$M$2:$M$1000,$J55)))</f>
        <v/>
      </c>
      <c r="H55" s="6" t="str">
        <f>IF($J55=0,"",INDEX(Datos!$J$2:$J$1000,$J55)&amp;IF(INDEX(Datos!$Q$2:$Q$1000,$J55)="",""," | "&amp;INDEX(Datos!$Q$2:$Q$1000,$J55)))</f>
        <v/>
      </c>
      <c r="J55">
        <f>IFERROR(MATCH(ROW()-17,Datos!$W$2:$W$1000,0),0)</f>
        <v>0</v>
      </c>
    </row>
    <row r="56" spans="1:10" ht="82" customHeight="1" x14ac:dyDescent="0.35">
      <c r="A56" s="4" t="str">
        <f>IF($J56=0,"",IF(INDEX(Datos!$A$2:$A$1000,$J56)="","",INDEX(Datos!$A$2:$A$1000,$J56)))</f>
        <v/>
      </c>
      <c r="B56" s="5" t="str">
        <f>IF($J56=0,"",IF(INDEX(Datos!$E$2:$E$1000,$J56)="","",INDEX(Datos!$E$2:$E$1000,$J56)))</f>
        <v/>
      </c>
      <c r="C56" s="5" t="str">
        <f>IF($J56=0,"",IF(INDEX(Datos!$I$2:$I$1000,$J56)="","",INDEX(Datos!$I$2:$I$1000,$J56)))</f>
        <v/>
      </c>
      <c r="D56" s="6" t="str">
        <f>IF($J56=0,"",IF(INDEX(Datos!$F$2:$F$1000,$J56)="","",INDEX(Datos!$F$2:$F$1000,$J56)))</f>
        <v/>
      </c>
      <c r="E56" s="7" t="str">
        <f>IF($J56=0,"",IF(INDEX(Datos!$H$2:$H$1000,$J56)="","",INDEX(Datos!$H$2:$H$1000,$J56)))</f>
        <v/>
      </c>
      <c r="F56" s="6" t="str">
        <f>IF($J56=0,"",IF(INDEX(Datos!$N$2:$N$1000,$J56)="","",INDEX(Datos!$N$2:$N$1000,$J56)))</f>
        <v/>
      </c>
      <c r="G56" s="8" t="str">
        <f>IF($J56=0,"",IF(INDEX(Datos!$M$2:$M$1000,$J56)="","",INDEX(Datos!$M$2:$M$1000,$J56)))</f>
        <v/>
      </c>
      <c r="H56" s="6" t="str">
        <f>IF($J56=0,"",INDEX(Datos!$J$2:$J$1000,$J56)&amp;IF(INDEX(Datos!$Q$2:$Q$1000,$J56)="",""," | "&amp;INDEX(Datos!$Q$2:$Q$1000,$J56)))</f>
        <v/>
      </c>
      <c r="J56">
        <f>IFERROR(MATCH(ROW()-17,Datos!$W$2:$W$1000,0),0)</f>
        <v>0</v>
      </c>
    </row>
    <row r="57" spans="1:10" ht="82" customHeight="1" x14ac:dyDescent="0.35">
      <c r="A57" s="4" t="str">
        <f>IF($J57=0,"",IF(INDEX(Datos!$A$2:$A$1000,$J57)="","",INDEX(Datos!$A$2:$A$1000,$J57)))</f>
        <v/>
      </c>
      <c r="B57" s="5" t="str">
        <f>IF($J57=0,"",IF(INDEX(Datos!$E$2:$E$1000,$J57)="","",INDEX(Datos!$E$2:$E$1000,$J57)))</f>
        <v/>
      </c>
      <c r="C57" s="5" t="str">
        <f>IF($J57=0,"",IF(INDEX(Datos!$I$2:$I$1000,$J57)="","",INDEX(Datos!$I$2:$I$1000,$J57)))</f>
        <v/>
      </c>
      <c r="D57" s="6" t="str">
        <f>IF($J57=0,"",IF(INDEX(Datos!$F$2:$F$1000,$J57)="","",INDEX(Datos!$F$2:$F$1000,$J57)))</f>
        <v/>
      </c>
      <c r="E57" s="7" t="str">
        <f>IF($J57=0,"",IF(INDEX(Datos!$H$2:$H$1000,$J57)="","",INDEX(Datos!$H$2:$H$1000,$J57)))</f>
        <v/>
      </c>
      <c r="F57" s="6" t="str">
        <f>IF($J57=0,"",IF(INDEX(Datos!$N$2:$N$1000,$J57)="","",INDEX(Datos!$N$2:$N$1000,$J57)))</f>
        <v/>
      </c>
      <c r="G57" s="8" t="str">
        <f>IF($J57=0,"",IF(INDEX(Datos!$M$2:$M$1000,$J57)="","",INDEX(Datos!$M$2:$M$1000,$J57)))</f>
        <v/>
      </c>
      <c r="H57" s="6" t="str">
        <f>IF($J57=0,"",INDEX(Datos!$J$2:$J$1000,$J57)&amp;IF(INDEX(Datos!$Q$2:$Q$1000,$J57)="",""," | "&amp;INDEX(Datos!$Q$2:$Q$1000,$J57)))</f>
        <v/>
      </c>
      <c r="J57">
        <f>IFERROR(MATCH(ROW()-17,Datos!$W$2:$W$1000,0),0)</f>
        <v>0</v>
      </c>
    </row>
    <row r="58" spans="1:10" ht="82" customHeight="1" x14ac:dyDescent="0.35">
      <c r="A58" s="4" t="str">
        <f>IF($J58=0,"",IF(INDEX(Datos!$A$2:$A$1000,$J58)="","",INDEX(Datos!$A$2:$A$1000,$J58)))</f>
        <v/>
      </c>
      <c r="B58" s="5" t="str">
        <f>IF($J58=0,"",IF(INDEX(Datos!$E$2:$E$1000,$J58)="","",INDEX(Datos!$E$2:$E$1000,$J58)))</f>
        <v/>
      </c>
      <c r="C58" s="5" t="str">
        <f>IF($J58=0,"",IF(INDEX(Datos!$I$2:$I$1000,$J58)="","",INDEX(Datos!$I$2:$I$1000,$J58)))</f>
        <v/>
      </c>
      <c r="D58" s="6" t="str">
        <f>IF($J58=0,"",IF(INDEX(Datos!$F$2:$F$1000,$J58)="","",INDEX(Datos!$F$2:$F$1000,$J58)))</f>
        <v/>
      </c>
      <c r="E58" s="7" t="str">
        <f>IF($J58=0,"",IF(INDEX(Datos!$H$2:$H$1000,$J58)="","",INDEX(Datos!$H$2:$H$1000,$J58)))</f>
        <v/>
      </c>
      <c r="F58" s="6" t="str">
        <f>IF($J58=0,"",IF(INDEX(Datos!$N$2:$N$1000,$J58)="","",INDEX(Datos!$N$2:$N$1000,$J58)))</f>
        <v/>
      </c>
      <c r="G58" s="8" t="str">
        <f>IF($J58=0,"",IF(INDEX(Datos!$M$2:$M$1000,$J58)="","",INDEX(Datos!$M$2:$M$1000,$J58)))</f>
        <v/>
      </c>
      <c r="H58" s="6" t="str">
        <f>IF($J58=0,"",INDEX(Datos!$J$2:$J$1000,$J58)&amp;IF(INDEX(Datos!$Q$2:$Q$1000,$J58)="",""," | "&amp;INDEX(Datos!$Q$2:$Q$1000,$J58)))</f>
        <v/>
      </c>
      <c r="J58">
        <f>IFERROR(MATCH(ROW()-17,Datos!$W$2:$W$1000,0),0)</f>
        <v>0</v>
      </c>
    </row>
    <row r="59" spans="1:10" ht="82" customHeight="1" x14ac:dyDescent="0.35">
      <c r="A59" s="4" t="str">
        <f>IF($J59=0,"",IF(INDEX(Datos!$A$2:$A$1000,$J59)="","",INDEX(Datos!$A$2:$A$1000,$J59)))</f>
        <v/>
      </c>
      <c r="B59" s="5" t="str">
        <f>IF($J59=0,"",IF(INDEX(Datos!$E$2:$E$1000,$J59)="","",INDEX(Datos!$E$2:$E$1000,$J59)))</f>
        <v/>
      </c>
      <c r="C59" s="5" t="str">
        <f>IF($J59=0,"",IF(INDEX(Datos!$I$2:$I$1000,$J59)="","",INDEX(Datos!$I$2:$I$1000,$J59)))</f>
        <v/>
      </c>
      <c r="D59" s="6" t="str">
        <f>IF($J59=0,"",IF(INDEX(Datos!$F$2:$F$1000,$J59)="","",INDEX(Datos!$F$2:$F$1000,$J59)))</f>
        <v/>
      </c>
      <c r="E59" s="7" t="str">
        <f>IF($J59=0,"",IF(INDEX(Datos!$H$2:$H$1000,$J59)="","",INDEX(Datos!$H$2:$H$1000,$J59)))</f>
        <v/>
      </c>
      <c r="F59" s="6" t="str">
        <f>IF($J59=0,"",IF(INDEX(Datos!$N$2:$N$1000,$J59)="","",INDEX(Datos!$N$2:$N$1000,$J59)))</f>
        <v/>
      </c>
      <c r="G59" s="8" t="str">
        <f>IF($J59=0,"",IF(INDEX(Datos!$M$2:$M$1000,$J59)="","",INDEX(Datos!$M$2:$M$1000,$J59)))</f>
        <v/>
      </c>
      <c r="H59" s="6" t="str">
        <f>IF($J59=0,"",INDEX(Datos!$J$2:$J$1000,$J59)&amp;IF(INDEX(Datos!$Q$2:$Q$1000,$J59)="",""," | "&amp;INDEX(Datos!$Q$2:$Q$1000,$J59)))</f>
        <v/>
      </c>
      <c r="J59">
        <f>IFERROR(MATCH(ROW()-17,Datos!$W$2:$W$1000,0),0)</f>
        <v>0</v>
      </c>
    </row>
    <row r="60" spans="1:10" ht="82" customHeight="1" x14ac:dyDescent="0.35">
      <c r="A60" s="4" t="str">
        <f>IF($J60=0,"",IF(INDEX(Datos!$A$2:$A$1000,$J60)="","",INDEX(Datos!$A$2:$A$1000,$J60)))</f>
        <v/>
      </c>
      <c r="B60" s="5" t="str">
        <f>IF($J60=0,"",IF(INDEX(Datos!$E$2:$E$1000,$J60)="","",INDEX(Datos!$E$2:$E$1000,$J60)))</f>
        <v/>
      </c>
      <c r="C60" s="5" t="str">
        <f>IF($J60=0,"",IF(INDEX(Datos!$I$2:$I$1000,$J60)="","",INDEX(Datos!$I$2:$I$1000,$J60)))</f>
        <v/>
      </c>
      <c r="D60" s="6" t="str">
        <f>IF($J60=0,"",IF(INDEX(Datos!$F$2:$F$1000,$J60)="","",INDEX(Datos!$F$2:$F$1000,$J60)))</f>
        <v/>
      </c>
      <c r="E60" s="7" t="str">
        <f>IF($J60=0,"",IF(INDEX(Datos!$H$2:$H$1000,$J60)="","",INDEX(Datos!$H$2:$H$1000,$J60)))</f>
        <v/>
      </c>
      <c r="F60" s="6" t="str">
        <f>IF($J60=0,"",IF(INDEX(Datos!$N$2:$N$1000,$J60)="","",INDEX(Datos!$N$2:$N$1000,$J60)))</f>
        <v/>
      </c>
      <c r="G60" s="8" t="str">
        <f>IF($J60=0,"",IF(INDEX(Datos!$M$2:$M$1000,$J60)="","",INDEX(Datos!$M$2:$M$1000,$J60)))</f>
        <v/>
      </c>
      <c r="H60" s="6" t="str">
        <f>IF($J60=0,"",INDEX(Datos!$J$2:$J$1000,$J60)&amp;IF(INDEX(Datos!$Q$2:$Q$1000,$J60)="",""," | "&amp;INDEX(Datos!$Q$2:$Q$1000,$J60)))</f>
        <v/>
      </c>
      <c r="J60">
        <f>IFERROR(MATCH(ROW()-17,Datos!$W$2:$W$1000,0),0)</f>
        <v>0</v>
      </c>
    </row>
    <row r="61" spans="1:10" ht="82" customHeight="1" x14ac:dyDescent="0.35">
      <c r="A61" s="4" t="str">
        <f>IF($J61=0,"",IF(INDEX(Datos!$A$2:$A$1000,$J61)="","",INDEX(Datos!$A$2:$A$1000,$J61)))</f>
        <v/>
      </c>
      <c r="B61" s="5" t="str">
        <f>IF($J61=0,"",IF(INDEX(Datos!$E$2:$E$1000,$J61)="","",INDEX(Datos!$E$2:$E$1000,$J61)))</f>
        <v/>
      </c>
      <c r="C61" s="5" t="str">
        <f>IF($J61=0,"",IF(INDEX(Datos!$I$2:$I$1000,$J61)="","",INDEX(Datos!$I$2:$I$1000,$J61)))</f>
        <v/>
      </c>
      <c r="D61" s="6" t="str">
        <f>IF($J61=0,"",IF(INDEX(Datos!$F$2:$F$1000,$J61)="","",INDEX(Datos!$F$2:$F$1000,$J61)))</f>
        <v/>
      </c>
      <c r="E61" s="7" t="str">
        <f>IF($J61=0,"",IF(INDEX(Datos!$H$2:$H$1000,$J61)="","",INDEX(Datos!$H$2:$H$1000,$J61)))</f>
        <v/>
      </c>
      <c r="F61" s="6" t="str">
        <f>IF($J61=0,"",IF(INDEX(Datos!$N$2:$N$1000,$J61)="","",INDEX(Datos!$N$2:$N$1000,$J61)))</f>
        <v/>
      </c>
      <c r="G61" s="8" t="str">
        <f>IF($J61=0,"",IF(INDEX(Datos!$M$2:$M$1000,$J61)="","",INDEX(Datos!$M$2:$M$1000,$J61)))</f>
        <v/>
      </c>
      <c r="H61" s="6" t="str">
        <f>IF($J61=0,"",INDEX(Datos!$J$2:$J$1000,$J61)&amp;IF(INDEX(Datos!$Q$2:$Q$1000,$J61)="",""," | "&amp;INDEX(Datos!$Q$2:$Q$1000,$J61)))</f>
        <v/>
      </c>
      <c r="J61">
        <f>IFERROR(MATCH(ROW()-17,Datos!$W$2:$W$1000,0),0)</f>
        <v>0</v>
      </c>
    </row>
    <row r="62" spans="1:10" ht="82" customHeight="1" x14ac:dyDescent="0.35">
      <c r="A62" s="4" t="str">
        <f>IF($J62=0,"",IF(INDEX(Datos!$A$2:$A$1000,$J62)="","",INDEX(Datos!$A$2:$A$1000,$J62)))</f>
        <v/>
      </c>
      <c r="B62" s="5" t="str">
        <f>IF($J62=0,"",IF(INDEX(Datos!$E$2:$E$1000,$J62)="","",INDEX(Datos!$E$2:$E$1000,$J62)))</f>
        <v/>
      </c>
      <c r="C62" s="5" t="str">
        <f>IF($J62=0,"",IF(INDEX(Datos!$I$2:$I$1000,$J62)="","",INDEX(Datos!$I$2:$I$1000,$J62)))</f>
        <v/>
      </c>
      <c r="D62" s="6" t="str">
        <f>IF($J62=0,"",IF(INDEX(Datos!$F$2:$F$1000,$J62)="","",INDEX(Datos!$F$2:$F$1000,$J62)))</f>
        <v/>
      </c>
      <c r="E62" s="7" t="str">
        <f>IF($J62=0,"",IF(INDEX(Datos!$H$2:$H$1000,$J62)="","",INDEX(Datos!$H$2:$H$1000,$J62)))</f>
        <v/>
      </c>
      <c r="F62" s="6" t="str">
        <f>IF($J62=0,"",IF(INDEX(Datos!$N$2:$N$1000,$J62)="","",INDEX(Datos!$N$2:$N$1000,$J62)))</f>
        <v/>
      </c>
      <c r="G62" s="8" t="str">
        <f>IF($J62=0,"",IF(INDEX(Datos!$M$2:$M$1000,$J62)="","",INDEX(Datos!$M$2:$M$1000,$J62)))</f>
        <v/>
      </c>
      <c r="H62" s="6" t="str">
        <f>IF($J62=0,"",INDEX(Datos!$J$2:$J$1000,$J62)&amp;IF(INDEX(Datos!$Q$2:$Q$1000,$J62)="",""," | "&amp;INDEX(Datos!$Q$2:$Q$1000,$J62)))</f>
        <v/>
      </c>
      <c r="J62">
        <f>IFERROR(MATCH(ROW()-17,Datos!$W$2:$W$1000,0),0)</f>
        <v>0</v>
      </c>
    </row>
    <row r="63" spans="1:10" ht="82" customHeight="1" x14ac:dyDescent="0.35">
      <c r="A63" s="4" t="str">
        <f>IF($J63=0,"",IF(INDEX(Datos!$A$2:$A$1000,$J63)="","",INDEX(Datos!$A$2:$A$1000,$J63)))</f>
        <v/>
      </c>
      <c r="B63" s="5" t="str">
        <f>IF($J63=0,"",IF(INDEX(Datos!$E$2:$E$1000,$J63)="","",INDEX(Datos!$E$2:$E$1000,$J63)))</f>
        <v/>
      </c>
      <c r="C63" s="5" t="str">
        <f>IF($J63=0,"",IF(INDEX(Datos!$I$2:$I$1000,$J63)="","",INDEX(Datos!$I$2:$I$1000,$J63)))</f>
        <v/>
      </c>
      <c r="D63" s="6" t="str">
        <f>IF($J63=0,"",IF(INDEX(Datos!$F$2:$F$1000,$J63)="","",INDEX(Datos!$F$2:$F$1000,$J63)))</f>
        <v/>
      </c>
      <c r="E63" s="7" t="str">
        <f>IF($J63=0,"",IF(INDEX(Datos!$H$2:$H$1000,$J63)="","",INDEX(Datos!$H$2:$H$1000,$J63)))</f>
        <v/>
      </c>
      <c r="F63" s="6" t="str">
        <f>IF($J63=0,"",IF(INDEX(Datos!$N$2:$N$1000,$J63)="","",INDEX(Datos!$N$2:$N$1000,$J63)))</f>
        <v/>
      </c>
      <c r="G63" s="8" t="str">
        <f>IF($J63=0,"",IF(INDEX(Datos!$M$2:$M$1000,$J63)="","",INDEX(Datos!$M$2:$M$1000,$J63)))</f>
        <v/>
      </c>
      <c r="H63" s="6" t="str">
        <f>IF($J63=0,"",INDEX(Datos!$J$2:$J$1000,$J63)&amp;IF(INDEX(Datos!$Q$2:$Q$1000,$J63)="",""," | "&amp;INDEX(Datos!$Q$2:$Q$1000,$J63)))</f>
        <v/>
      </c>
      <c r="J63">
        <f>IFERROR(MATCH(ROW()-17,Datos!$W$2:$W$1000,0),0)</f>
        <v>0</v>
      </c>
    </row>
    <row r="64" spans="1:10" ht="82" customHeight="1" x14ac:dyDescent="0.35">
      <c r="A64" s="4" t="str">
        <f>IF($J64=0,"",IF(INDEX(Datos!$A$2:$A$1000,$J64)="","",INDEX(Datos!$A$2:$A$1000,$J64)))</f>
        <v/>
      </c>
      <c r="B64" s="5" t="str">
        <f>IF($J64=0,"",IF(INDEX(Datos!$E$2:$E$1000,$J64)="","",INDEX(Datos!$E$2:$E$1000,$J64)))</f>
        <v/>
      </c>
      <c r="C64" s="5" t="str">
        <f>IF($J64=0,"",IF(INDEX(Datos!$I$2:$I$1000,$J64)="","",INDEX(Datos!$I$2:$I$1000,$J64)))</f>
        <v/>
      </c>
      <c r="D64" s="6" t="str">
        <f>IF($J64=0,"",IF(INDEX(Datos!$F$2:$F$1000,$J64)="","",INDEX(Datos!$F$2:$F$1000,$J64)))</f>
        <v/>
      </c>
      <c r="E64" s="7" t="str">
        <f>IF($J64=0,"",IF(INDEX(Datos!$H$2:$H$1000,$J64)="","",INDEX(Datos!$H$2:$H$1000,$J64)))</f>
        <v/>
      </c>
      <c r="F64" s="6" t="str">
        <f>IF($J64=0,"",IF(INDEX(Datos!$N$2:$N$1000,$J64)="","",INDEX(Datos!$N$2:$N$1000,$J64)))</f>
        <v/>
      </c>
      <c r="G64" s="8" t="str">
        <f>IF($J64=0,"",IF(INDEX(Datos!$M$2:$M$1000,$J64)="","",INDEX(Datos!$M$2:$M$1000,$J64)))</f>
        <v/>
      </c>
      <c r="H64" s="6" t="str">
        <f>IF($J64=0,"",INDEX(Datos!$J$2:$J$1000,$J64)&amp;IF(INDEX(Datos!$Q$2:$Q$1000,$J64)="",""," | "&amp;INDEX(Datos!$Q$2:$Q$1000,$J64)))</f>
        <v/>
      </c>
      <c r="J64">
        <f>IFERROR(MATCH(ROW()-17,Datos!$W$2:$W$1000,0),0)</f>
        <v>0</v>
      </c>
    </row>
    <row r="65" spans="1:10" ht="82" customHeight="1" x14ac:dyDescent="0.35">
      <c r="A65" s="4" t="str">
        <f>IF($J65=0,"",IF(INDEX(Datos!$A$2:$A$1000,$J65)="","",INDEX(Datos!$A$2:$A$1000,$J65)))</f>
        <v/>
      </c>
      <c r="B65" s="5" t="str">
        <f>IF($J65=0,"",IF(INDEX(Datos!$E$2:$E$1000,$J65)="","",INDEX(Datos!$E$2:$E$1000,$J65)))</f>
        <v/>
      </c>
      <c r="C65" s="5" t="str">
        <f>IF($J65=0,"",IF(INDEX(Datos!$I$2:$I$1000,$J65)="","",INDEX(Datos!$I$2:$I$1000,$J65)))</f>
        <v/>
      </c>
      <c r="D65" s="6" t="str">
        <f>IF($J65=0,"",IF(INDEX(Datos!$F$2:$F$1000,$J65)="","",INDEX(Datos!$F$2:$F$1000,$J65)))</f>
        <v/>
      </c>
      <c r="E65" s="7" t="str">
        <f>IF($J65=0,"",IF(INDEX(Datos!$H$2:$H$1000,$J65)="","",INDEX(Datos!$H$2:$H$1000,$J65)))</f>
        <v/>
      </c>
      <c r="F65" s="6" t="str">
        <f>IF($J65=0,"",IF(INDEX(Datos!$N$2:$N$1000,$J65)="","",INDEX(Datos!$N$2:$N$1000,$J65)))</f>
        <v/>
      </c>
      <c r="G65" s="8" t="str">
        <f>IF($J65=0,"",IF(INDEX(Datos!$M$2:$M$1000,$J65)="","",INDEX(Datos!$M$2:$M$1000,$J65)))</f>
        <v/>
      </c>
      <c r="H65" s="6" t="str">
        <f>IF($J65=0,"",INDEX(Datos!$J$2:$J$1000,$J65)&amp;IF(INDEX(Datos!$Q$2:$Q$1000,$J65)="",""," | "&amp;INDEX(Datos!$Q$2:$Q$1000,$J65)))</f>
        <v/>
      </c>
      <c r="J65">
        <f>IFERROR(MATCH(ROW()-17,Datos!$W$2:$W$1000,0),0)</f>
        <v>0</v>
      </c>
    </row>
    <row r="66" spans="1:10" ht="82" customHeight="1" x14ac:dyDescent="0.35">
      <c r="A66" s="4" t="str">
        <f>IF($J66=0,"",IF(INDEX(Datos!$A$2:$A$1000,$J66)="","",INDEX(Datos!$A$2:$A$1000,$J66)))</f>
        <v/>
      </c>
      <c r="B66" s="5" t="str">
        <f>IF($J66=0,"",IF(INDEX(Datos!$E$2:$E$1000,$J66)="","",INDEX(Datos!$E$2:$E$1000,$J66)))</f>
        <v/>
      </c>
      <c r="C66" s="5" t="str">
        <f>IF($J66=0,"",IF(INDEX(Datos!$I$2:$I$1000,$J66)="","",INDEX(Datos!$I$2:$I$1000,$J66)))</f>
        <v/>
      </c>
      <c r="D66" s="6" t="str">
        <f>IF($J66=0,"",IF(INDEX(Datos!$F$2:$F$1000,$J66)="","",INDEX(Datos!$F$2:$F$1000,$J66)))</f>
        <v/>
      </c>
      <c r="E66" s="7" t="str">
        <f>IF($J66=0,"",IF(INDEX(Datos!$H$2:$H$1000,$J66)="","",INDEX(Datos!$H$2:$H$1000,$J66)))</f>
        <v/>
      </c>
      <c r="F66" s="6" t="str">
        <f>IF($J66=0,"",IF(INDEX(Datos!$N$2:$N$1000,$J66)="","",INDEX(Datos!$N$2:$N$1000,$J66)))</f>
        <v/>
      </c>
      <c r="G66" s="8" t="str">
        <f>IF($J66=0,"",IF(INDEX(Datos!$M$2:$M$1000,$J66)="","",INDEX(Datos!$M$2:$M$1000,$J66)))</f>
        <v/>
      </c>
      <c r="H66" s="6" t="str">
        <f>IF($J66=0,"",INDEX(Datos!$J$2:$J$1000,$J66)&amp;IF(INDEX(Datos!$Q$2:$Q$1000,$J66)="",""," | "&amp;INDEX(Datos!$Q$2:$Q$1000,$J66)))</f>
        <v/>
      </c>
      <c r="J66">
        <f>IFERROR(MATCH(ROW()-17,Datos!$W$2:$W$1000,0),0)</f>
        <v>0</v>
      </c>
    </row>
    <row r="67" spans="1:10" ht="82" customHeight="1" x14ac:dyDescent="0.35">
      <c r="A67" s="4" t="str">
        <f>IF($J67=0,"",IF(INDEX(Datos!$A$2:$A$1000,$J67)="","",INDEX(Datos!$A$2:$A$1000,$J67)))</f>
        <v/>
      </c>
      <c r="B67" s="5" t="str">
        <f>IF($J67=0,"",IF(INDEX(Datos!$E$2:$E$1000,$J67)="","",INDEX(Datos!$E$2:$E$1000,$J67)))</f>
        <v/>
      </c>
      <c r="C67" s="5" t="str">
        <f>IF($J67=0,"",IF(INDEX(Datos!$I$2:$I$1000,$J67)="","",INDEX(Datos!$I$2:$I$1000,$J67)))</f>
        <v/>
      </c>
      <c r="D67" s="6" t="str">
        <f>IF($J67=0,"",IF(INDEX(Datos!$F$2:$F$1000,$J67)="","",INDEX(Datos!$F$2:$F$1000,$J67)))</f>
        <v/>
      </c>
      <c r="E67" s="7" t="str">
        <f>IF($J67=0,"",IF(INDEX(Datos!$H$2:$H$1000,$J67)="","",INDEX(Datos!$H$2:$H$1000,$J67)))</f>
        <v/>
      </c>
      <c r="F67" s="6" t="str">
        <f>IF($J67=0,"",IF(INDEX(Datos!$N$2:$N$1000,$J67)="","",INDEX(Datos!$N$2:$N$1000,$J67)))</f>
        <v/>
      </c>
      <c r="G67" s="8" t="str">
        <f>IF($J67=0,"",IF(INDEX(Datos!$M$2:$M$1000,$J67)="","",INDEX(Datos!$M$2:$M$1000,$J67)))</f>
        <v/>
      </c>
      <c r="H67" s="6" t="str">
        <f>IF($J67=0,"",INDEX(Datos!$J$2:$J$1000,$J67)&amp;IF(INDEX(Datos!$Q$2:$Q$1000,$J67)="",""," | "&amp;INDEX(Datos!$Q$2:$Q$1000,$J67)))</f>
        <v/>
      </c>
      <c r="J67">
        <f>IFERROR(MATCH(ROW()-17,Datos!$W$2:$W$1000,0),0)</f>
        <v>0</v>
      </c>
    </row>
    <row r="68" spans="1:10" ht="82" customHeight="1" x14ac:dyDescent="0.35">
      <c r="A68" s="4" t="str">
        <f>IF($J68=0,"",IF(INDEX(Datos!$A$2:$A$1000,$J68)="","",INDEX(Datos!$A$2:$A$1000,$J68)))</f>
        <v/>
      </c>
      <c r="B68" s="5" t="str">
        <f>IF($J68=0,"",IF(INDEX(Datos!$E$2:$E$1000,$J68)="","",INDEX(Datos!$E$2:$E$1000,$J68)))</f>
        <v/>
      </c>
      <c r="C68" s="5" t="str">
        <f>IF($J68=0,"",IF(INDEX(Datos!$I$2:$I$1000,$J68)="","",INDEX(Datos!$I$2:$I$1000,$J68)))</f>
        <v/>
      </c>
      <c r="D68" s="6" t="str">
        <f>IF($J68=0,"",IF(INDEX(Datos!$F$2:$F$1000,$J68)="","",INDEX(Datos!$F$2:$F$1000,$J68)))</f>
        <v/>
      </c>
      <c r="E68" s="7" t="str">
        <f>IF($J68=0,"",IF(INDEX(Datos!$H$2:$H$1000,$J68)="","",INDEX(Datos!$H$2:$H$1000,$J68)))</f>
        <v/>
      </c>
      <c r="F68" s="6" t="str">
        <f>IF($J68=0,"",IF(INDEX(Datos!$N$2:$N$1000,$J68)="","",INDEX(Datos!$N$2:$N$1000,$J68)))</f>
        <v/>
      </c>
      <c r="G68" s="8" t="str">
        <f>IF($J68=0,"",IF(INDEX(Datos!$M$2:$M$1000,$J68)="","",INDEX(Datos!$M$2:$M$1000,$J68)))</f>
        <v/>
      </c>
      <c r="H68" s="6" t="str">
        <f>IF($J68=0,"",INDEX(Datos!$J$2:$J$1000,$J68)&amp;IF(INDEX(Datos!$Q$2:$Q$1000,$J68)="",""," | "&amp;INDEX(Datos!$Q$2:$Q$1000,$J68)))</f>
        <v/>
      </c>
      <c r="J68">
        <f>IFERROR(MATCH(ROW()-17,Datos!$W$2:$W$1000,0),0)</f>
        <v>0</v>
      </c>
    </row>
    <row r="69" spans="1:10" ht="82" customHeight="1" x14ac:dyDescent="0.35">
      <c r="A69" s="4" t="str">
        <f>IF($J69=0,"",IF(INDEX(Datos!$A$2:$A$1000,$J69)="","",INDEX(Datos!$A$2:$A$1000,$J69)))</f>
        <v/>
      </c>
      <c r="B69" s="5" t="str">
        <f>IF($J69=0,"",IF(INDEX(Datos!$E$2:$E$1000,$J69)="","",INDEX(Datos!$E$2:$E$1000,$J69)))</f>
        <v/>
      </c>
      <c r="C69" s="5" t="str">
        <f>IF($J69=0,"",IF(INDEX(Datos!$I$2:$I$1000,$J69)="","",INDEX(Datos!$I$2:$I$1000,$J69)))</f>
        <v/>
      </c>
      <c r="D69" s="6" t="str">
        <f>IF($J69=0,"",IF(INDEX(Datos!$F$2:$F$1000,$J69)="","",INDEX(Datos!$F$2:$F$1000,$J69)))</f>
        <v/>
      </c>
      <c r="E69" s="7" t="str">
        <f>IF($J69=0,"",IF(INDEX(Datos!$H$2:$H$1000,$J69)="","",INDEX(Datos!$H$2:$H$1000,$J69)))</f>
        <v/>
      </c>
      <c r="F69" s="6" t="str">
        <f>IF($J69=0,"",IF(INDEX(Datos!$N$2:$N$1000,$J69)="","",INDEX(Datos!$N$2:$N$1000,$J69)))</f>
        <v/>
      </c>
      <c r="G69" s="8" t="str">
        <f>IF($J69=0,"",IF(INDEX(Datos!$M$2:$M$1000,$J69)="","",INDEX(Datos!$M$2:$M$1000,$J69)))</f>
        <v/>
      </c>
      <c r="H69" s="6" t="str">
        <f>IF($J69=0,"",INDEX(Datos!$J$2:$J$1000,$J69)&amp;IF(INDEX(Datos!$Q$2:$Q$1000,$J69)="",""," | "&amp;INDEX(Datos!$Q$2:$Q$1000,$J69)))</f>
        <v/>
      </c>
      <c r="J69">
        <f>IFERROR(MATCH(ROW()-17,Datos!$W$2:$W$1000,0),0)</f>
        <v>0</v>
      </c>
    </row>
    <row r="70" spans="1:10" ht="82" customHeight="1" x14ac:dyDescent="0.35">
      <c r="A70" s="4" t="str">
        <f>IF($J70=0,"",IF(INDEX(Datos!$A$2:$A$1000,$J70)="","",INDEX(Datos!$A$2:$A$1000,$J70)))</f>
        <v/>
      </c>
      <c r="B70" s="5" t="str">
        <f>IF($J70=0,"",IF(INDEX(Datos!$E$2:$E$1000,$J70)="","",INDEX(Datos!$E$2:$E$1000,$J70)))</f>
        <v/>
      </c>
      <c r="C70" s="5" t="str">
        <f>IF($J70=0,"",IF(INDEX(Datos!$I$2:$I$1000,$J70)="","",INDEX(Datos!$I$2:$I$1000,$J70)))</f>
        <v/>
      </c>
      <c r="D70" s="6" t="str">
        <f>IF($J70=0,"",IF(INDEX(Datos!$F$2:$F$1000,$J70)="","",INDEX(Datos!$F$2:$F$1000,$J70)))</f>
        <v/>
      </c>
      <c r="E70" s="7" t="str">
        <f>IF($J70=0,"",IF(INDEX(Datos!$H$2:$H$1000,$J70)="","",INDEX(Datos!$H$2:$H$1000,$J70)))</f>
        <v/>
      </c>
      <c r="F70" s="6" t="str">
        <f>IF($J70=0,"",IF(INDEX(Datos!$N$2:$N$1000,$J70)="","",INDEX(Datos!$N$2:$N$1000,$J70)))</f>
        <v/>
      </c>
      <c r="G70" s="8" t="str">
        <f>IF($J70=0,"",IF(INDEX(Datos!$M$2:$M$1000,$J70)="","",INDEX(Datos!$M$2:$M$1000,$J70)))</f>
        <v/>
      </c>
      <c r="H70" s="6" t="str">
        <f>IF($J70=0,"",INDEX(Datos!$J$2:$J$1000,$J70)&amp;IF(INDEX(Datos!$Q$2:$Q$1000,$J70)="",""," | "&amp;INDEX(Datos!$Q$2:$Q$1000,$J70)))</f>
        <v/>
      </c>
      <c r="J70">
        <f>IFERROR(MATCH(ROW()-17,Datos!$W$2:$W$1000,0),0)</f>
        <v>0</v>
      </c>
    </row>
    <row r="71" spans="1:10" ht="82" customHeight="1" x14ac:dyDescent="0.35">
      <c r="A71" s="4" t="str">
        <f>IF($J71=0,"",IF(INDEX(Datos!$A$2:$A$1000,$J71)="","",INDEX(Datos!$A$2:$A$1000,$J71)))</f>
        <v/>
      </c>
      <c r="B71" s="5" t="str">
        <f>IF($J71=0,"",IF(INDEX(Datos!$E$2:$E$1000,$J71)="","",INDEX(Datos!$E$2:$E$1000,$J71)))</f>
        <v/>
      </c>
      <c r="C71" s="5" t="str">
        <f>IF($J71=0,"",IF(INDEX(Datos!$I$2:$I$1000,$J71)="","",INDEX(Datos!$I$2:$I$1000,$J71)))</f>
        <v/>
      </c>
      <c r="D71" s="6" t="str">
        <f>IF($J71=0,"",IF(INDEX(Datos!$F$2:$F$1000,$J71)="","",INDEX(Datos!$F$2:$F$1000,$J71)))</f>
        <v/>
      </c>
      <c r="E71" s="7" t="str">
        <f>IF($J71=0,"",IF(INDEX(Datos!$H$2:$H$1000,$J71)="","",INDEX(Datos!$H$2:$H$1000,$J71)))</f>
        <v/>
      </c>
      <c r="F71" s="6" t="str">
        <f>IF($J71=0,"",IF(INDEX(Datos!$N$2:$N$1000,$J71)="","",INDEX(Datos!$N$2:$N$1000,$J71)))</f>
        <v/>
      </c>
      <c r="G71" s="8" t="str">
        <f>IF($J71=0,"",IF(INDEX(Datos!$M$2:$M$1000,$J71)="","",INDEX(Datos!$M$2:$M$1000,$J71)))</f>
        <v/>
      </c>
      <c r="H71" s="6" t="str">
        <f>IF($J71=0,"",INDEX(Datos!$J$2:$J$1000,$J71)&amp;IF(INDEX(Datos!$Q$2:$Q$1000,$J71)="",""," | "&amp;INDEX(Datos!$Q$2:$Q$1000,$J71)))</f>
        <v/>
      </c>
      <c r="J71">
        <f>IFERROR(MATCH(ROW()-17,Datos!$W$2:$W$1000,0),0)</f>
        <v>0</v>
      </c>
    </row>
    <row r="72" spans="1:10" ht="82" customHeight="1" x14ac:dyDescent="0.35">
      <c r="A72" s="4" t="str">
        <f>IF($J72=0,"",IF(INDEX(Datos!$A$2:$A$1000,$J72)="","",INDEX(Datos!$A$2:$A$1000,$J72)))</f>
        <v/>
      </c>
      <c r="B72" s="5" t="str">
        <f>IF($J72=0,"",IF(INDEX(Datos!$E$2:$E$1000,$J72)="","",INDEX(Datos!$E$2:$E$1000,$J72)))</f>
        <v/>
      </c>
      <c r="C72" s="5" t="str">
        <f>IF($J72=0,"",IF(INDEX(Datos!$I$2:$I$1000,$J72)="","",INDEX(Datos!$I$2:$I$1000,$J72)))</f>
        <v/>
      </c>
      <c r="D72" s="6" t="str">
        <f>IF($J72=0,"",IF(INDEX(Datos!$F$2:$F$1000,$J72)="","",INDEX(Datos!$F$2:$F$1000,$J72)))</f>
        <v/>
      </c>
      <c r="E72" s="7" t="str">
        <f>IF($J72=0,"",IF(INDEX(Datos!$H$2:$H$1000,$J72)="","",INDEX(Datos!$H$2:$H$1000,$J72)))</f>
        <v/>
      </c>
      <c r="F72" s="6" t="str">
        <f>IF($J72=0,"",IF(INDEX(Datos!$N$2:$N$1000,$J72)="","",INDEX(Datos!$N$2:$N$1000,$J72)))</f>
        <v/>
      </c>
      <c r="G72" s="8" t="str">
        <f>IF($J72=0,"",IF(INDEX(Datos!$M$2:$M$1000,$J72)="","",INDEX(Datos!$M$2:$M$1000,$J72)))</f>
        <v/>
      </c>
      <c r="H72" s="6" t="str">
        <f>IF($J72=0,"",INDEX(Datos!$J$2:$J$1000,$J72)&amp;IF(INDEX(Datos!$Q$2:$Q$1000,$J72)="",""," | "&amp;INDEX(Datos!$Q$2:$Q$1000,$J72)))</f>
        <v/>
      </c>
      <c r="J72">
        <f>IFERROR(MATCH(ROW()-17,Datos!$W$2:$W$1000,0),0)</f>
        <v>0</v>
      </c>
    </row>
    <row r="73" spans="1:10" ht="82" customHeight="1" x14ac:dyDescent="0.35">
      <c r="A73" s="4" t="str">
        <f>IF($J73=0,"",IF(INDEX(Datos!$A$2:$A$1000,$J73)="","",INDEX(Datos!$A$2:$A$1000,$J73)))</f>
        <v/>
      </c>
      <c r="B73" s="5" t="str">
        <f>IF($J73=0,"",IF(INDEX(Datos!$E$2:$E$1000,$J73)="","",INDEX(Datos!$E$2:$E$1000,$J73)))</f>
        <v/>
      </c>
      <c r="C73" s="5" t="str">
        <f>IF($J73=0,"",IF(INDEX(Datos!$I$2:$I$1000,$J73)="","",INDEX(Datos!$I$2:$I$1000,$J73)))</f>
        <v/>
      </c>
      <c r="D73" s="6" t="str">
        <f>IF($J73=0,"",IF(INDEX(Datos!$F$2:$F$1000,$J73)="","",INDEX(Datos!$F$2:$F$1000,$J73)))</f>
        <v/>
      </c>
      <c r="E73" s="7" t="str">
        <f>IF($J73=0,"",IF(INDEX(Datos!$H$2:$H$1000,$J73)="","",INDEX(Datos!$H$2:$H$1000,$J73)))</f>
        <v/>
      </c>
      <c r="F73" s="6" t="str">
        <f>IF($J73=0,"",IF(INDEX(Datos!$N$2:$N$1000,$J73)="","",INDEX(Datos!$N$2:$N$1000,$J73)))</f>
        <v/>
      </c>
      <c r="G73" s="8" t="str">
        <f>IF($J73=0,"",IF(INDEX(Datos!$M$2:$M$1000,$J73)="","",INDEX(Datos!$M$2:$M$1000,$J73)))</f>
        <v/>
      </c>
      <c r="H73" s="6" t="str">
        <f>IF($J73=0,"",INDEX(Datos!$J$2:$J$1000,$J73)&amp;IF(INDEX(Datos!$Q$2:$Q$1000,$J73)="",""," | "&amp;INDEX(Datos!$Q$2:$Q$1000,$J73)))</f>
        <v/>
      </c>
      <c r="J73">
        <f>IFERROR(MATCH(ROW()-17,Datos!$W$2:$W$1000,0),0)</f>
        <v>0</v>
      </c>
    </row>
    <row r="74" spans="1:10" ht="82" customHeight="1" x14ac:dyDescent="0.35">
      <c r="A74" s="4" t="str">
        <f>IF($J74=0,"",IF(INDEX(Datos!$A$2:$A$1000,$J74)="","",INDEX(Datos!$A$2:$A$1000,$J74)))</f>
        <v/>
      </c>
      <c r="B74" s="5" t="str">
        <f>IF($J74=0,"",IF(INDEX(Datos!$E$2:$E$1000,$J74)="","",INDEX(Datos!$E$2:$E$1000,$J74)))</f>
        <v/>
      </c>
      <c r="C74" s="5" t="str">
        <f>IF($J74=0,"",IF(INDEX(Datos!$I$2:$I$1000,$J74)="","",INDEX(Datos!$I$2:$I$1000,$J74)))</f>
        <v/>
      </c>
      <c r="D74" s="6" t="str">
        <f>IF($J74=0,"",IF(INDEX(Datos!$F$2:$F$1000,$J74)="","",INDEX(Datos!$F$2:$F$1000,$J74)))</f>
        <v/>
      </c>
      <c r="E74" s="7" t="str">
        <f>IF($J74=0,"",IF(INDEX(Datos!$H$2:$H$1000,$J74)="","",INDEX(Datos!$H$2:$H$1000,$J74)))</f>
        <v/>
      </c>
      <c r="F74" s="6" t="str">
        <f>IF($J74=0,"",IF(INDEX(Datos!$N$2:$N$1000,$J74)="","",INDEX(Datos!$N$2:$N$1000,$J74)))</f>
        <v/>
      </c>
      <c r="G74" s="8" t="str">
        <f>IF($J74=0,"",IF(INDEX(Datos!$M$2:$M$1000,$J74)="","",INDEX(Datos!$M$2:$M$1000,$J74)))</f>
        <v/>
      </c>
      <c r="H74" s="6" t="str">
        <f>IF($J74=0,"",INDEX(Datos!$J$2:$J$1000,$J74)&amp;IF(INDEX(Datos!$Q$2:$Q$1000,$J74)="",""," | "&amp;INDEX(Datos!$Q$2:$Q$1000,$J74)))</f>
        <v/>
      </c>
      <c r="J74">
        <f>IFERROR(MATCH(ROW()-17,Datos!$W$2:$W$1000,0),0)</f>
        <v>0</v>
      </c>
    </row>
    <row r="75" spans="1:10" ht="82" customHeight="1" x14ac:dyDescent="0.35">
      <c r="A75" s="4" t="str">
        <f>IF($J75=0,"",IF(INDEX(Datos!$A$2:$A$1000,$J75)="","",INDEX(Datos!$A$2:$A$1000,$J75)))</f>
        <v/>
      </c>
      <c r="B75" s="5" t="str">
        <f>IF($J75=0,"",IF(INDEX(Datos!$E$2:$E$1000,$J75)="","",INDEX(Datos!$E$2:$E$1000,$J75)))</f>
        <v/>
      </c>
      <c r="C75" s="5" t="str">
        <f>IF($J75=0,"",IF(INDEX(Datos!$I$2:$I$1000,$J75)="","",INDEX(Datos!$I$2:$I$1000,$J75)))</f>
        <v/>
      </c>
      <c r="D75" s="6" t="str">
        <f>IF($J75=0,"",IF(INDEX(Datos!$F$2:$F$1000,$J75)="","",INDEX(Datos!$F$2:$F$1000,$J75)))</f>
        <v/>
      </c>
      <c r="E75" s="7" t="str">
        <f>IF($J75=0,"",IF(INDEX(Datos!$H$2:$H$1000,$J75)="","",INDEX(Datos!$H$2:$H$1000,$J75)))</f>
        <v/>
      </c>
      <c r="F75" s="6" t="str">
        <f>IF($J75=0,"",IF(INDEX(Datos!$N$2:$N$1000,$J75)="","",INDEX(Datos!$N$2:$N$1000,$J75)))</f>
        <v/>
      </c>
      <c r="G75" s="8" t="str">
        <f>IF($J75=0,"",IF(INDEX(Datos!$M$2:$M$1000,$J75)="","",INDEX(Datos!$M$2:$M$1000,$J75)))</f>
        <v/>
      </c>
      <c r="H75" s="6" t="str">
        <f>IF($J75=0,"",INDEX(Datos!$J$2:$J$1000,$J75)&amp;IF(INDEX(Datos!$Q$2:$Q$1000,$J75)="",""," | "&amp;INDEX(Datos!$Q$2:$Q$1000,$J75)))</f>
        <v/>
      </c>
      <c r="J75">
        <f>IFERROR(MATCH(ROW()-17,Datos!$W$2:$W$1000,0),0)</f>
        <v>0</v>
      </c>
    </row>
    <row r="76" spans="1:10" ht="82" customHeight="1" x14ac:dyDescent="0.35">
      <c r="A76" s="4" t="str">
        <f>IF($J76=0,"",IF(INDEX(Datos!$A$2:$A$1000,$J76)="","",INDEX(Datos!$A$2:$A$1000,$J76)))</f>
        <v/>
      </c>
      <c r="B76" s="5" t="str">
        <f>IF($J76=0,"",IF(INDEX(Datos!$E$2:$E$1000,$J76)="","",INDEX(Datos!$E$2:$E$1000,$J76)))</f>
        <v/>
      </c>
      <c r="C76" s="5" t="str">
        <f>IF($J76=0,"",IF(INDEX(Datos!$I$2:$I$1000,$J76)="","",INDEX(Datos!$I$2:$I$1000,$J76)))</f>
        <v/>
      </c>
      <c r="D76" s="6" t="str">
        <f>IF($J76=0,"",IF(INDEX(Datos!$F$2:$F$1000,$J76)="","",INDEX(Datos!$F$2:$F$1000,$J76)))</f>
        <v/>
      </c>
      <c r="E76" s="7" t="str">
        <f>IF($J76=0,"",IF(INDEX(Datos!$H$2:$H$1000,$J76)="","",INDEX(Datos!$H$2:$H$1000,$J76)))</f>
        <v/>
      </c>
      <c r="F76" s="6" t="str">
        <f>IF($J76=0,"",IF(INDEX(Datos!$N$2:$N$1000,$J76)="","",INDEX(Datos!$N$2:$N$1000,$J76)))</f>
        <v/>
      </c>
      <c r="G76" s="8" t="str">
        <f>IF($J76=0,"",IF(INDEX(Datos!$M$2:$M$1000,$J76)="","",INDEX(Datos!$M$2:$M$1000,$J76)))</f>
        <v/>
      </c>
      <c r="H76" s="6" t="str">
        <f>IF($J76=0,"",INDEX(Datos!$J$2:$J$1000,$J76)&amp;IF(INDEX(Datos!$Q$2:$Q$1000,$J76)="",""," | "&amp;INDEX(Datos!$Q$2:$Q$1000,$J76)))</f>
        <v/>
      </c>
      <c r="J76">
        <f>IFERROR(MATCH(ROW()-17,Datos!$W$2:$W$1000,0),0)</f>
        <v>0</v>
      </c>
    </row>
    <row r="77" spans="1:10" ht="82" customHeight="1" x14ac:dyDescent="0.35">
      <c r="A77" s="4" t="str">
        <f>IF($J77=0,"",IF(INDEX(Datos!$A$2:$A$1000,$J77)="","",INDEX(Datos!$A$2:$A$1000,$J77)))</f>
        <v/>
      </c>
      <c r="B77" s="5" t="str">
        <f>IF($J77=0,"",IF(INDEX(Datos!$E$2:$E$1000,$J77)="","",INDEX(Datos!$E$2:$E$1000,$J77)))</f>
        <v/>
      </c>
      <c r="C77" s="5" t="str">
        <f>IF($J77=0,"",IF(INDEX(Datos!$I$2:$I$1000,$J77)="","",INDEX(Datos!$I$2:$I$1000,$J77)))</f>
        <v/>
      </c>
      <c r="D77" s="6" t="str">
        <f>IF($J77=0,"",IF(INDEX(Datos!$F$2:$F$1000,$J77)="","",INDEX(Datos!$F$2:$F$1000,$J77)))</f>
        <v/>
      </c>
      <c r="E77" s="7" t="str">
        <f>IF($J77=0,"",IF(INDEX(Datos!$H$2:$H$1000,$J77)="","",INDEX(Datos!$H$2:$H$1000,$J77)))</f>
        <v/>
      </c>
      <c r="F77" s="6" t="str">
        <f>IF($J77=0,"",IF(INDEX(Datos!$N$2:$N$1000,$J77)="","",INDEX(Datos!$N$2:$N$1000,$J77)))</f>
        <v/>
      </c>
      <c r="G77" s="8" t="str">
        <f>IF($J77=0,"",IF(INDEX(Datos!$M$2:$M$1000,$J77)="","",INDEX(Datos!$M$2:$M$1000,$J77)))</f>
        <v/>
      </c>
      <c r="H77" s="6" t="str">
        <f>IF($J77=0,"",INDEX(Datos!$J$2:$J$1000,$J77)&amp;IF(INDEX(Datos!$Q$2:$Q$1000,$J77)="",""," | "&amp;INDEX(Datos!$Q$2:$Q$1000,$J77)))</f>
        <v/>
      </c>
      <c r="J77">
        <f>IFERROR(MATCH(ROW()-17,Datos!$W$2:$W$1000,0),0)</f>
        <v>0</v>
      </c>
    </row>
    <row r="78" spans="1:10" ht="82" customHeight="1" x14ac:dyDescent="0.35">
      <c r="A78" s="4" t="str">
        <f>IF($J78=0,"",IF(INDEX(Datos!$A$2:$A$1000,$J78)="","",INDEX(Datos!$A$2:$A$1000,$J78)))</f>
        <v/>
      </c>
      <c r="B78" s="5" t="str">
        <f>IF($J78=0,"",IF(INDEX(Datos!$E$2:$E$1000,$J78)="","",INDEX(Datos!$E$2:$E$1000,$J78)))</f>
        <v/>
      </c>
      <c r="C78" s="5" t="str">
        <f>IF($J78=0,"",IF(INDEX(Datos!$I$2:$I$1000,$J78)="","",INDEX(Datos!$I$2:$I$1000,$J78)))</f>
        <v/>
      </c>
      <c r="D78" s="6" t="str">
        <f>IF($J78=0,"",IF(INDEX(Datos!$F$2:$F$1000,$J78)="","",INDEX(Datos!$F$2:$F$1000,$J78)))</f>
        <v/>
      </c>
      <c r="E78" s="7" t="str">
        <f>IF($J78=0,"",IF(INDEX(Datos!$H$2:$H$1000,$J78)="","",INDEX(Datos!$H$2:$H$1000,$J78)))</f>
        <v/>
      </c>
      <c r="F78" s="6" t="str">
        <f>IF($J78=0,"",IF(INDEX(Datos!$N$2:$N$1000,$J78)="","",INDEX(Datos!$N$2:$N$1000,$J78)))</f>
        <v/>
      </c>
      <c r="G78" s="8" t="str">
        <f>IF($J78=0,"",IF(INDEX(Datos!$M$2:$M$1000,$J78)="","",INDEX(Datos!$M$2:$M$1000,$J78)))</f>
        <v/>
      </c>
      <c r="H78" s="6" t="str">
        <f>IF($J78=0,"",INDEX(Datos!$J$2:$J$1000,$J78)&amp;IF(INDEX(Datos!$Q$2:$Q$1000,$J78)="",""," | "&amp;INDEX(Datos!$Q$2:$Q$1000,$J78)))</f>
        <v/>
      </c>
      <c r="J78">
        <f>IFERROR(MATCH(ROW()-17,Datos!$W$2:$W$1000,0),0)</f>
        <v>0</v>
      </c>
    </row>
    <row r="79" spans="1:10" ht="82" customHeight="1" x14ac:dyDescent="0.35">
      <c r="A79" s="4" t="str">
        <f>IF($J79=0,"",IF(INDEX(Datos!$A$2:$A$1000,$J79)="","",INDEX(Datos!$A$2:$A$1000,$J79)))</f>
        <v/>
      </c>
      <c r="B79" s="5" t="str">
        <f>IF($J79=0,"",IF(INDEX(Datos!$E$2:$E$1000,$J79)="","",INDEX(Datos!$E$2:$E$1000,$J79)))</f>
        <v/>
      </c>
      <c r="C79" s="5" t="str">
        <f>IF($J79=0,"",IF(INDEX(Datos!$I$2:$I$1000,$J79)="","",INDEX(Datos!$I$2:$I$1000,$J79)))</f>
        <v/>
      </c>
      <c r="D79" s="6" t="str">
        <f>IF($J79=0,"",IF(INDEX(Datos!$F$2:$F$1000,$J79)="","",INDEX(Datos!$F$2:$F$1000,$J79)))</f>
        <v/>
      </c>
      <c r="E79" s="7" t="str">
        <f>IF($J79=0,"",IF(INDEX(Datos!$H$2:$H$1000,$J79)="","",INDEX(Datos!$H$2:$H$1000,$J79)))</f>
        <v/>
      </c>
      <c r="F79" s="6" t="str">
        <f>IF($J79=0,"",IF(INDEX(Datos!$N$2:$N$1000,$J79)="","",INDEX(Datos!$N$2:$N$1000,$J79)))</f>
        <v/>
      </c>
      <c r="G79" s="8" t="str">
        <f>IF($J79=0,"",IF(INDEX(Datos!$M$2:$M$1000,$J79)="","",INDEX(Datos!$M$2:$M$1000,$J79)))</f>
        <v/>
      </c>
      <c r="H79" s="6" t="str">
        <f>IF($J79=0,"",INDEX(Datos!$J$2:$J$1000,$J79)&amp;IF(INDEX(Datos!$Q$2:$Q$1000,$J79)="",""," | "&amp;INDEX(Datos!$Q$2:$Q$1000,$J79)))</f>
        <v/>
      </c>
      <c r="J79">
        <f>IFERROR(MATCH(ROW()-17,Datos!$W$2:$W$1000,0),0)</f>
        <v>0</v>
      </c>
    </row>
    <row r="80" spans="1:10" ht="82" customHeight="1" x14ac:dyDescent="0.35">
      <c r="A80" s="4" t="str">
        <f>IF($J80=0,"",IF(INDEX(Datos!$A$2:$A$1000,$J80)="","",INDEX(Datos!$A$2:$A$1000,$J80)))</f>
        <v/>
      </c>
      <c r="B80" s="5" t="str">
        <f>IF($J80=0,"",IF(INDEX(Datos!$E$2:$E$1000,$J80)="","",INDEX(Datos!$E$2:$E$1000,$J80)))</f>
        <v/>
      </c>
      <c r="C80" s="5" t="str">
        <f>IF($J80=0,"",IF(INDEX(Datos!$I$2:$I$1000,$J80)="","",INDEX(Datos!$I$2:$I$1000,$J80)))</f>
        <v/>
      </c>
      <c r="D80" s="6" t="str">
        <f>IF($J80=0,"",IF(INDEX(Datos!$F$2:$F$1000,$J80)="","",INDEX(Datos!$F$2:$F$1000,$J80)))</f>
        <v/>
      </c>
      <c r="E80" s="7" t="str">
        <f>IF($J80=0,"",IF(INDEX(Datos!$H$2:$H$1000,$J80)="","",INDEX(Datos!$H$2:$H$1000,$J80)))</f>
        <v/>
      </c>
      <c r="F80" s="6" t="str">
        <f>IF($J80=0,"",IF(INDEX(Datos!$N$2:$N$1000,$J80)="","",INDEX(Datos!$N$2:$N$1000,$J80)))</f>
        <v/>
      </c>
      <c r="G80" s="8" t="str">
        <f>IF($J80=0,"",IF(INDEX(Datos!$M$2:$M$1000,$J80)="","",INDEX(Datos!$M$2:$M$1000,$J80)))</f>
        <v/>
      </c>
      <c r="H80" s="6" t="str">
        <f>IF($J80=0,"",INDEX(Datos!$J$2:$J$1000,$J80)&amp;IF(INDEX(Datos!$Q$2:$Q$1000,$J80)="",""," | "&amp;INDEX(Datos!$Q$2:$Q$1000,$J80)))</f>
        <v/>
      </c>
      <c r="J80">
        <f>IFERROR(MATCH(ROW()-17,Datos!$W$2:$W$1000,0),0)</f>
        <v>0</v>
      </c>
    </row>
    <row r="81" spans="1:10" ht="82" customHeight="1" x14ac:dyDescent="0.35">
      <c r="A81" s="4" t="str">
        <f>IF($J81=0,"",IF(INDEX(Datos!$A$2:$A$1000,$J81)="","",INDEX(Datos!$A$2:$A$1000,$J81)))</f>
        <v/>
      </c>
      <c r="B81" s="5" t="str">
        <f>IF($J81=0,"",IF(INDEX(Datos!$E$2:$E$1000,$J81)="","",INDEX(Datos!$E$2:$E$1000,$J81)))</f>
        <v/>
      </c>
      <c r="C81" s="5" t="str">
        <f>IF($J81=0,"",IF(INDEX(Datos!$I$2:$I$1000,$J81)="","",INDEX(Datos!$I$2:$I$1000,$J81)))</f>
        <v/>
      </c>
      <c r="D81" s="6" t="str">
        <f>IF($J81=0,"",IF(INDEX(Datos!$F$2:$F$1000,$J81)="","",INDEX(Datos!$F$2:$F$1000,$J81)))</f>
        <v/>
      </c>
      <c r="E81" s="7" t="str">
        <f>IF($J81=0,"",IF(INDEX(Datos!$H$2:$H$1000,$J81)="","",INDEX(Datos!$H$2:$H$1000,$J81)))</f>
        <v/>
      </c>
      <c r="F81" s="6" t="str">
        <f>IF($J81=0,"",IF(INDEX(Datos!$N$2:$N$1000,$J81)="","",INDEX(Datos!$N$2:$N$1000,$J81)))</f>
        <v/>
      </c>
      <c r="G81" s="8" t="str">
        <f>IF($J81=0,"",IF(INDEX(Datos!$M$2:$M$1000,$J81)="","",INDEX(Datos!$M$2:$M$1000,$J81)))</f>
        <v/>
      </c>
      <c r="H81" s="6" t="str">
        <f>IF($J81=0,"",INDEX(Datos!$J$2:$J$1000,$J81)&amp;IF(INDEX(Datos!$Q$2:$Q$1000,$J81)="",""," | "&amp;INDEX(Datos!$Q$2:$Q$1000,$J81)))</f>
        <v/>
      </c>
      <c r="J81">
        <f>IFERROR(MATCH(ROW()-17,Datos!$W$2:$W$1000,0),0)</f>
        <v>0</v>
      </c>
    </row>
    <row r="82" spans="1:10" ht="82" customHeight="1" x14ac:dyDescent="0.35">
      <c r="A82" s="4" t="str">
        <f>IF($J82=0,"",IF(INDEX(Datos!$A$2:$A$1000,$J82)="","",INDEX(Datos!$A$2:$A$1000,$J82)))</f>
        <v/>
      </c>
      <c r="B82" s="5" t="str">
        <f>IF($J82=0,"",IF(INDEX(Datos!$E$2:$E$1000,$J82)="","",INDEX(Datos!$E$2:$E$1000,$J82)))</f>
        <v/>
      </c>
      <c r="C82" s="5" t="str">
        <f>IF($J82=0,"",IF(INDEX(Datos!$I$2:$I$1000,$J82)="","",INDEX(Datos!$I$2:$I$1000,$J82)))</f>
        <v/>
      </c>
      <c r="D82" s="6" t="str">
        <f>IF($J82=0,"",IF(INDEX(Datos!$F$2:$F$1000,$J82)="","",INDEX(Datos!$F$2:$F$1000,$J82)))</f>
        <v/>
      </c>
      <c r="E82" s="7" t="str">
        <f>IF($J82=0,"",IF(INDEX(Datos!$H$2:$H$1000,$J82)="","",INDEX(Datos!$H$2:$H$1000,$J82)))</f>
        <v/>
      </c>
      <c r="F82" s="6" t="str">
        <f>IF($J82=0,"",IF(INDEX(Datos!$N$2:$N$1000,$J82)="","",INDEX(Datos!$N$2:$N$1000,$J82)))</f>
        <v/>
      </c>
      <c r="G82" s="8" t="str">
        <f>IF($J82=0,"",IF(INDEX(Datos!$M$2:$M$1000,$J82)="","",INDEX(Datos!$M$2:$M$1000,$J82)))</f>
        <v/>
      </c>
      <c r="H82" s="6" t="str">
        <f>IF($J82=0,"",INDEX(Datos!$J$2:$J$1000,$J82)&amp;IF(INDEX(Datos!$Q$2:$Q$1000,$J82)="",""," | "&amp;INDEX(Datos!$Q$2:$Q$1000,$J82)))</f>
        <v/>
      </c>
      <c r="J82">
        <f>IFERROR(MATCH(ROW()-17,Datos!$W$2:$W$1000,0),0)</f>
        <v>0</v>
      </c>
    </row>
    <row r="83" spans="1:10" ht="82" customHeight="1" x14ac:dyDescent="0.35">
      <c r="A83" s="4" t="str">
        <f>IF($J83=0,"",IF(INDEX(Datos!$A$2:$A$1000,$J83)="","",INDEX(Datos!$A$2:$A$1000,$J83)))</f>
        <v/>
      </c>
      <c r="B83" s="5" t="str">
        <f>IF($J83=0,"",IF(INDEX(Datos!$E$2:$E$1000,$J83)="","",INDEX(Datos!$E$2:$E$1000,$J83)))</f>
        <v/>
      </c>
      <c r="C83" s="5" t="str">
        <f>IF($J83=0,"",IF(INDEX(Datos!$I$2:$I$1000,$J83)="","",INDEX(Datos!$I$2:$I$1000,$J83)))</f>
        <v/>
      </c>
      <c r="D83" s="6" t="str">
        <f>IF($J83=0,"",IF(INDEX(Datos!$F$2:$F$1000,$J83)="","",INDEX(Datos!$F$2:$F$1000,$J83)))</f>
        <v/>
      </c>
      <c r="E83" s="7" t="str">
        <f>IF($J83=0,"",IF(INDEX(Datos!$H$2:$H$1000,$J83)="","",INDEX(Datos!$H$2:$H$1000,$J83)))</f>
        <v/>
      </c>
      <c r="F83" s="6" t="str">
        <f>IF($J83=0,"",IF(INDEX(Datos!$N$2:$N$1000,$J83)="","",INDEX(Datos!$N$2:$N$1000,$J83)))</f>
        <v/>
      </c>
      <c r="G83" s="8" t="str">
        <f>IF($J83=0,"",IF(INDEX(Datos!$M$2:$M$1000,$J83)="","",INDEX(Datos!$M$2:$M$1000,$J83)))</f>
        <v/>
      </c>
      <c r="H83" s="6" t="str">
        <f>IF($J83=0,"",INDEX(Datos!$J$2:$J$1000,$J83)&amp;IF(INDEX(Datos!$Q$2:$Q$1000,$J83)="",""," | "&amp;INDEX(Datos!$Q$2:$Q$1000,$J83)))</f>
        <v/>
      </c>
      <c r="J83">
        <f>IFERROR(MATCH(ROW()-17,Datos!$W$2:$W$1000,0),0)</f>
        <v>0</v>
      </c>
    </row>
    <row r="84" spans="1:10" ht="82" customHeight="1" x14ac:dyDescent="0.35">
      <c r="A84" s="4" t="str">
        <f>IF($J84=0,"",IF(INDEX(Datos!$A$2:$A$1000,$J84)="","",INDEX(Datos!$A$2:$A$1000,$J84)))</f>
        <v/>
      </c>
      <c r="B84" s="5" t="str">
        <f>IF($J84=0,"",IF(INDEX(Datos!$E$2:$E$1000,$J84)="","",INDEX(Datos!$E$2:$E$1000,$J84)))</f>
        <v/>
      </c>
      <c r="C84" s="5" t="str">
        <f>IF($J84=0,"",IF(INDEX(Datos!$I$2:$I$1000,$J84)="","",INDEX(Datos!$I$2:$I$1000,$J84)))</f>
        <v/>
      </c>
      <c r="D84" s="6" t="str">
        <f>IF($J84=0,"",IF(INDEX(Datos!$F$2:$F$1000,$J84)="","",INDEX(Datos!$F$2:$F$1000,$J84)))</f>
        <v/>
      </c>
      <c r="E84" s="7" t="str">
        <f>IF($J84=0,"",IF(INDEX(Datos!$H$2:$H$1000,$J84)="","",INDEX(Datos!$H$2:$H$1000,$J84)))</f>
        <v/>
      </c>
      <c r="F84" s="6" t="str">
        <f>IF($J84=0,"",IF(INDEX(Datos!$N$2:$N$1000,$J84)="","",INDEX(Datos!$N$2:$N$1000,$J84)))</f>
        <v/>
      </c>
      <c r="G84" s="8" t="str">
        <f>IF($J84=0,"",IF(INDEX(Datos!$M$2:$M$1000,$J84)="","",INDEX(Datos!$M$2:$M$1000,$J84)))</f>
        <v/>
      </c>
      <c r="H84" s="6" t="str">
        <f>IF($J84=0,"",INDEX(Datos!$J$2:$J$1000,$J84)&amp;IF(INDEX(Datos!$Q$2:$Q$1000,$J84)="",""," | "&amp;INDEX(Datos!$Q$2:$Q$1000,$J84)))</f>
        <v/>
      </c>
      <c r="J84">
        <f>IFERROR(MATCH(ROW()-17,Datos!$W$2:$W$1000,0),0)</f>
        <v>0</v>
      </c>
    </row>
    <row r="85" spans="1:10" ht="82" customHeight="1" x14ac:dyDescent="0.35">
      <c r="A85" s="4" t="str">
        <f>IF($J85=0,"",IF(INDEX(Datos!$A$2:$A$1000,$J85)="","",INDEX(Datos!$A$2:$A$1000,$J85)))</f>
        <v/>
      </c>
      <c r="B85" s="5" t="str">
        <f>IF($J85=0,"",IF(INDEX(Datos!$E$2:$E$1000,$J85)="","",INDEX(Datos!$E$2:$E$1000,$J85)))</f>
        <v/>
      </c>
      <c r="C85" s="5" t="str">
        <f>IF($J85=0,"",IF(INDEX(Datos!$I$2:$I$1000,$J85)="","",INDEX(Datos!$I$2:$I$1000,$J85)))</f>
        <v/>
      </c>
      <c r="D85" s="6" t="str">
        <f>IF($J85=0,"",IF(INDEX(Datos!$F$2:$F$1000,$J85)="","",INDEX(Datos!$F$2:$F$1000,$J85)))</f>
        <v/>
      </c>
      <c r="E85" s="7" t="str">
        <f>IF($J85=0,"",IF(INDEX(Datos!$H$2:$H$1000,$J85)="","",INDEX(Datos!$H$2:$H$1000,$J85)))</f>
        <v/>
      </c>
      <c r="F85" s="6" t="str">
        <f>IF($J85=0,"",IF(INDEX(Datos!$N$2:$N$1000,$J85)="","",INDEX(Datos!$N$2:$N$1000,$J85)))</f>
        <v/>
      </c>
      <c r="G85" s="8" t="str">
        <f>IF($J85=0,"",IF(INDEX(Datos!$M$2:$M$1000,$J85)="","",INDEX(Datos!$M$2:$M$1000,$J85)))</f>
        <v/>
      </c>
      <c r="H85" s="6" t="str">
        <f>IF($J85=0,"",INDEX(Datos!$J$2:$J$1000,$J85)&amp;IF(INDEX(Datos!$Q$2:$Q$1000,$J85)="",""," | "&amp;INDEX(Datos!$Q$2:$Q$1000,$J85)))</f>
        <v/>
      </c>
      <c r="J85">
        <f>IFERROR(MATCH(ROW()-17,Datos!$W$2:$W$1000,0),0)</f>
        <v>0</v>
      </c>
    </row>
    <row r="86" spans="1:10" ht="82" customHeight="1" x14ac:dyDescent="0.35">
      <c r="A86" s="4" t="str">
        <f>IF($J86=0,"",IF(INDEX(Datos!$A$2:$A$1000,$J86)="","",INDEX(Datos!$A$2:$A$1000,$J86)))</f>
        <v/>
      </c>
      <c r="B86" s="5" t="str">
        <f>IF($J86=0,"",IF(INDEX(Datos!$E$2:$E$1000,$J86)="","",INDEX(Datos!$E$2:$E$1000,$J86)))</f>
        <v/>
      </c>
      <c r="C86" s="5" t="str">
        <f>IF($J86=0,"",IF(INDEX(Datos!$I$2:$I$1000,$J86)="","",INDEX(Datos!$I$2:$I$1000,$J86)))</f>
        <v/>
      </c>
      <c r="D86" s="6" t="str">
        <f>IF($J86=0,"",IF(INDEX(Datos!$F$2:$F$1000,$J86)="","",INDEX(Datos!$F$2:$F$1000,$J86)))</f>
        <v/>
      </c>
      <c r="E86" s="7" t="str">
        <f>IF($J86=0,"",IF(INDEX(Datos!$H$2:$H$1000,$J86)="","",INDEX(Datos!$H$2:$H$1000,$J86)))</f>
        <v/>
      </c>
      <c r="F86" s="6" t="str">
        <f>IF($J86=0,"",IF(INDEX(Datos!$N$2:$N$1000,$J86)="","",INDEX(Datos!$N$2:$N$1000,$J86)))</f>
        <v/>
      </c>
      <c r="G86" s="8" t="str">
        <f>IF($J86=0,"",IF(INDEX(Datos!$M$2:$M$1000,$J86)="","",INDEX(Datos!$M$2:$M$1000,$J86)))</f>
        <v/>
      </c>
      <c r="H86" s="6" t="str">
        <f>IF($J86=0,"",INDEX(Datos!$J$2:$J$1000,$J86)&amp;IF(INDEX(Datos!$Q$2:$Q$1000,$J86)="",""," | "&amp;INDEX(Datos!$Q$2:$Q$1000,$J86)))</f>
        <v/>
      </c>
      <c r="J86">
        <f>IFERROR(MATCH(ROW()-17,Datos!$W$2:$W$1000,0),0)</f>
        <v>0</v>
      </c>
    </row>
    <row r="87" spans="1:10" ht="82" customHeight="1" x14ac:dyDescent="0.35">
      <c r="A87" s="4" t="str">
        <f>IF($J87=0,"",IF(INDEX(Datos!$A$2:$A$1000,$J87)="","",INDEX(Datos!$A$2:$A$1000,$J87)))</f>
        <v/>
      </c>
      <c r="B87" s="5" t="str">
        <f>IF($J87=0,"",IF(INDEX(Datos!$E$2:$E$1000,$J87)="","",INDEX(Datos!$E$2:$E$1000,$J87)))</f>
        <v/>
      </c>
      <c r="C87" s="5" t="str">
        <f>IF($J87=0,"",IF(INDEX(Datos!$I$2:$I$1000,$J87)="","",INDEX(Datos!$I$2:$I$1000,$J87)))</f>
        <v/>
      </c>
      <c r="D87" s="6" t="str">
        <f>IF($J87=0,"",IF(INDEX(Datos!$F$2:$F$1000,$J87)="","",INDEX(Datos!$F$2:$F$1000,$J87)))</f>
        <v/>
      </c>
      <c r="E87" s="7" t="str">
        <f>IF($J87=0,"",IF(INDEX(Datos!$H$2:$H$1000,$J87)="","",INDEX(Datos!$H$2:$H$1000,$J87)))</f>
        <v/>
      </c>
      <c r="F87" s="6" t="str">
        <f>IF($J87=0,"",IF(INDEX(Datos!$N$2:$N$1000,$J87)="","",INDEX(Datos!$N$2:$N$1000,$J87)))</f>
        <v/>
      </c>
      <c r="G87" s="8" t="str">
        <f>IF($J87=0,"",IF(INDEX(Datos!$M$2:$M$1000,$J87)="","",INDEX(Datos!$M$2:$M$1000,$J87)))</f>
        <v/>
      </c>
      <c r="H87" s="6" t="str">
        <f>IF($J87=0,"",INDEX(Datos!$J$2:$J$1000,$J87)&amp;IF(INDEX(Datos!$Q$2:$Q$1000,$J87)="",""," | "&amp;INDEX(Datos!$Q$2:$Q$1000,$J87)))</f>
        <v/>
      </c>
      <c r="J87">
        <f>IFERROR(MATCH(ROW()-17,Datos!$W$2:$W$1000,0),0)</f>
        <v>0</v>
      </c>
    </row>
    <row r="88" spans="1:10" ht="82" customHeight="1" x14ac:dyDescent="0.35">
      <c r="A88" s="4" t="str">
        <f>IF($J88=0,"",IF(INDEX(Datos!$A$2:$A$1000,$J88)="","",INDEX(Datos!$A$2:$A$1000,$J88)))</f>
        <v/>
      </c>
      <c r="B88" s="5" t="str">
        <f>IF($J88=0,"",IF(INDEX(Datos!$E$2:$E$1000,$J88)="","",INDEX(Datos!$E$2:$E$1000,$J88)))</f>
        <v/>
      </c>
      <c r="C88" s="5" t="str">
        <f>IF($J88=0,"",IF(INDEX(Datos!$I$2:$I$1000,$J88)="","",INDEX(Datos!$I$2:$I$1000,$J88)))</f>
        <v/>
      </c>
      <c r="D88" s="6" t="str">
        <f>IF($J88=0,"",IF(INDEX(Datos!$F$2:$F$1000,$J88)="","",INDEX(Datos!$F$2:$F$1000,$J88)))</f>
        <v/>
      </c>
      <c r="E88" s="7" t="str">
        <f>IF($J88=0,"",IF(INDEX(Datos!$H$2:$H$1000,$J88)="","",INDEX(Datos!$H$2:$H$1000,$J88)))</f>
        <v/>
      </c>
      <c r="F88" s="6" t="str">
        <f>IF($J88=0,"",IF(INDEX(Datos!$N$2:$N$1000,$J88)="","",INDEX(Datos!$N$2:$N$1000,$J88)))</f>
        <v/>
      </c>
      <c r="G88" s="8" t="str">
        <f>IF($J88=0,"",IF(INDEX(Datos!$M$2:$M$1000,$J88)="","",INDEX(Datos!$M$2:$M$1000,$J88)))</f>
        <v/>
      </c>
      <c r="H88" s="6" t="str">
        <f>IF($J88=0,"",INDEX(Datos!$J$2:$J$1000,$J88)&amp;IF(INDEX(Datos!$Q$2:$Q$1000,$J88)="",""," | "&amp;INDEX(Datos!$Q$2:$Q$1000,$J88)))</f>
        <v/>
      </c>
      <c r="J88">
        <f>IFERROR(MATCH(ROW()-17,Datos!$W$2:$W$1000,0),0)</f>
        <v>0</v>
      </c>
    </row>
    <row r="89" spans="1:10" ht="82" customHeight="1" x14ac:dyDescent="0.35">
      <c r="A89" s="4" t="str">
        <f>IF($J89=0,"",IF(INDEX(Datos!$A$2:$A$1000,$J89)="","",INDEX(Datos!$A$2:$A$1000,$J89)))</f>
        <v/>
      </c>
      <c r="B89" s="5" t="str">
        <f>IF($J89=0,"",IF(INDEX(Datos!$E$2:$E$1000,$J89)="","",INDEX(Datos!$E$2:$E$1000,$J89)))</f>
        <v/>
      </c>
      <c r="C89" s="5" t="str">
        <f>IF($J89=0,"",IF(INDEX(Datos!$I$2:$I$1000,$J89)="","",INDEX(Datos!$I$2:$I$1000,$J89)))</f>
        <v/>
      </c>
      <c r="D89" s="6" t="str">
        <f>IF($J89=0,"",IF(INDEX(Datos!$F$2:$F$1000,$J89)="","",INDEX(Datos!$F$2:$F$1000,$J89)))</f>
        <v/>
      </c>
      <c r="E89" s="7" t="str">
        <f>IF($J89=0,"",IF(INDEX(Datos!$H$2:$H$1000,$J89)="","",INDEX(Datos!$H$2:$H$1000,$J89)))</f>
        <v/>
      </c>
      <c r="F89" s="6" t="str">
        <f>IF($J89=0,"",IF(INDEX(Datos!$N$2:$N$1000,$J89)="","",INDEX(Datos!$N$2:$N$1000,$J89)))</f>
        <v/>
      </c>
      <c r="G89" s="8" t="str">
        <f>IF($J89=0,"",IF(INDEX(Datos!$M$2:$M$1000,$J89)="","",INDEX(Datos!$M$2:$M$1000,$J89)))</f>
        <v/>
      </c>
      <c r="H89" s="6" t="str">
        <f>IF($J89=0,"",INDEX(Datos!$J$2:$J$1000,$J89)&amp;IF(INDEX(Datos!$Q$2:$Q$1000,$J89)="",""," | "&amp;INDEX(Datos!$Q$2:$Q$1000,$J89)))</f>
        <v/>
      </c>
      <c r="J89">
        <f>IFERROR(MATCH(ROW()-17,Datos!$W$2:$W$1000,0),0)</f>
        <v>0</v>
      </c>
    </row>
    <row r="90" spans="1:10" ht="82" customHeight="1" x14ac:dyDescent="0.35">
      <c r="A90" s="4" t="str">
        <f>IF($J90=0,"",IF(INDEX(Datos!$A$2:$A$1000,$J90)="","",INDEX(Datos!$A$2:$A$1000,$J90)))</f>
        <v/>
      </c>
      <c r="B90" s="5" t="str">
        <f>IF($J90=0,"",IF(INDEX(Datos!$E$2:$E$1000,$J90)="","",INDEX(Datos!$E$2:$E$1000,$J90)))</f>
        <v/>
      </c>
      <c r="C90" s="5" t="str">
        <f>IF($J90=0,"",IF(INDEX(Datos!$I$2:$I$1000,$J90)="","",INDEX(Datos!$I$2:$I$1000,$J90)))</f>
        <v/>
      </c>
      <c r="D90" s="6" t="str">
        <f>IF($J90=0,"",IF(INDEX(Datos!$F$2:$F$1000,$J90)="","",INDEX(Datos!$F$2:$F$1000,$J90)))</f>
        <v/>
      </c>
      <c r="E90" s="7" t="str">
        <f>IF($J90=0,"",IF(INDEX(Datos!$H$2:$H$1000,$J90)="","",INDEX(Datos!$H$2:$H$1000,$J90)))</f>
        <v/>
      </c>
      <c r="F90" s="6" t="str">
        <f>IF($J90=0,"",IF(INDEX(Datos!$N$2:$N$1000,$J90)="","",INDEX(Datos!$N$2:$N$1000,$J90)))</f>
        <v/>
      </c>
      <c r="G90" s="8" t="str">
        <f>IF($J90=0,"",IF(INDEX(Datos!$M$2:$M$1000,$J90)="","",INDEX(Datos!$M$2:$M$1000,$J90)))</f>
        <v/>
      </c>
      <c r="H90" s="6" t="str">
        <f>IF($J90=0,"",INDEX(Datos!$J$2:$J$1000,$J90)&amp;IF(INDEX(Datos!$Q$2:$Q$1000,$J90)="",""," | "&amp;INDEX(Datos!$Q$2:$Q$1000,$J90)))</f>
        <v/>
      </c>
      <c r="J90">
        <f>IFERROR(MATCH(ROW()-17,Datos!$W$2:$W$1000,0),0)</f>
        <v>0</v>
      </c>
    </row>
    <row r="91" spans="1:10" ht="82" customHeight="1" x14ac:dyDescent="0.35">
      <c r="A91" s="4" t="str">
        <f>IF($J91=0,"",IF(INDEX(Datos!$A$2:$A$1000,$J91)="","",INDEX(Datos!$A$2:$A$1000,$J91)))</f>
        <v/>
      </c>
      <c r="B91" s="5" t="str">
        <f>IF($J91=0,"",IF(INDEX(Datos!$E$2:$E$1000,$J91)="","",INDEX(Datos!$E$2:$E$1000,$J91)))</f>
        <v/>
      </c>
      <c r="C91" s="5" t="str">
        <f>IF($J91=0,"",IF(INDEX(Datos!$I$2:$I$1000,$J91)="","",INDEX(Datos!$I$2:$I$1000,$J91)))</f>
        <v/>
      </c>
      <c r="D91" s="6" t="str">
        <f>IF($J91=0,"",IF(INDEX(Datos!$F$2:$F$1000,$J91)="","",INDEX(Datos!$F$2:$F$1000,$J91)))</f>
        <v/>
      </c>
      <c r="E91" s="7" t="str">
        <f>IF($J91=0,"",IF(INDEX(Datos!$H$2:$H$1000,$J91)="","",INDEX(Datos!$H$2:$H$1000,$J91)))</f>
        <v/>
      </c>
      <c r="F91" s="6" t="str">
        <f>IF($J91=0,"",IF(INDEX(Datos!$N$2:$N$1000,$J91)="","",INDEX(Datos!$N$2:$N$1000,$J91)))</f>
        <v/>
      </c>
      <c r="G91" s="8" t="str">
        <f>IF($J91=0,"",IF(INDEX(Datos!$M$2:$M$1000,$J91)="","",INDEX(Datos!$M$2:$M$1000,$J91)))</f>
        <v/>
      </c>
      <c r="H91" s="6" t="str">
        <f>IF($J91=0,"",INDEX(Datos!$J$2:$J$1000,$J91)&amp;IF(INDEX(Datos!$Q$2:$Q$1000,$J91)="",""," | "&amp;INDEX(Datos!$Q$2:$Q$1000,$J91)))</f>
        <v/>
      </c>
      <c r="J91">
        <f>IFERROR(MATCH(ROW()-17,Datos!$W$2:$W$1000,0),0)</f>
        <v>0</v>
      </c>
    </row>
    <row r="92" spans="1:10" ht="82" customHeight="1" x14ac:dyDescent="0.35">
      <c r="A92" s="4" t="str">
        <f>IF($J92=0,"",IF(INDEX(Datos!$A$2:$A$1000,$J92)="","",INDEX(Datos!$A$2:$A$1000,$J92)))</f>
        <v/>
      </c>
      <c r="B92" s="5" t="str">
        <f>IF($J92=0,"",IF(INDEX(Datos!$E$2:$E$1000,$J92)="","",INDEX(Datos!$E$2:$E$1000,$J92)))</f>
        <v/>
      </c>
      <c r="C92" s="5" t="str">
        <f>IF($J92=0,"",IF(INDEX(Datos!$I$2:$I$1000,$J92)="","",INDEX(Datos!$I$2:$I$1000,$J92)))</f>
        <v/>
      </c>
      <c r="D92" s="6" t="str">
        <f>IF($J92=0,"",IF(INDEX(Datos!$F$2:$F$1000,$J92)="","",INDEX(Datos!$F$2:$F$1000,$J92)))</f>
        <v/>
      </c>
      <c r="E92" s="7" t="str">
        <f>IF($J92=0,"",IF(INDEX(Datos!$H$2:$H$1000,$J92)="","",INDEX(Datos!$H$2:$H$1000,$J92)))</f>
        <v/>
      </c>
      <c r="F92" s="6" t="str">
        <f>IF($J92=0,"",IF(INDEX(Datos!$N$2:$N$1000,$J92)="","",INDEX(Datos!$N$2:$N$1000,$J92)))</f>
        <v/>
      </c>
      <c r="G92" s="8" t="str">
        <f>IF($J92=0,"",IF(INDEX(Datos!$M$2:$M$1000,$J92)="","",INDEX(Datos!$M$2:$M$1000,$J92)))</f>
        <v/>
      </c>
      <c r="H92" s="6" t="str">
        <f>IF($J92=0,"",INDEX(Datos!$J$2:$J$1000,$J92)&amp;IF(INDEX(Datos!$Q$2:$Q$1000,$J92)="",""," | "&amp;INDEX(Datos!$Q$2:$Q$1000,$J92)))</f>
        <v/>
      </c>
      <c r="J92">
        <f>IFERROR(MATCH(ROW()-17,Datos!$W$2:$W$1000,0),0)</f>
        <v>0</v>
      </c>
    </row>
    <row r="93" spans="1:10" ht="82" customHeight="1" x14ac:dyDescent="0.35">
      <c r="A93" s="4" t="str">
        <f>IF($J93=0,"",IF(INDEX(Datos!$A$2:$A$1000,$J93)="","",INDEX(Datos!$A$2:$A$1000,$J93)))</f>
        <v/>
      </c>
      <c r="B93" s="5" t="str">
        <f>IF($J93=0,"",IF(INDEX(Datos!$E$2:$E$1000,$J93)="","",INDEX(Datos!$E$2:$E$1000,$J93)))</f>
        <v/>
      </c>
      <c r="C93" s="5" t="str">
        <f>IF($J93=0,"",IF(INDEX(Datos!$I$2:$I$1000,$J93)="","",INDEX(Datos!$I$2:$I$1000,$J93)))</f>
        <v/>
      </c>
      <c r="D93" s="6" t="str">
        <f>IF($J93=0,"",IF(INDEX(Datos!$F$2:$F$1000,$J93)="","",INDEX(Datos!$F$2:$F$1000,$J93)))</f>
        <v/>
      </c>
      <c r="E93" s="7" t="str">
        <f>IF($J93=0,"",IF(INDEX(Datos!$H$2:$H$1000,$J93)="","",INDEX(Datos!$H$2:$H$1000,$J93)))</f>
        <v/>
      </c>
      <c r="F93" s="6" t="str">
        <f>IF($J93=0,"",IF(INDEX(Datos!$N$2:$N$1000,$J93)="","",INDEX(Datos!$N$2:$N$1000,$J93)))</f>
        <v/>
      </c>
      <c r="G93" s="8" t="str">
        <f>IF($J93=0,"",IF(INDEX(Datos!$M$2:$M$1000,$J93)="","",INDEX(Datos!$M$2:$M$1000,$J93)))</f>
        <v/>
      </c>
      <c r="H93" s="6" t="str">
        <f>IF($J93=0,"",INDEX(Datos!$J$2:$J$1000,$J93)&amp;IF(INDEX(Datos!$Q$2:$Q$1000,$J93)="",""," | "&amp;INDEX(Datos!$Q$2:$Q$1000,$J93)))</f>
        <v/>
      </c>
      <c r="J93">
        <f>IFERROR(MATCH(ROW()-17,Datos!$W$2:$W$1000,0),0)</f>
        <v>0</v>
      </c>
    </row>
    <row r="94" spans="1:10" ht="82" customHeight="1" x14ac:dyDescent="0.35">
      <c r="A94" s="4" t="str">
        <f>IF($J94=0,"",IF(INDEX(Datos!$A$2:$A$1000,$J94)="","",INDEX(Datos!$A$2:$A$1000,$J94)))</f>
        <v/>
      </c>
      <c r="B94" s="5" t="str">
        <f>IF($J94=0,"",IF(INDEX(Datos!$E$2:$E$1000,$J94)="","",INDEX(Datos!$E$2:$E$1000,$J94)))</f>
        <v/>
      </c>
      <c r="C94" s="5" t="str">
        <f>IF($J94=0,"",IF(INDEX(Datos!$I$2:$I$1000,$J94)="","",INDEX(Datos!$I$2:$I$1000,$J94)))</f>
        <v/>
      </c>
      <c r="D94" s="6" t="str">
        <f>IF($J94=0,"",IF(INDEX(Datos!$F$2:$F$1000,$J94)="","",INDEX(Datos!$F$2:$F$1000,$J94)))</f>
        <v/>
      </c>
      <c r="E94" s="7" t="str">
        <f>IF($J94=0,"",IF(INDEX(Datos!$H$2:$H$1000,$J94)="","",INDEX(Datos!$H$2:$H$1000,$J94)))</f>
        <v/>
      </c>
      <c r="F94" s="6" t="str">
        <f>IF($J94=0,"",IF(INDEX(Datos!$N$2:$N$1000,$J94)="","",INDEX(Datos!$N$2:$N$1000,$J94)))</f>
        <v/>
      </c>
      <c r="G94" s="8" t="str">
        <f>IF($J94=0,"",IF(INDEX(Datos!$M$2:$M$1000,$J94)="","",INDEX(Datos!$M$2:$M$1000,$J94)))</f>
        <v/>
      </c>
      <c r="H94" s="6" t="str">
        <f>IF($J94=0,"",INDEX(Datos!$J$2:$J$1000,$J94)&amp;IF(INDEX(Datos!$Q$2:$Q$1000,$J94)="",""," | "&amp;INDEX(Datos!$Q$2:$Q$1000,$J94)))</f>
        <v/>
      </c>
      <c r="J94">
        <f>IFERROR(MATCH(ROW()-17,Datos!$W$2:$W$1000,0),0)</f>
        <v>0</v>
      </c>
    </row>
    <row r="95" spans="1:10" ht="82" customHeight="1" x14ac:dyDescent="0.35">
      <c r="A95" s="4" t="str">
        <f>IF($J95=0,"",IF(INDEX(Datos!$A$2:$A$1000,$J95)="","",INDEX(Datos!$A$2:$A$1000,$J95)))</f>
        <v/>
      </c>
      <c r="B95" s="5" t="str">
        <f>IF($J95=0,"",IF(INDEX(Datos!$E$2:$E$1000,$J95)="","",INDEX(Datos!$E$2:$E$1000,$J95)))</f>
        <v/>
      </c>
      <c r="C95" s="5" t="str">
        <f>IF($J95=0,"",IF(INDEX(Datos!$I$2:$I$1000,$J95)="","",INDEX(Datos!$I$2:$I$1000,$J95)))</f>
        <v/>
      </c>
      <c r="D95" s="6" t="str">
        <f>IF($J95=0,"",IF(INDEX(Datos!$F$2:$F$1000,$J95)="","",INDEX(Datos!$F$2:$F$1000,$J95)))</f>
        <v/>
      </c>
      <c r="E95" s="7" t="str">
        <f>IF($J95=0,"",IF(INDEX(Datos!$H$2:$H$1000,$J95)="","",INDEX(Datos!$H$2:$H$1000,$J95)))</f>
        <v/>
      </c>
      <c r="F95" s="6" t="str">
        <f>IF($J95=0,"",IF(INDEX(Datos!$N$2:$N$1000,$J95)="","",INDEX(Datos!$N$2:$N$1000,$J95)))</f>
        <v/>
      </c>
      <c r="G95" s="8" t="str">
        <f>IF($J95=0,"",IF(INDEX(Datos!$M$2:$M$1000,$J95)="","",INDEX(Datos!$M$2:$M$1000,$J95)))</f>
        <v/>
      </c>
      <c r="H95" s="6" t="str">
        <f>IF($J95=0,"",INDEX(Datos!$J$2:$J$1000,$J95)&amp;IF(INDEX(Datos!$Q$2:$Q$1000,$J95)="",""," | "&amp;INDEX(Datos!$Q$2:$Q$1000,$J95)))</f>
        <v/>
      </c>
      <c r="J95">
        <f>IFERROR(MATCH(ROW()-17,Datos!$W$2:$W$1000,0),0)</f>
        <v>0</v>
      </c>
    </row>
    <row r="96" spans="1:10" ht="82" customHeight="1" x14ac:dyDescent="0.35">
      <c r="A96" s="4" t="str">
        <f>IF($J96=0,"",IF(INDEX(Datos!$A$2:$A$1000,$J96)="","",INDEX(Datos!$A$2:$A$1000,$J96)))</f>
        <v/>
      </c>
      <c r="B96" s="5" t="str">
        <f>IF($J96=0,"",IF(INDEX(Datos!$E$2:$E$1000,$J96)="","",INDEX(Datos!$E$2:$E$1000,$J96)))</f>
        <v/>
      </c>
      <c r="C96" s="5" t="str">
        <f>IF($J96=0,"",IF(INDEX(Datos!$I$2:$I$1000,$J96)="","",INDEX(Datos!$I$2:$I$1000,$J96)))</f>
        <v/>
      </c>
      <c r="D96" s="6" t="str">
        <f>IF($J96=0,"",IF(INDEX(Datos!$F$2:$F$1000,$J96)="","",INDEX(Datos!$F$2:$F$1000,$J96)))</f>
        <v/>
      </c>
      <c r="E96" s="7" t="str">
        <f>IF($J96=0,"",IF(INDEX(Datos!$H$2:$H$1000,$J96)="","",INDEX(Datos!$H$2:$H$1000,$J96)))</f>
        <v/>
      </c>
      <c r="F96" s="6" t="str">
        <f>IF($J96=0,"",IF(INDEX(Datos!$N$2:$N$1000,$J96)="","",INDEX(Datos!$N$2:$N$1000,$J96)))</f>
        <v/>
      </c>
      <c r="G96" s="8" t="str">
        <f>IF($J96=0,"",IF(INDEX(Datos!$M$2:$M$1000,$J96)="","",INDEX(Datos!$M$2:$M$1000,$J96)))</f>
        <v/>
      </c>
      <c r="H96" s="6" t="str">
        <f>IF($J96=0,"",INDEX(Datos!$J$2:$J$1000,$J96)&amp;IF(INDEX(Datos!$Q$2:$Q$1000,$J96)="",""," | "&amp;INDEX(Datos!$Q$2:$Q$1000,$J96)))</f>
        <v/>
      </c>
      <c r="J96">
        <f>IFERROR(MATCH(ROW()-17,Datos!$W$2:$W$1000,0),0)</f>
        <v>0</v>
      </c>
    </row>
    <row r="97" spans="1:10" ht="82" customHeight="1" x14ac:dyDescent="0.35">
      <c r="A97" s="4" t="str">
        <f>IF($J97=0,"",IF(INDEX(Datos!$A$2:$A$1000,$J97)="","",INDEX(Datos!$A$2:$A$1000,$J97)))</f>
        <v/>
      </c>
      <c r="B97" s="5" t="str">
        <f>IF($J97=0,"",IF(INDEX(Datos!$E$2:$E$1000,$J97)="","",INDEX(Datos!$E$2:$E$1000,$J97)))</f>
        <v/>
      </c>
      <c r="C97" s="5" t="str">
        <f>IF($J97=0,"",IF(INDEX(Datos!$I$2:$I$1000,$J97)="","",INDEX(Datos!$I$2:$I$1000,$J97)))</f>
        <v/>
      </c>
      <c r="D97" s="6" t="str">
        <f>IF($J97=0,"",IF(INDEX(Datos!$F$2:$F$1000,$J97)="","",INDEX(Datos!$F$2:$F$1000,$J97)))</f>
        <v/>
      </c>
      <c r="E97" s="7" t="str">
        <f>IF($J97=0,"",IF(INDEX(Datos!$H$2:$H$1000,$J97)="","",INDEX(Datos!$H$2:$H$1000,$J97)))</f>
        <v/>
      </c>
      <c r="F97" s="6" t="str">
        <f>IF($J97=0,"",IF(INDEX(Datos!$N$2:$N$1000,$J97)="","",INDEX(Datos!$N$2:$N$1000,$J97)))</f>
        <v/>
      </c>
      <c r="G97" s="8" t="str">
        <f>IF($J97=0,"",IF(INDEX(Datos!$M$2:$M$1000,$J97)="","",INDEX(Datos!$M$2:$M$1000,$J97)))</f>
        <v/>
      </c>
      <c r="H97" s="6" t="str">
        <f>IF($J97=0,"",INDEX(Datos!$J$2:$J$1000,$J97)&amp;IF(INDEX(Datos!$Q$2:$Q$1000,$J97)="",""," | "&amp;INDEX(Datos!$Q$2:$Q$1000,$J97)))</f>
        <v/>
      </c>
      <c r="J97">
        <f>IFERROR(MATCH(ROW()-17,Datos!$W$2:$W$1000,0),0)</f>
        <v>0</v>
      </c>
    </row>
    <row r="98" spans="1:10" ht="82" customHeight="1" x14ac:dyDescent="0.35">
      <c r="A98" s="4" t="str">
        <f>IF($J98=0,"",IF(INDEX(Datos!$A$2:$A$1000,$J98)="","",INDEX(Datos!$A$2:$A$1000,$J98)))</f>
        <v/>
      </c>
      <c r="B98" s="5" t="str">
        <f>IF($J98=0,"",IF(INDEX(Datos!$E$2:$E$1000,$J98)="","",INDEX(Datos!$E$2:$E$1000,$J98)))</f>
        <v/>
      </c>
      <c r="C98" s="5" t="str">
        <f>IF($J98=0,"",IF(INDEX(Datos!$I$2:$I$1000,$J98)="","",INDEX(Datos!$I$2:$I$1000,$J98)))</f>
        <v/>
      </c>
      <c r="D98" s="6" t="str">
        <f>IF($J98=0,"",IF(INDEX(Datos!$F$2:$F$1000,$J98)="","",INDEX(Datos!$F$2:$F$1000,$J98)))</f>
        <v/>
      </c>
      <c r="E98" s="7" t="str">
        <f>IF($J98=0,"",IF(INDEX(Datos!$H$2:$H$1000,$J98)="","",INDEX(Datos!$H$2:$H$1000,$J98)))</f>
        <v/>
      </c>
      <c r="F98" s="6" t="str">
        <f>IF($J98=0,"",IF(INDEX(Datos!$N$2:$N$1000,$J98)="","",INDEX(Datos!$N$2:$N$1000,$J98)))</f>
        <v/>
      </c>
      <c r="G98" s="8" t="str">
        <f>IF($J98=0,"",IF(INDEX(Datos!$M$2:$M$1000,$J98)="","",INDEX(Datos!$M$2:$M$1000,$J98)))</f>
        <v/>
      </c>
      <c r="H98" s="6" t="str">
        <f>IF($J98=0,"",INDEX(Datos!$J$2:$J$1000,$J98)&amp;IF(INDEX(Datos!$Q$2:$Q$1000,$J98)="",""," | "&amp;INDEX(Datos!$Q$2:$Q$1000,$J98)))</f>
        <v/>
      </c>
      <c r="J98">
        <f>IFERROR(MATCH(ROW()-17,Datos!$W$2:$W$1000,0),0)</f>
        <v>0</v>
      </c>
    </row>
    <row r="99" spans="1:10" ht="82" customHeight="1" x14ac:dyDescent="0.35">
      <c r="A99" s="4" t="str">
        <f>IF($J99=0,"",IF(INDEX(Datos!$A$2:$A$1000,$J99)="","",INDEX(Datos!$A$2:$A$1000,$J99)))</f>
        <v/>
      </c>
      <c r="B99" s="5" t="str">
        <f>IF($J99=0,"",IF(INDEX(Datos!$E$2:$E$1000,$J99)="","",INDEX(Datos!$E$2:$E$1000,$J99)))</f>
        <v/>
      </c>
      <c r="C99" s="5" t="str">
        <f>IF($J99=0,"",IF(INDEX(Datos!$I$2:$I$1000,$J99)="","",INDEX(Datos!$I$2:$I$1000,$J99)))</f>
        <v/>
      </c>
      <c r="D99" s="6" t="str">
        <f>IF($J99=0,"",IF(INDEX(Datos!$F$2:$F$1000,$J99)="","",INDEX(Datos!$F$2:$F$1000,$J99)))</f>
        <v/>
      </c>
      <c r="E99" s="7" t="str">
        <f>IF($J99=0,"",IF(INDEX(Datos!$H$2:$H$1000,$J99)="","",INDEX(Datos!$H$2:$H$1000,$J99)))</f>
        <v/>
      </c>
      <c r="F99" s="6" t="str">
        <f>IF($J99=0,"",IF(INDEX(Datos!$N$2:$N$1000,$J99)="","",INDEX(Datos!$N$2:$N$1000,$J99)))</f>
        <v/>
      </c>
      <c r="G99" s="8" t="str">
        <f>IF($J99=0,"",IF(INDEX(Datos!$M$2:$M$1000,$J99)="","",INDEX(Datos!$M$2:$M$1000,$J99)))</f>
        <v/>
      </c>
      <c r="H99" s="6" t="str">
        <f>IF($J99=0,"",INDEX(Datos!$J$2:$J$1000,$J99)&amp;IF(INDEX(Datos!$Q$2:$Q$1000,$J99)="",""," | "&amp;INDEX(Datos!$Q$2:$Q$1000,$J99)))</f>
        <v/>
      </c>
      <c r="J99">
        <f>IFERROR(MATCH(ROW()-17,Datos!$W$2:$W$1000,0),0)</f>
        <v>0</v>
      </c>
    </row>
    <row r="100" spans="1:10" ht="82" customHeight="1" x14ac:dyDescent="0.35">
      <c r="A100" s="4" t="str">
        <f>IF($J100=0,"",IF(INDEX(Datos!$A$2:$A$1000,$J100)="","",INDEX(Datos!$A$2:$A$1000,$J100)))</f>
        <v/>
      </c>
      <c r="B100" s="5" t="str">
        <f>IF($J100=0,"",IF(INDEX(Datos!$E$2:$E$1000,$J100)="","",INDEX(Datos!$E$2:$E$1000,$J100)))</f>
        <v/>
      </c>
      <c r="C100" s="5" t="str">
        <f>IF($J100=0,"",IF(INDEX(Datos!$I$2:$I$1000,$J100)="","",INDEX(Datos!$I$2:$I$1000,$J100)))</f>
        <v/>
      </c>
      <c r="D100" s="6" t="str">
        <f>IF($J100=0,"",IF(INDEX(Datos!$F$2:$F$1000,$J100)="","",INDEX(Datos!$F$2:$F$1000,$J100)))</f>
        <v/>
      </c>
      <c r="E100" s="7" t="str">
        <f>IF($J100=0,"",IF(INDEX(Datos!$H$2:$H$1000,$J100)="","",INDEX(Datos!$H$2:$H$1000,$J100)))</f>
        <v/>
      </c>
      <c r="F100" s="6" t="str">
        <f>IF($J100=0,"",IF(INDEX(Datos!$N$2:$N$1000,$J100)="","",INDEX(Datos!$N$2:$N$1000,$J100)))</f>
        <v/>
      </c>
      <c r="G100" s="8" t="str">
        <f>IF($J100=0,"",IF(INDEX(Datos!$M$2:$M$1000,$J100)="","",INDEX(Datos!$M$2:$M$1000,$J100)))</f>
        <v/>
      </c>
      <c r="H100" s="6" t="str">
        <f>IF($J100=0,"",INDEX(Datos!$J$2:$J$1000,$J100)&amp;IF(INDEX(Datos!$Q$2:$Q$1000,$J100)="",""," | "&amp;INDEX(Datos!$Q$2:$Q$1000,$J100)))</f>
        <v/>
      </c>
      <c r="J100">
        <f>IFERROR(MATCH(ROW()-17,Datos!$W$2:$W$1000,0),0)</f>
        <v>0</v>
      </c>
    </row>
    <row r="101" spans="1:10" ht="82" customHeight="1" x14ac:dyDescent="0.35">
      <c r="A101" s="4" t="str">
        <f>IF($J101=0,"",IF(INDEX(Datos!$A$2:$A$1000,$J101)="","",INDEX(Datos!$A$2:$A$1000,$J101)))</f>
        <v/>
      </c>
      <c r="B101" s="5" t="str">
        <f>IF($J101=0,"",IF(INDEX(Datos!$E$2:$E$1000,$J101)="","",INDEX(Datos!$E$2:$E$1000,$J101)))</f>
        <v/>
      </c>
      <c r="C101" s="5" t="str">
        <f>IF($J101=0,"",IF(INDEX(Datos!$I$2:$I$1000,$J101)="","",INDEX(Datos!$I$2:$I$1000,$J101)))</f>
        <v/>
      </c>
      <c r="D101" s="6" t="str">
        <f>IF($J101=0,"",IF(INDEX(Datos!$F$2:$F$1000,$J101)="","",INDEX(Datos!$F$2:$F$1000,$J101)))</f>
        <v/>
      </c>
      <c r="E101" s="7" t="str">
        <f>IF($J101=0,"",IF(INDEX(Datos!$H$2:$H$1000,$J101)="","",INDEX(Datos!$H$2:$H$1000,$J101)))</f>
        <v/>
      </c>
      <c r="F101" s="6" t="str">
        <f>IF($J101=0,"",IF(INDEX(Datos!$N$2:$N$1000,$J101)="","",INDEX(Datos!$N$2:$N$1000,$J101)))</f>
        <v/>
      </c>
      <c r="G101" s="8" t="str">
        <f>IF($J101=0,"",IF(INDEX(Datos!$M$2:$M$1000,$J101)="","",INDEX(Datos!$M$2:$M$1000,$J101)))</f>
        <v/>
      </c>
      <c r="H101" s="6" t="str">
        <f>IF($J101=0,"",INDEX(Datos!$J$2:$J$1000,$J101)&amp;IF(INDEX(Datos!$Q$2:$Q$1000,$J101)="",""," | "&amp;INDEX(Datos!$Q$2:$Q$1000,$J101)))</f>
        <v/>
      </c>
      <c r="J101">
        <f>IFERROR(MATCH(ROW()-17,Datos!$W$2:$W$1000,0),0)</f>
        <v>0</v>
      </c>
    </row>
    <row r="102" spans="1:10" ht="82" customHeight="1" x14ac:dyDescent="0.35">
      <c r="A102" s="4" t="str">
        <f>IF($J102=0,"",IF(INDEX(Datos!$A$2:$A$1000,$J102)="","",INDEX(Datos!$A$2:$A$1000,$J102)))</f>
        <v/>
      </c>
      <c r="B102" s="5" t="str">
        <f>IF($J102=0,"",IF(INDEX(Datos!$E$2:$E$1000,$J102)="","",INDEX(Datos!$E$2:$E$1000,$J102)))</f>
        <v/>
      </c>
      <c r="C102" s="5" t="str">
        <f>IF($J102=0,"",IF(INDEX(Datos!$I$2:$I$1000,$J102)="","",INDEX(Datos!$I$2:$I$1000,$J102)))</f>
        <v/>
      </c>
      <c r="D102" s="6" t="str">
        <f>IF($J102=0,"",IF(INDEX(Datos!$F$2:$F$1000,$J102)="","",INDEX(Datos!$F$2:$F$1000,$J102)))</f>
        <v/>
      </c>
      <c r="E102" s="7" t="str">
        <f>IF($J102=0,"",IF(INDEX(Datos!$H$2:$H$1000,$J102)="","",INDEX(Datos!$H$2:$H$1000,$J102)))</f>
        <v/>
      </c>
      <c r="F102" s="6" t="str">
        <f>IF($J102=0,"",IF(INDEX(Datos!$N$2:$N$1000,$J102)="","",INDEX(Datos!$N$2:$N$1000,$J102)))</f>
        <v/>
      </c>
      <c r="G102" s="8" t="str">
        <f>IF($J102=0,"",IF(INDEX(Datos!$M$2:$M$1000,$J102)="","",INDEX(Datos!$M$2:$M$1000,$J102)))</f>
        <v/>
      </c>
      <c r="H102" s="6" t="str">
        <f>IF($J102=0,"",INDEX(Datos!$J$2:$J$1000,$J102)&amp;IF(INDEX(Datos!$Q$2:$Q$1000,$J102)="",""," | "&amp;INDEX(Datos!$Q$2:$Q$1000,$J102)))</f>
        <v/>
      </c>
      <c r="J102">
        <f>IFERROR(MATCH(ROW()-17,Datos!$W$2:$W$1000,0),0)</f>
        <v>0</v>
      </c>
    </row>
    <row r="103" spans="1:10" ht="82" customHeight="1" x14ac:dyDescent="0.35">
      <c r="A103" s="4" t="str">
        <f>IF($J103=0,"",IF(INDEX(Datos!$A$2:$A$1000,$J103)="","",INDEX(Datos!$A$2:$A$1000,$J103)))</f>
        <v/>
      </c>
      <c r="B103" s="5" t="str">
        <f>IF($J103=0,"",IF(INDEX(Datos!$E$2:$E$1000,$J103)="","",INDEX(Datos!$E$2:$E$1000,$J103)))</f>
        <v/>
      </c>
      <c r="C103" s="5" t="str">
        <f>IF($J103=0,"",IF(INDEX(Datos!$I$2:$I$1000,$J103)="","",INDEX(Datos!$I$2:$I$1000,$J103)))</f>
        <v/>
      </c>
      <c r="D103" s="6" t="str">
        <f>IF($J103=0,"",IF(INDEX(Datos!$F$2:$F$1000,$J103)="","",INDEX(Datos!$F$2:$F$1000,$J103)))</f>
        <v/>
      </c>
      <c r="E103" s="7" t="str">
        <f>IF($J103=0,"",IF(INDEX(Datos!$H$2:$H$1000,$J103)="","",INDEX(Datos!$H$2:$H$1000,$J103)))</f>
        <v/>
      </c>
      <c r="F103" s="6" t="str">
        <f>IF($J103=0,"",IF(INDEX(Datos!$N$2:$N$1000,$J103)="","",INDEX(Datos!$N$2:$N$1000,$J103)))</f>
        <v/>
      </c>
      <c r="G103" s="8" t="str">
        <f>IF($J103=0,"",IF(INDEX(Datos!$M$2:$M$1000,$J103)="","",INDEX(Datos!$M$2:$M$1000,$J103)))</f>
        <v/>
      </c>
      <c r="H103" s="6" t="str">
        <f>IF($J103=0,"",INDEX(Datos!$J$2:$J$1000,$J103)&amp;IF(INDEX(Datos!$Q$2:$Q$1000,$J103)="",""," | "&amp;INDEX(Datos!$Q$2:$Q$1000,$J103)))</f>
        <v/>
      </c>
      <c r="J103">
        <f>IFERROR(MATCH(ROW()-17,Datos!$W$2:$W$1000,0),0)</f>
        <v>0</v>
      </c>
    </row>
    <row r="104" spans="1:10" ht="82" customHeight="1" x14ac:dyDescent="0.35">
      <c r="A104" s="4" t="str">
        <f>IF($J104=0,"",IF(INDEX(Datos!$A$2:$A$1000,$J104)="","",INDEX(Datos!$A$2:$A$1000,$J104)))</f>
        <v/>
      </c>
      <c r="B104" s="5" t="str">
        <f>IF($J104=0,"",IF(INDEX(Datos!$E$2:$E$1000,$J104)="","",INDEX(Datos!$E$2:$E$1000,$J104)))</f>
        <v/>
      </c>
      <c r="C104" s="5" t="str">
        <f>IF($J104=0,"",IF(INDEX(Datos!$I$2:$I$1000,$J104)="","",INDEX(Datos!$I$2:$I$1000,$J104)))</f>
        <v/>
      </c>
      <c r="D104" s="6" t="str">
        <f>IF($J104=0,"",IF(INDEX(Datos!$F$2:$F$1000,$J104)="","",INDEX(Datos!$F$2:$F$1000,$J104)))</f>
        <v/>
      </c>
      <c r="E104" s="7" t="str">
        <f>IF($J104=0,"",IF(INDEX(Datos!$H$2:$H$1000,$J104)="","",INDEX(Datos!$H$2:$H$1000,$J104)))</f>
        <v/>
      </c>
      <c r="F104" s="6" t="str">
        <f>IF($J104=0,"",IF(INDEX(Datos!$N$2:$N$1000,$J104)="","",INDEX(Datos!$N$2:$N$1000,$J104)))</f>
        <v/>
      </c>
      <c r="G104" s="8" t="str">
        <f>IF($J104=0,"",IF(INDEX(Datos!$M$2:$M$1000,$J104)="","",INDEX(Datos!$M$2:$M$1000,$J104)))</f>
        <v/>
      </c>
      <c r="H104" s="6" t="str">
        <f>IF($J104=0,"",INDEX(Datos!$J$2:$J$1000,$J104)&amp;IF(INDEX(Datos!$Q$2:$Q$1000,$J104)="",""," | "&amp;INDEX(Datos!$Q$2:$Q$1000,$J104)))</f>
        <v/>
      </c>
      <c r="J104">
        <f>IFERROR(MATCH(ROW()-17,Datos!$W$2:$W$1000,0),0)</f>
        <v>0</v>
      </c>
    </row>
    <row r="105" spans="1:10" ht="82" customHeight="1" x14ac:dyDescent="0.35">
      <c r="A105" s="4" t="str">
        <f>IF($J105=0,"",IF(INDEX(Datos!$A$2:$A$1000,$J105)="","",INDEX(Datos!$A$2:$A$1000,$J105)))</f>
        <v/>
      </c>
      <c r="B105" s="5" t="str">
        <f>IF($J105=0,"",IF(INDEX(Datos!$E$2:$E$1000,$J105)="","",INDEX(Datos!$E$2:$E$1000,$J105)))</f>
        <v/>
      </c>
      <c r="C105" s="5" t="str">
        <f>IF($J105=0,"",IF(INDEX(Datos!$I$2:$I$1000,$J105)="","",INDEX(Datos!$I$2:$I$1000,$J105)))</f>
        <v/>
      </c>
      <c r="D105" s="6" t="str">
        <f>IF($J105=0,"",IF(INDEX(Datos!$F$2:$F$1000,$J105)="","",INDEX(Datos!$F$2:$F$1000,$J105)))</f>
        <v/>
      </c>
      <c r="E105" s="7" t="str">
        <f>IF($J105=0,"",IF(INDEX(Datos!$H$2:$H$1000,$J105)="","",INDEX(Datos!$H$2:$H$1000,$J105)))</f>
        <v/>
      </c>
      <c r="F105" s="6" t="str">
        <f>IF($J105=0,"",IF(INDEX(Datos!$N$2:$N$1000,$J105)="","",INDEX(Datos!$N$2:$N$1000,$J105)))</f>
        <v/>
      </c>
      <c r="G105" s="8" t="str">
        <f>IF($J105=0,"",IF(INDEX(Datos!$M$2:$M$1000,$J105)="","",INDEX(Datos!$M$2:$M$1000,$J105)))</f>
        <v/>
      </c>
      <c r="H105" s="6" t="str">
        <f>IF($J105=0,"",INDEX(Datos!$J$2:$J$1000,$J105)&amp;IF(INDEX(Datos!$Q$2:$Q$1000,$J105)="",""," | "&amp;INDEX(Datos!$Q$2:$Q$1000,$J105)))</f>
        <v/>
      </c>
      <c r="J105">
        <f>IFERROR(MATCH(ROW()-17,Datos!$W$2:$W$1000,0),0)</f>
        <v>0</v>
      </c>
    </row>
    <row r="106" spans="1:10" ht="82" customHeight="1" x14ac:dyDescent="0.35">
      <c r="A106" s="4" t="str">
        <f>IF($J106=0,"",IF(INDEX(Datos!$A$2:$A$1000,$J106)="","",INDEX(Datos!$A$2:$A$1000,$J106)))</f>
        <v/>
      </c>
      <c r="B106" s="5" t="str">
        <f>IF($J106=0,"",IF(INDEX(Datos!$E$2:$E$1000,$J106)="","",INDEX(Datos!$E$2:$E$1000,$J106)))</f>
        <v/>
      </c>
      <c r="C106" s="5" t="str">
        <f>IF($J106=0,"",IF(INDEX(Datos!$I$2:$I$1000,$J106)="","",INDEX(Datos!$I$2:$I$1000,$J106)))</f>
        <v/>
      </c>
      <c r="D106" s="6" t="str">
        <f>IF($J106=0,"",IF(INDEX(Datos!$F$2:$F$1000,$J106)="","",INDEX(Datos!$F$2:$F$1000,$J106)))</f>
        <v/>
      </c>
      <c r="E106" s="7" t="str">
        <f>IF($J106=0,"",IF(INDEX(Datos!$H$2:$H$1000,$J106)="","",INDEX(Datos!$H$2:$H$1000,$J106)))</f>
        <v/>
      </c>
      <c r="F106" s="6" t="str">
        <f>IF($J106=0,"",IF(INDEX(Datos!$N$2:$N$1000,$J106)="","",INDEX(Datos!$N$2:$N$1000,$J106)))</f>
        <v/>
      </c>
      <c r="G106" s="8" t="str">
        <f>IF($J106=0,"",IF(INDEX(Datos!$M$2:$M$1000,$J106)="","",INDEX(Datos!$M$2:$M$1000,$J106)))</f>
        <v/>
      </c>
      <c r="H106" s="6" t="str">
        <f>IF($J106=0,"",INDEX(Datos!$J$2:$J$1000,$J106)&amp;IF(INDEX(Datos!$Q$2:$Q$1000,$J106)="",""," | "&amp;INDEX(Datos!$Q$2:$Q$1000,$J106)))</f>
        <v/>
      </c>
      <c r="J106">
        <f>IFERROR(MATCH(ROW()-17,Datos!$W$2:$W$1000,0),0)</f>
        <v>0</v>
      </c>
    </row>
    <row r="107" spans="1:10" ht="82" customHeight="1" x14ac:dyDescent="0.35">
      <c r="A107" s="4" t="str">
        <f>IF($J107=0,"",IF(INDEX(Datos!$A$2:$A$1000,$J107)="","",INDEX(Datos!$A$2:$A$1000,$J107)))</f>
        <v/>
      </c>
      <c r="B107" s="5" t="str">
        <f>IF($J107=0,"",IF(INDEX(Datos!$E$2:$E$1000,$J107)="","",INDEX(Datos!$E$2:$E$1000,$J107)))</f>
        <v/>
      </c>
      <c r="C107" s="5" t="str">
        <f>IF($J107=0,"",IF(INDEX(Datos!$I$2:$I$1000,$J107)="","",INDEX(Datos!$I$2:$I$1000,$J107)))</f>
        <v/>
      </c>
      <c r="D107" s="6" t="str">
        <f>IF($J107=0,"",IF(INDEX(Datos!$F$2:$F$1000,$J107)="","",INDEX(Datos!$F$2:$F$1000,$J107)))</f>
        <v/>
      </c>
      <c r="E107" s="7" t="str">
        <f>IF($J107=0,"",IF(INDEX(Datos!$H$2:$H$1000,$J107)="","",INDEX(Datos!$H$2:$H$1000,$J107)))</f>
        <v/>
      </c>
      <c r="F107" s="6" t="str">
        <f>IF($J107=0,"",IF(INDEX(Datos!$N$2:$N$1000,$J107)="","",INDEX(Datos!$N$2:$N$1000,$J107)))</f>
        <v/>
      </c>
      <c r="G107" s="8" t="str">
        <f>IF($J107=0,"",IF(INDEX(Datos!$M$2:$M$1000,$J107)="","",INDEX(Datos!$M$2:$M$1000,$J107)))</f>
        <v/>
      </c>
      <c r="H107" s="6" t="str">
        <f>IF($J107=0,"",INDEX(Datos!$J$2:$J$1000,$J107)&amp;IF(INDEX(Datos!$Q$2:$Q$1000,$J107)="",""," | "&amp;INDEX(Datos!$Q$2:$Q$1000,$J107)))</f>
        <v/>
      </c>
      <c r="J107">
        <f>IFERROR(MATCH(ROW()-17,Datos!$W$2:$W$1000,0),0)</f>
        <v>0</v>
      </c>
    </row>
    <row r="108" spans="1:10" ht="82" customHeight="1" x14ac:dyDescent="0.35">
      <c r="A108" s="4" t="str">
        <f>IF($J108=0,"",IF(INDEX(Datos!$A$2:$A$1000,$J108)="","",INDEX(Datos!$A$2:$A$1000,$J108)))</f>
        <v/>
      </c>
      <c r="B108" s="5" t="str">
        <f>IF($J108=0,"",IF(INDEX(Datos!$E$2:$E$1000,$J108)="","",INDEX(Datos!$E$2:$E$1000,$J108)))</f>
        <v/>
      </c>
      <c r="C108" s="5" t="str">
        <f>IF($J108=0,"",IF(INDEX(Datos!$I$2:$I$1000,$J108)="","",INDEX(Datos!$I$2:$I$1000,$J108)))</f>
        <v/>
      </c>
      <c r="D108" s="6" t="str">
        <f>IF($J108=0,"",IF(INDEX(Datos!$F$2:$F$1000,$J108)="","",INDEX(Datos!$F$2:$F$1000,$J108)))</f>
        <v/>
      </c>
      <c r="E108" s="7" t="str">
        <f>IF($J108=0,"",IF(INDEX(Datos!$H$2:$H$1000,$J108)="","",INDEX(Datos!$H$2:$H$1000,$J108)))</f>
        <v/>
      </c>
      <c r="F108" s="6" t="str">
        <f>IF($J108=0,"",IF(INDEX(Datos!$N$2:$N$1000,$J108)="","",INDEX(Datos!$N$2:$N$1000,$J108)))</f>
        <v/>
      </c>
      <c r="G108" s="8" t="str">
        <f>IF($J108=0,"",IF(INDEX(Datos!$M$2:$M$1000,$J108)="","",INDEX(Datos!$M$2:$M$1000,$J108)))</f>
        <v/>
      </c>
      <c r="H108" s="6" t="str">
        <f>IF($J108=0,"",INDEX(Datos!$J$2:$J$1000,$J108)&amp;IF(INDEX(Datos!$Q$2:$Q$1000,$J108)="",""," | "&amp;INDEX(Datos!$Q$2:$Q$1000,$J108)))</f>
        <v/>
      </c>
      <c r="J108">
        <f>IFERROR(MATCH(ROW()-17,Datos!$W$2:$W$1000,0),0)</f>
        <v>0</v>
      </c>
    </row>
    <row r="109" spans="1:10" ht="82" customHeight="1" x14ac:dyDescent="0.35">
      <c r="A109" s="4" t="str">
        <f>IF($J109=0,"",IF(INDEX(Datos!$A$2:$A$1000,$J109)="","",INDEX(Datos!$A$2:$A$1000,$J109)))</f>
        <v/>
      </c>
      <c r="B109" s="5" t="str">
        <f>IF($J109=0,"",IF(INDEX(Datos!$E$2:$E$1000,$J109)="","",INDEX(Datos!$E$2:$E$1000,$J109)))</f>
        <v/>
      </c>
      <c r="C109" s="5" t="str">
        <f>IF($J109=0,"",IF(INDEX(Datos!$I$2:$I$1000,$J109)="","",INDEX(Datos!$I$2:$I$1000,$J109)))</f>
        <v/>
      </c>
      <c r="D109" s="6" t="str">
        <f>IF($J109=0,"",IF(INDEX(Datos!$F$2:$F$1000,$J109)="","",INDEX(Datos!$F$2:$F$1000,$J109)))</f>
        <v/>
      </c>
      <c r="E109" s="7" t="str">
        <f>IF($J109=0,"",IF(INDEX(Datos!$H$2:$H$1000,$J109)="","",INDEX(Datos!$H$2:$H$1000,$J109)))</f>
        <v/>
      </c>
      <c r="F109" s="6" t="str">
        <f>IF($J109=0,"",IF(INDEX(Datos!$N$2:$N$1000,$J109)="","",INDEX(Datos!$N$2:$N$1000,$J109)))</f>
        <v/>
      </c>
      <c r="G109" s="8" t="str">
        <f>IF($J109=0,"",IF(INDEX(Datos!$M$2:$M$1000,$J109)="","",INDEX(Datos!$M$2:$M$1000,$J109)))</f>
        <v/>
      </c>
      <c r="H109" s="6" t="str">
        <f>IF($J109=0,"",INDEX(Datos!$J$2:$J$1000,$J109)&amp;IF(INDEX(Datos!$Q$2:$Q$1000,$J109)="",""," | "&amp;INDEX(Datos!$Q$2:$Q$1000,$J109)))</f>
        <v/>
      </c>
      <c r="J109">
        <f>IFERROR(MATCH(ROW()-17,Datos!$W$2:$W$1000,0),0)</f>
        <v>0</v>
      </c>
    </row>
    <row r="110" spans="1:10" ht="82" customHeight="1" x14ac:dyDescent="0.35">
      <c r="A110" s="4" t="str">
        <f>IF($J110=0,"",IF(INDEX(Datos!$A$2:$A$1000,$J110)="","",INDEX(Datos!$A$2:$A$1000,$J110)))</f>
        <v/>
      </c>
      <c r="B110" s="5" t="str">
        <f>IF($J110=0,"",IF(INDEX(Datos!$E$2:$E$1000,$J110)="","",INDEX(Datos!$E$2:$E$1000,$J110)))</f>
        <v/>
      </c>
      <c r="C110" s="5" t="str">
        <f>IF($J110=0,"",IF(INDEX(Datos!$I$2:$I$1000,$J110)="","",INDEX(Datos!$I$2:$I$1000,$J110)))</f>
        <v/>
      </c>
      <c r="D110" s="6" t="str">
        <f>IF($J110=0,"",IF(INDEX(Datos!$F$2:$F$1000,$J110)="","",INDEX(Datos!$F$2:$F$1000,$J110)))</f>
        <v/>
      </c>
      <c r="E110" s="7" t="str">
        <f>IF($J110=0,"",IF(INDEX(Datos!$H$2:$H$1000,$J110)="","",INDEX(Datos!$H$2:$H$1000,$J110)))</f>
        <v/>
      </c>
      <c r="F110" s="6" t="str">
        <f>IF($J110=0,"",IF(INDEX(Datos!$N$2:$N$1000,$J110)="","",INDEX(Datos!$N$2:$N$1000,$J110)))</f>
        <v/>
      </c>
      <c r="G110" s="8" t="str">
        <f>IF($J110=0,"",IF(INDEX(Datos!$M$2:$M$1000,$J110)="","",INDEX(Datos!$M$2:$M$1000,$J110)))</f>
        <v/>
      </c>
      <c r="H110" s="6" t="str">
        <f>IF($J110=0,"",INDEX(Datos!$J$2:$J$1000,$J110)&amp;IF(INDEX(Datos!$Q$2:$Q$1000,$J110)="",""," | "&amp;INDEX(Datos!$Q$2:$Q$1000,$J110)))</f>
        <v/>
      </c>
      <c r="J110">
        <f>IFERROR(MATCH(ROW()-17,Datos!$W$2:$W$1000,0),0)</f>
        <v>0</v>
      </c>
    </row>
    <row r="111" spans="1:10" ht="82" customHeight="1" x14ac:dyDescent="0.35">
      <c r="A111" s="4" t="str">
        <f>IF($J111=0,"",IF(INDEX(Datos!$A$2:$A$1000,$J111)="","",INDEX(Datos!$A$2:$A$1000,$J111)))</f>
        <v/>
      </c>
      <c r="B111" s="5" t="str">
        <f>IF($J111=0,"",IF(INDEX(Datos!$E$2:$E$1000,$J111)="","",INDEX(Datos!$E$2:$E$1000,$J111)))</f>
        <v/>
      </c>
      <c r="C111" s="5" t="str">
        <f>IF($J111=0,"",IF(INDEX(Datos!$I$2:$I$1000,$J111)="","",INDEX(Datos!$I$2:$I$1000,$J111)))</f>
        <v/>
      </c>
      <c r="D111" s="6" t="str">
        <f>IF($J111=0,"",IF(INDEX(Datos!$F$2:$F$1000,$J111)="","",INDEX(Datos!$F$2:$F$1000,$J111)))</f>
        <v/>
      </c>
      <c r="E111" s="7" t="str">
        <f>IF($J111=0,"",IF(INDEX(Datos!$H$2:$H$1000,$J111)="","",INDEX(Datos!$H$2:$H$1000,$J111)))</f>
        <v/>
      </c>
      <c r="F111" s="6" t="str">
        <f>IF($J111=0,"",IF(INDEX(Datos!$N$2:$N$1000,$J111)="","",INDEX(Datos!$N$2:$N$1000,$J111)))</f>
        <v/>
      </c>
      <c r="G111" s="8" t="str">
        <f>IF($J111=0,"",IF(INDEX(Datos!$M$2:$M$1000,$J111)="","",INDEX(Datos!$M$2:$M$1000,$J111)))</f>
        <v/>
      </c>
      <c r="H111" s="6" t="str">
        <f>IF($J111=0,"",INDEX(Datos!$J$2:$J$1000,$J111)&amp;IF(INDEX(Datos!$Q$2:$Q$1000,$J111)="",""," | "&amp;INDEX(Datos!$Q$2:$Q$1000,$J111)))</f>
        <v/>
      </c>
      <c r="J111">
        <f>IFERROR(MATCH(ROW()-17,Datos!$W$2:$W$1000,0),0)</f>
        <v>0</v>
      </c>
    </row>
    <row r="112" spans="1:10" ht="82" customHeight="1" x14ac:dyDescent="0.35">
      <c r="A112" s="4" t="str">
        <f>IF($J112=0,"",IF(INDEX(Datos!$A$2:$A$1000,$J112)="","",INDEX(Datos!$A$2:$A$1000,$J112)))</f>
        <v/>
      </c>
      <c r="B112" s="5" t="str">
        <f>IF($J112=0,"",IF(INDEX(Datos!$E$2:$E$1000,$J112)="","",INDEX(Datos!$E$2:$E$1000,$J112)))</f>
        <v/>
      </c>
      <c r="C112" s="5" t="str">
        <f>IF($J112=0,"",IF(INDEX(Datos!$I$2:$I$1000,$J112)="","",INDEX(Datos!$I$2:$I$1000,$J112)))</f>
        <v/>
      </c>
      <c r="D112" s="6" t="str">
        <f>IF($J112=0,"",IF(INDEX(Datos!$F$2:$F$1000,$J112)="","",INDEX(Datos!$F$2:$F$1000,$J112)))</f>
        <v/>
      </c>
      <c r="E112" s="7" t="str">
        <f>IF($J112=0,"",IF(INDEX(Datos!$H$2:$H$1000,$J112)="","",INDEX(Datos!$H$2:$H$1000,$J112)))</f>
        <v/>
      </c>
      <c r="F112" s="6" t="str">
        <f>IF($J112=0,"",IF(INDEX(Datos!$N$2:$N$1000,$J112)="","",INDEX(Datos!$N$2:$N$1000,$J112)))</f>
        <v/>
      </c>
      <c r="G112" s="8" t="str">
        <f>IF($J112=0,"",IF(INDEX(Datos!$M$2:$M$1000,$J112)="","",INDEX(Datos!$M$2:$M$1000,$J112)))</f>
        <v/>
      </c>
      <c r="H112" s="6" t="str">
        <f>IF($J112=0,"",INDEX(Datos!$J$2:$J$1000,$J112)&amp;IF(INDEX(Datos!$Q$2:$Q$1000,$J112)="",""," | "&amp;INDEX(Datos!$Q$2:$Q$1000,$J112)))</f>
        <v/>
      </c>
      <c r="J112">
        <f>IFERROR(MATCH(ROW()-17,Datos!$W$2:$W$1000,0),0)</f>
        <v>0</v>
      </c>
    </row>
    <row r="113" spans="1:10" ht="82" customHeight="1" x14ac:dyDescent="0.35">
      <c r="A113" s="4" t="str">
        <f>IF($J113=0,"",IF(INDEX(Datos!$A$2:$A$1000,$J113)="","",INDEX(Datos!$A$2:$A$1000,$J113)))</f>
        <v/>
      </c>
      <c r="B113" s="5" t="str">
        <f>IF($J113=0,"",IF(INDEX(Datos!$E$2:$E$1000,$J113)="","",INDEX(Datos!$E$2:$E$1000,$J113)))</f>
        <v/>
      </c>
      <c r="C113" s="5" t="str">
        <f>IF($J113=0,"",IF(INDEX(Datos!$I$2:$I$1000,$J113)="","",INDEX(Datos!$I$2:$I$1000,$J113)))</f>
        <v/>
      </c>
      <c r="D113" s="6" t="str">
        <f>IF($J113=0,"",IF(INDEX(Datos!$F$2:$F$1000,$J113)="","",INDEX(Datos!$F$2:$F$1000,$J113)))</f>
        <v/>
      </c>
      <c r="E113" s="7" t="str">
        <f>IF($J113=0,"",IF(INDEX(Datos!$H$2:$H$1000,$J113)="","",INDEX(Datos!$H$2:$H$1000,$J113)))</f>
        <v/>
      </c>
      <c r="F113" s="6" t="str">
        <f>IF($J113=0,"",IF(INDEX(Datos!$N$2:$N$1000,$J113)="","",INDEX(Datos!$N$2:$N$1000,$J113)))</f>
        <v/>
      </c>
      <c r="G113" s="8" t="str">
        <f>IF($J113=0,"",IF(INDEX(Datos!$M$2:$M$1000,$J113)="","",INDEX(Datos!$M$2:$M$1000,$J113)))</f>
        <v/>
      </c>
      <c r="H113" s="6" t="str">
        <f>IF($J113=0,"",INDEX(Datos!$J$2:$J$1000,$J113)&amp;IF(INDEX(Datos!$Q$2:$Q$1000,$J113)="",""," | "&amp;INDEX(Datos!$Q$2:$Q$1000,$J113)))</f>
        <v/>
      </c>
      <c r="J113">
        <f>IFERROR(MATCH(ROW()-17,Datos!$W$2:$W$1000,0),0)</f>
        <v>0</v>
      </c>
    </row>
    <row r="114" spans="1:10" ht="82" customHeight="1" x14ac:dyDescent="0.35">
      <c r="A114" s="4" t="str">
        <f>IF($J114=0,"",IF(INDEX(Datos!$A$2:$A$1000,$J114)="","",INDEX(Datos!$A$2:$A$1000,$J114)))</f>
        <v/>
      </c>
      <c r="B114" s="5" t="str">
        <f>IF($J114=0,"",IF(INDEX(Datos!$E$2:$E$1000,$J114)="","",INDEX(Datos!$E$2:$E$1000,$J114)))</f>
        <v/>
      </c>
      <c r="C114" s="5" t="str">
        <f>IF($J114=0,"",IF(INDEX(Datos!$I$2:$I$1000,$J114)="","",INDEX(Datos!$I$2:$I$1000,$J114)))</f>
        <v/>
      </c>
      <c r="D114" s="6" t="str">
        <f>IF($J114=0,"",IF(INDEX(Datos!$F$2:$F$1000,$J114)="","",INDEX(Datos!$F$2:$F$1000,$J114)))</f>
        <v/>
      </c>
      <c r="E114" s="7" t="str">
        <f>IF($J114=0,"",IF(INDEX(Datos!$H$2:$H$1000,$J114)="","",INDEX(Datos!$H$2:$H$1000,$J114)))</f>
        <v/>
      </c>
      <c r="F114" s="6" t="str">
        <f>IF($J114=0,"",IF(INDEX(Datos!$N$2:$N$1000,$J114)="","",INDEX(Datos!$N$2:$N$1000,$J114)))</f>
        <v/>
      </c>
      <c r="G114" s="8" t="str">
        <f>IF($J114=0,"",IF(INDEX(Datos!$M$2:$M$1000,$J114)="","",INDEX(Datos!$M$2:$M$1000,$J114)))</f>
        <v/>
      </c>
      <c r="H114" s="6" t="str">
        <f>IF($J114=0,"",INDEX(Datos!$J$2:$J$1000,$J114)&amp;IF(INDEX(Datos!$Q$2:$Q$1000,$J114)="",""," | "&amp;INDEX(Datos!$Q$2:$Q$1000,$J114)))</f>
        <v/>
      </c>
      <c r="J114">
        <f>IFERROR(MATCH(ROW()-17,Datos!$W$2:$W$1000,0),0)</f>
        <v>0</v>
      </c>
    </row>
    <row r="115" spans="1:10" ht="82" customHeight="1" x14ac:dyDescent="0.35">
      <c r="A115" s="4" t="str">
        <f>IF($J115=0,"",IF(INDEX(Datos!$A$2:$A$1000,$J115)="","",INDEX(Datos!$A$2:$A$1000,$J115)))</f>
        <v/>
      </c>
      <c r="B115" s="5" t="str">
        <f>IF($J115=0,"",IF(INDEX(Datos!$E$2:$E$1000,$J115)="","",INDEX(Datos!$E$2:$E$1000,$J115)))</f>
        <v/>
      </c>
      <c r="C115" s="5" t="str">
        <f>IF($J115=0,"",IF(INDEX(Datos!$I$2:$I$1000,$J115)="","",INDEX(Datos!$I$2:$I$1000,$J115)))</f>
        <v/>
      </c>
      <c r="D115" s="6" t="str">
        <f>IF($J115=0,"",IF(INDEX(Datos!$F$2:$F$1000,$J115)="","",INDEX(Datos!$F$2:$F$1000,$J115)))</f>
        <v/>
      </c>
      <c r="E115" s="7" t="str">
        <f>IF($J115=0,"",IF(INDEX(Datos!$H$2:$H$1000,$J115)="","",INDEX(Datos!$H$2:$H$1000,$J115)))</f>
        <v/>
      </c>
      <c r="F115" s="6" t="str">
        <f>IF($J115=0,"",IF(INDEX(Datos!$N$2:$N$1000,$J115)="","",INDEX(Datos!$N$2:$N$1000,$J115)))</f>
        <v/>
      </c>
      <c r="G115" s="8" t="str">
        <f>IF($J115=0,"",IF(INDEX(Datos!$M$2:$M$1000,$J115)="","",INDEX(Datos!$M$2:$M$1000,$J115)))</f>
        <v/>
      </c>
      <c r="H115" s="6" t="str">
        <f>IF($J115=0,"",INDEX(Datos!$J$2:$J$1000,$J115)&amp;IF(INDEX(Datos!$Q$2:$Q$1000,$J115)="",""," | "&amp;INDEX(Datos!$Q$2:$Q$1000,$J115)))</f>
        <v/>
      </c>
      <c r="J115">
        <f>IFERROR(MATCH(ROW()-17,Datos!$W$2:$W$1000,0),0)</f>
        <v>0</v>
      </c>
    </row>
    <row r="116" spans="1:10" ht="82" customHeight="1" x14ac:dyDescent="0.35">
      <c r="A116" s="4" t="str">
        <f>IF($J116=0,"",IF(INDEX(Datos!$A$2:$A$1000,$J116)="","",INDEX(Datos!$A$2:$A$1000,$J116)))</f>
        <v/>
      </c>
      <c r="B116" s="5" t="str">
        <f>IF($J116=0,"",IF(INDEX(Datos!$E$2:$E$1000,$J116)="","",INDEX(Datos!$E$2:$E$1000,$J116)))</f>
        <v/>
      </c>
      <c r="C116" s="5" t="str">
        <f>IF($J116=0,"",IF(INDEX(Datos!$I$2:$I$1000,$J116)="","",INDEX(Datos!$I$2:$I$1000,$J116)))</f>
        <v/>
      </c>
      <c r="D116" s="6" t="str">
        <f>IF($J116=0,"",IF(INDEX(Datos!$F$2:$F$1000,$J116)="","",INDEX(Datos!$F$2:$F$1000,$J116)))</f>
        <v/>
      </c>
      <c r="E116" s="7" t="str">
        <f>IF($J116=0,"",IF(INDEX(Datos!$H$2:$H$1000,$J116)="","",INDEX(Datos!$H$2:$H$1000,$J116)))</f>
        <v/>
      </c>
      <c r="F116" s="6" t="str">
        <f>IF($J116=0,"",IF(INDEX(Datos!$N$2:$N$1000,$J116)="","",INDEX(Datos!$N$2:$N$1000,$J116)))</f>
        <v/>
      </c>
      <c r="G116" s="8" t="str">
        <f>IF($J116=0,"",IF(INDEX(Datos!$M$2:$M$1000,$J116)="","",INDEX(Datos!$M$2:$M$1000,$J116)))</f>
        <v/>
      </c>
      <c r="H116" s="6" t="str">
        <f>IF($J116=0,"",INDEX(Datos!$J$2:$J$1000,$J116)&amp;IF(INDEX(Datos!$Q$2:$Q$1000,$J116)="",""," | "&amp;INDEX(Datos!$Q$2:$Q$1000,$J116)))</f>
        <v/>
      </c>
      <c r="J116">
        <f>IFERROR(MATCH(ROW()-17,Datos!$W$2:$W$1000,0),0)</f>
        <v>0</v>
      </c>
    </row>
    <row r="117" spans="1:10" ht="82" customHeight="1" x14ac:dyDescent="0.35">
      <c r="A117" s="4" t="str">
        <f>IF($J117=0,"",IF(INDEX(Datos!$A$2:$A$1000,$J117)="","",INDEX(Datos!$A$2:$A$1000,$J117)))</f>
        <v/>
      </c>
      <c r="B117" s="5" t="str">
        <f>IF($J117=0,"",IF(INDEX(Datos!$E$2:$E$1000,$J117)="","",INDEX(Datos!$E$2:$E$1000,$J117)))</f>
        <v/>
      </c>
      <c r="C117" s="5" t="str">
        <f>IF($J117=0,"",IF(INDEX(Datos!$I$2:$I$1000,$J117)="","",INDEX(Datos!$I$2:$I$1000,$J117)))</f>
        <v/>
      </c>
      <c r="D117" s="6" t="str">
        <f>IF($J117=0,"",IF(INDEX(Datos!$F$2:$F$1000,$J117)="","",INDEX(Datos!$F$2:$F$1000,$J117)))</f>
        <v/>
      </c>
      <c r="E117" s="7" t="str">
        <f>IF($J117=0,"",IF(INDEX(Datos!$H$2:$H$1000,$J117)="","",INDEX(Datos!$H$2:$H$1000,$J117)))</f>
        <v/>
      </c>
      <c r="F117" s="6" t="str">
        <f>IF($J117=0,"",IF(INDEX(Datos!$N$2:$N$1000,$J117)="","",INDEX(Datos!$N$2:$N$1000,$J117)))</f>
        <v/>
      </c>
      <c r="G117" s="8" t="str">
        <f>IF($J117=0,"",IF(INDEX(Datos!$M$2:$M$1000,$J117)="","",INDEX(Datos!$M$2:$M$1000,$J117)))</f>
        <v/>
      </c>
      <c r="H117" s="6" t="str">
        <f>IF($J117=0,"",INDEX(Datos!$J$2:$J$1000,$J117)&amp;IF(INDEX(Datos!$Q$2:$Q$1000,$J117)="",""," | "&amp;INDEX(Datos!$Q$2:$Q$1000,$J117)))</f>
        <v/>
      </c>
      <c r="J117">
        <f>IFERROR(MATCH(ROW()-17,Datos!$W$2:$W$1000,0),0)</f>
        <v>0</v>
      </c>
    </row>
    <row r="118" spans="1:10" ht="82" customHeight="1" x14ac:dyDescent="0.35">
      <c r="A118" s="4" t="str">
        <f>IF($J118=0,"",IF(INDEX(Datos!$A$2:$A$1000,$J118)="","",INDEX(Datos!$A$2:$A$1000,$J118)))</f>
        <v/>
      </c>
      <c r="B118" s="5" t="str">
        <f>IF($J118=0,"",IF(INDEX(Datos!$E$2:$E$1000,$J118)="","",INDEX(Datos!$E$2:$E$1000,$J118)))</f>
        <v/>
      </c>
      <c r="C118" s="5" t="str">
        <f>IF($J118=0,"",IF(INDEX(Datos!$I$2:$I$1000,$J118)="","",INDEX(Datos!$I$2:$I$1000,$J118)))</f>
        <v/>
      </c>
      <c r="D118" s="6" t="str">
        <f>IF($J118=0,"",IF(INDEX(Datos!$F$2:$F$1000,$J118)="","",INDEX(Datos!$F$2:$F$1000,$J118)))</f>
        <v/>
      </c>
      <c r="E118" s="7" t="str">
        <f>IF($J118=0,"",IF(INDEX(Datos!$H$2:$H$1000,$J118)="","",INDEX(Datos!$H$2:$H$1000,$J118)))</f>
        <v/>
      </c>
      <c r="F118" s="6" t="str">
        <f>IF($J118=0,"",IF(INDEX(Datos!$N$2:$N$1000,$J118)="","",INDEX(Datos!$N$2:$N$1000,$J118)))</f>
        <v/>
      </c>
      <c r="G118" s="8" t="str">
        <f>IF($J118=0,"",IF(INDEX(Datos!$M$2:$M$1000,$J118)="","",INDEX(Datos!$M$2:$M$1000,$J118)))</f>
        <v/>
      </c>
      <c r="H118" s="6" t="str">
        <f>IF($J118=0,"",INDEX(Datos!$J$2:$J$1000,$J118)&amp;IF(INDEX(Datos!$Q$2:$Q$1000,$J118)="",""," | "&amp;INDEX(Datos!$Q$2:$Q$1000,$J118)))</f>
        <v/>
      </c>
      <c r="J118">
        <f>IFERROR(MATCH(ROW()-17,Datos!$W$2:$W$1000,0),0)</f>
        <v>0</v>
      </c>
    </row>
    <row r="119" spans="1:10" ht="82" customHeight="1" x14ac:dyDescent="0.35">
      <c r="A119" s="4" t="str">
        <f>IF($J119=0,"",IF(INDEX(Datos!$A$2:$A$1000,$J119)="","",INDEX(Datos!$A$2:$A$1000,$J119)))</f>
        <v/>
      </c>
      <c r="B119" s="5" t="str">
        <f>IF($J119=0,"",IF(INDEX(Datos!$E$2:$E$1000,$J119)="","",INDEX(Datos!$E$2:$E$1000,$J119)))</f>
        <v/>
      </c>
      <c r="C119" s="5" t="str">
        <f>IF($J119=0,"",IF(INDEX(Datos!$I$2:$I$1000,$J119)="","",INDEX(Datos!$I$2:$I$1000,$J119)))</f>
        <v/>
      </c>
      <c r="D119" s="6" t="str">
        <f>IF($J119=0,"",IF(INDEX(Datos!$F$2:$F$1000,$J119)="","",INDEX(Datos!$F$2:$F$1000,$J119)))</f>
        <v/>
      </c>
      <c r="E119" s="7" t="str">
        <f>IF($J119=0,"",IF(INDEX(Datos!$H$2:$H$1000,$J119)="","",INDEX(Datos!$H$2:$H$1000,$J119)))</f>
        <v/>
      </c>
      <c r="F119" s="6" t="str">
        <f>IF($J119=0,"",IF(INDEX(Datos!$N$2:$N$1000,$J119)="","",INDEX(Datos!$N$2:$N$1000,$J119)))</f>
        <v/>
      </c>
      <c r="G119" s="8" t="str">
        <f>IF($J119=0,"",IF(INDEX(Datos!$M$2:$M$1000,$J119)="","",INDEX(Datos!$M$2:$M$1000,$J119)))</f>
        <v/>
      </c>
      <c r="H119" s="6" t="str">
        <f>IF($J119=0,"",INDEX(Datos!$J$2:$J$1000,$J119)&amp;IF(INDEX(Datos!$Q$2:$Q$1000,$J119)="",""," | "&amp;INDEX(Datos!$Q$2:$Q$1000,$J119)))</f>
        <v/>
      </c>
      <c r="J119">
        <f>IFERROR(MATCH(ROW()-17,Datos!$W$2:$W$1000,0),0)</f>
        <v>0</v>
      </c>
    </row>
    <row r="120" spans="1:10" ht="82" customHeight="1" x14ac:dyDescent="0.35">
      <c r="A120" s="4" t="str">
        <f>IF($J120=0,"",IF(INDEX(Datos!$A$2:$A$1000,$J120)="","",INDEX(Datos!$A$2:$A$1000,$J120)))</f>
        <v/>
      </c>
      <c r="B120" s="5" t="str">
        <f>IF($J120=0,"",IF(INDEX(Datos!$E$2:$E$1000,$J120)="","",INDEX(Datos!$E$2:$E$1000,$J120)))</f>
        <v/>
      </c>
      <c r="C120" s="5" t="str">
        <f>IF($J120=0,"",IF(INDEX(Datos!$I$2:$I$1000,$J120)="","",INDEX(Datos!$I$2:$I$1000,$J120)))</f>
        <v/>
      </c>
      <c r="D120" s="6" t="str">
        <f>IF($J120=0,"",IF(INDEX(Datos!$F$2:$F$1000,$J120)="","",INDEX(Datos!$F$2:$F$1000,$J120)))</f>
        <v/>
      </c>
      <c r="E120" s="7" t="str">
        <f>IF($J120=0,"",IF(INDEX(Datos!$H$2:$H$1000,$J120)="","",INDEX(Datos!$H$2:$H$1000,$J120)))</f>
        <v/>
      </c>
      <c r="F120" s="6" t="str">
        <f>IF($J120=0,"",IF(INDEX(Datos!$N$2:$N$1000,$J120)="","",INDEX(Datos!$N$2:$N$1000,$J120)))</f>
        <v/>
      </c>
      <c r="G120" s="8" t="str">
        <f>IF($J120=0,"",IF(INDEX(Datos!$M$2:$M$1000,$J120)="","",INDEX(Datos!$M$2:$M$1000,$J120)))</f>
        <v/>
      </c>
      <c r="H120" s="6" t="str">
        <f>IF($J120=0,"",INDEX(Datos!$J$2:$J$1000,$J120)&amp;IF(INDEX(Datos!$Q$2:$Q$1000,$J120)="",""," | "&amp;INDEX(Datos!$Q$2:$Q$1000,$J120)))</f>
        <v/>
      </c>
      <c r="J120">
        <f>IFERROR(MATCH(ROW()-17,Datos!$W$2:$W$1000,0),0)</f>
        <v>0</v>
      </c>
    </row>
    <row r="121" spans="1:10" ht="82" customHeight="1" x14ac:dyDescent="0.35">
      <c r="A121" s="4" t="str">
        <f>IF($J121=0,"",IF(INDEX(Datos!$A$2:$A$1000,$J121)="","",INDEX(Datos!$A$2:$A$1000,$J121)))</f>
        <v/>
      </c>
      <c r="B121" s="5" t="str">
        <f>IF($J121=0,"",IF(INDEX(Datos!$E$2:$E$1000,$J121)="","",INDEX(Datos!$E$2:$E$1000,$J121)))</f>
        <v/>
      </c>
      <c r="C121" s="5" t="str">
        <f>IF($J121=0,"",IF(INDEX(Datos!$I$2:$I$1000,$J121)="","",INDEX(Datos!$I$2:$I$1000,$J121)))</f>
        <v/>
      </c>
      <c r="D121" s="6" t="str">
        <f>IF($J121=0,"",IF(INDEX(Datos!$F$2:$F$1000,$J121)="","",INDEX(Datos!$F$2:$F$1000,$J121)))</f>
        <v/>
      </c>
      <c r="E121" s="7" t="str">
        <f>IF($J121=0,"",IF(INDEX(Datos!$H$2:$H$1000,$J121)="","",INDEX(Datos!$H$2:$H$1000,$J121)))</f>
        <v/>
      </c>
      <c r="F121" s="6" t="str">
        <f>IF($J121=0,"",IF(INDEX(Datos!$N$2:$N$1000,$J121)="","",INDEX(Datos!$N$2:$N$1000,$J121)))</f>
        <v/>
      </c>
      <c r="G121" s="8" t="str">
        <f>IF($J121=0,"",IF(INDEX(Datos!$M$2:$M$1000,$J121)="","",INDEX(Datos!$M$2:$M$1000,$J121)))</f>
        <v/>
      </c>
      <c r="H121" s="6" t="str">
        <f>IF($J121=0,"",INDEX(Datos!$J$2:$J$1000,$J121)&amp;IF(INDEX(Datos!$Q$2:$Q$1000,$J121)="",""," | "&amp;INDEX(Datos!$Q$2:$Q$1000,$J121)))</f>
        <v/>
      </c>
      <c r="J121">
        <f>IFERROR(MATCH(ROW()-17,Datos!$W$2:$W$1000,0),0)</f>
        <v>0</v>
      </c>
    </row>
    <row r="122" spans="1:10" ht="82" customHeight="1" x14ac:dyDescent="0.35">
      <c r="A122" s="4" t="str">
        <f>IF($J122=0,"",IF(INDEX(Datos!$A$2:$A$1000,$J122)="","",INDEX(Datos!$A$2:$A$1000,$J122)))</f>
        <v/>
      </c>
      <c r="B122" s="5" t="str">
        <f>IF($J122=0,"",IF(INDEX(Datos!$E$2:$E$1000,$J122)="","",INDEX(Datos!$E$2:$E$1000,$J122)))</f>
        <v/>
      </c>
      <c r="C122" s="5" t="str">
        <f>IF($J122=0,"",IF(INDEX(Datos!$I$2:$I$1000,$J122)="","",INDEX(Datos!$I$2:$I$1000,$J122)))</f>
        <v/>
      </c>
      <c r="D122" s="6" t="str">
        <f>IF($J122=0,"",IF(INDEX(Datos!$F$2:$F$1000,$J122)="","",INDEX(Datos!$F$2:$F$1000,$J122)))</f>
        <v/>
      </c>
      <c r="E122" s="7" t="str">
        <f>IF($J122=0,"",IF(INDEX(Datos!$H$2:$H$1000,$J122)="","",INDEX(Datos!$H$2:$H$1000,$J122)))</f>
        <v/>
      </c>
      <c r="F122" s="6" t="str">
        <f>IF($J122=0,"",IF(INDEX(Datos!$N$2:$N$1000,$J122)="","",INDEX(Datos!$N$2:$N$1000,$J122)))</f>
        <v/>
      </c>
      <c r="G122" s="8" t="str">
        <f>IF($J122=0,"",IF(INDEX(Datos!$M$2:$M$1000,$J122)="","",INDEX(Datos!$M$2:$M$1000,$J122)))</f>
        <v/>
      </c>
      <c r="H122" s="6" t="str">
        <f>IF($J122=0,"",INDEX(Datos!$J$2:$J$1000,$J122)&amp;IF(INDEX(Datos!$Q$2:$Q$1000,$J122)="",""," | "&amp;INDEX(Datos!$Q$2:$Q$1000,$J122)))</f>
        <v/>
      </c>
      <c r="J122">
        <f>IFERROR(MATCH(ROW()-17,Datos!$W$2:$W$1000,0),0)</f>
        <v>0</v>
      </c>
    </row>
    <row r="123" spans="1:10" ht="82" customHeight="1" x14ac:dyDescent="0.35">
      <c r="A123" s="4" t="str">
        <f>IF($J123=0,"",IF(INDEX(Datos!$A$2:$A$1000,$J123)="","",INDEX(Datos!$A$2:$A$1000,$J123)))</f>
        <v/>
      </c>
      <c r="B123" s="5" t="str">
        <f>IF($J123=0,"",IF(INDEX(Datos!$E$2:$E$1000,$J123)="","",INDEX(Datos!$E$2:$E$1000,$J123)))</f>
        <v/>
      </c>
      <c r="C123" s="5" t="str">
        <f>IF($J123=0,"",IF(INDEX(Datos!$I$2:$I$1000,$J123)="","",INDEX(Datos!$I$2:$I$1000,$J123)))</f>
        <v/>
      </c>
      <c r="D123" s="6" t="str">
        <f>IF($J123=0,"",IF(INDEX(Datos!$F$2:$F$1000,$J123)="","",INDEX(Datos!$F$2:$F$1000,$J123)))</f>
        <v/>
      </c>
      <c r="E123" s="7" t="str">
        <f>IF($J123=0,"",IF(INDEX(Datos!$H$2:$H$1000,$J123)="","",INDEX(Datos!$H$2:$H$1000,$J123)))</f>
        <v/>
      </c>
      <c r="F123" s="6" t="str">
        <f>IF($J123=0,"",IF(INDEX(Datos!$N$2:$N$1000,$J123)="","",INDEX(Datos!$N$2:$N$1000,$J123)))</f>
        <v/>
      </c>
      <c r="G123" s="8" t="str">
        <f>IF($J123=0,"",IF(INDEX(Datos!$M$2:$M$1000,$J123)="","",INDEX(Datos!$M$2:$M$1000,$J123)))</f>
        <v/>
      </c>
      <c r="H123" s="6" t="str">
        <f>IF($J123=0,"",INDEX(Datos!$J$2:$J$1000,$J123)&amp;IF(INDEX(Datos!$Q$2:$Q$1000,$J123)="",""," | "&amp;INDEX(Datos!$Q$2:$Q$1000,$J123)))</f>
        <v/>
      </c>
      <c r="J123">
        <f>IFERROR(MATCH(ROW()-17,Datos!$W$2:$W$1000,0),0)</f>
        <v>0</v>
      </c>
    </row>
    <row r="124" spans="1:10" ht="82" customHeight="1" x14ac:dyDescent="0.35">
      <c r="A124" s="4" t="str">
        <f>IF($J124=0,"",IF(INDEX(Datos!$A$2:$A$1000,$J124)="","",INDEX(Datos!$A$2:$A$1000,$J124)))</f>
        <v/>
      </c>
      <c r="B124" s="5" t="str">
        <f>IF($J124=0,"",IF(INDEX(Datos!$E$2:$E$1000,$J124)="","",INDEX(Datos!$E$2:$E$1000,$J124)))</f>
        <v/>
      </c>
      <c r="C124" s="5" t="str">
        <f>IF($J124=0,"",IF(INDEX(Datos!$I$2:$I$1000,$J124)="","",INDEX(Datos!$I$2:$I$1000,$J124)))</f>
        <v/>
      </c>
      <c r="D124" s="6" t="str">
        <f>IF($J124=0,"",IF(INDEX(Datos!$F$2:$F$1000,$J124)="","",INDEX(Datos!$F$2:$F$1000,$J124)))</f>
        <v/>
      </c>
      <c r="E124" s="7" t="str">
        <f>IF($J124=0,"",IF(INDEX(Datos!$H$2:$H$1000,$J124)="","",INDEX(Datos!$H$2:$H$1000,$J124)))</f>
        <v/>
      </c>
      <c r="F124" s="6" t="str">
        <f>IF($J124=0,"",IF(INDEX(Datos!$N$2:$N$1000,$J124)="","",INDEX(Datos!$N$2:$N$1000,$J124)))</f>
        <v/>
      </c>
      <c r="G124" s="8" t="str">
        <f>IF($J124=0,"",IF(INDEX(Datos!$M$2:$M$1000,$J124)="","",INDEX(Datos!$M$2:$M$1000,$J124)))</f>
        <v/>
      </c>
      <c r="H124" s="6" t="str">
        <f>IF($J124=0,"",INDEX(Datos!$J$2:$J$1000,$J124)&amp;IF(INDEX(Datos!$Q$2:$Q$1000,$J124)="",""," | "&amp;INDEX(Datos!$Q$2:$Q$1000,$J124)))</f>
        <v/>
      </c>
      <c r="J124">
        <f>IFERROR(MATCH(ROW()-17,Datos!$W$2:$W$1000,0),0)</f>
        <v>0</v>
      </c>
    </row>
    <row r="125" spans="1:10" ht="82" customHeight="1" x14ac:dyDescent="0.35">
      <c r="A125" s="4" t="str">
        <f>IF($J125=0,"",IF(INDEX(Datos!$A$2:$A$1000,$J125)="","",INDEX(Datos!$A$2:$A$1000,$J125)))</f>
        <v/>
      </c>
      <c r="B125" s="5" t="str">
        <f>IF($J125=0,"",IF(INDEX(Datos!$E$2:$E$1000,$J125)="","",INDEX(Datos!$E$2:$E$1000,$J125)))</f>
        <v/>
      </c>
      <c r="C125" s="5" t="str">
        <f>IF($J125=0,"",IF(INDEX(Datos!$I$2:$I$1000,$J125)="","",INDEX(Datos!$I$2:$I$1000,$J125)))</f>
        <v/>
      </c>
      <c r="D125" s="6" t="str">
        <f>IF($J125=0,"",IF(INDEX(Datos!$F$2:$F$1000,$J125)="","",INDEX(Datos!$F$2:$F$1000,$J125)))</f>
        <v/>
      </c>
      <c r="E125" s="7" t="str">
        <f>IF($J125=0,"",IF(INDEX(Datos!$H$2:$H$1000,$J125)="","",INDEX(Datos!$H$2:$H$1000,$J125)))</f>
        <v/>
      </c>
      <c r="F125" s="6" t="str">
        <f>IF($J125=0,"",IF(INDEX(Datos!$N$2:$N$1000,$J125)="","",INDEX(Datos!$N$2:$N$1000,$J125)))</f>
        <v/>
      </c>
      <c r="G125" s="8" t="str">
        <f>IF($J125=0,"",IF(INDEX(Datos!$M$2:$M$1000,$J125)="","",INDEX(Datos!$M$2:$M$1000,$J125)))</f>
        <v/>
      </c>
      <c r="H125" s="6" t="str">
        <f>IF($J125=0,"",INDEX(Datos!$J$2:$J$1000,$J125)&amp;IF(INDEX(Datos!$Q$2:$Q$1000,$J125)="",""," | "&amp;INDEX(Datos!$Q$2:$Q$1000,$J125)))</f>
        <v/>
      </c>
      <c r="J125">
        <f>IFERROR(MATCH(ROW()-17,Datos!$W$2:$W$1000,0),0)</f>
        <v>0</v>
      </c>
    </row>
    <row r="126" spans="1:10" ht="82" customHeight="1" x14ac:dyDescent="0.35">
      <c r="A126" s="4" t="str">
        <f>IF($J126=0,"",IF(INDEX(Datos!$A$2:$A$1000,$J126)="","",INDEX(Datos!$A$2:$A$1000,$J126)))</f>
        <v/>
      </c>
      <c r="B126" s="5" t="str">
        <f>IF($J126=0,"",IF(INDEX(Datos!$E$2:$E$1000,$J126)="","",INDEX(Datos!$E$2:$E$1000,$J126)))</f>
        <v/>
      </c>
      <c r="C126" s="5" t="str">
        <f>IF($J126=0,"",IF(INDEX(Datos!$I$2:$I$1000,$J126)="","",INDEX(Datos!$I$2:$I$1000,$J126)))</f>
        <v/>
      </c>
      <c r="D126" s="6" t="str">
        <f>IF($J126=0,"",IF(INDEX(Datos!$F$2:$F$1000,$J126)="","",INDEX(Datos!$F$2:$F$1000,$J126)))</f>
        <v/>
      </c>
      <c r="E126" s="7" t="str">
        <f>IF($J126=0,"",IF(INDEX(Datos!$H$2:$H$1000,$J126)="","",INDEX(Datos!$H$2:$H$1000,$J126)))</f>
        <v/>
      </c>
      <c r="F126" s="6" t="str">
        <f>IF($J126=0,"",IF(INDEX(Datos!$N$2:$N$1000,$J126)="","",INDEX(Datos!$N$2:$N$1000,$J126)))</f>
        <v/>
      </c>
      <c r="G126" s="8" t="str">
        <f>IF($J126=0,"",IF(INDEX(Datos!$M$2:$M$1000,$J126)="","",INDEX(Datos!$M$2:$M$1000,$J126)))</f>
        <v/>
      </c>
      <c r="H126" s="6" t="str">
        <f>IF($J126=0,"",INDEX(Datos!$J$2:$J$1000,$J126)&amp;IF(INDEX(Datos!$Q$2:$Q$1000,$J126)="",""," | "&amp;INDEX(Datos!$Q$2:$Q$1000,$J126)))</f>
        <v/>
      </c>
      <c r="J126">
        <f>IFERROR(MATCH(ROW()-17,Datos!$W$2:$W$1000,0),0)</f>
        <v>0</v>
      </c>
    </row>
    <row r="127" spans="1:10" ht="82" customHeight="1" x14ac:dyDescent="0.35">
      <c r="A127" s="4" t="str">
        <f>IF($J127=0,"",IF(INDEX(Datos!$A$2:$A$1000,$J127)="","",INDEX(Datos!$A$2:$A$1000,$J127)))</f>
        <v/>
      </c>
      <c r="B127" s="5" t="str">
        <f>IF($J127=0,"",IF(INDEX(Datos!$E$2:$E$1000,$J127)="","",INDEX(Datos!$E$2:$E$1000,$J127)))</f>
        <v/>
      </c>
      <c r="C127" s="5" t="str">
        <f>IF($J127=0,"",IF(INDEX(Datos!$I$2:$I$1000,$J127)="","",INDEX(Datos!$I$2:$I$1000,$J127)))</f>
        <v/>
      </c>
      <c r="D127" s="6" t="str">
        <f>IF($J127=0,"",IF(INDEX(Datos!$F$2:$F$1000,$J127)="","",INDEX(Datos!$F$2:$F$1000,$J127)))</f>
        <v/>
      </c>
      <c r="E127" s="7" t="str">
        <f>IF($J127=0,"",IF(INDEX(Datos!$H$2:$H$1000,$J127)="","",INDEX(Datos!$H$2:$H$1000,$J127)))</f>
        <v/>
      </c>
      <c r="F127" s="6" t="str">
        <f>IF($J127=0,"",IF(INDEX(Datos!$N$2:$N$1000,$J127)="","",INDEX(Datos!$N$2:$N$1000,$J127)))</f>
        <v/>
      </c>
      <c r="G127" s="8" t="str">
        <f>IF($J127=0,"",IF(INDEX(Datos!$M$2:$M$1000,$J127)="","",INDEX(Datos!$M$2:$M$1000,$J127)))</f>
        <v/>
      </c>
      <c r="H127" s="6" t="str">
        <f>IF($J127=0,"",INDEX(Datos!$J$2:$J$1000,$J127)&amp;IF(INDEX(Datos!$Q$2:$Q$1000,$J127)="",""," | "&amp;INDEX(Datos!$Q$2:$Q$1000,$J127)))</f>
        <v/>
      </c>
      <c r="J127">
        <f>IFERROR(MATCH(ROW()-17,Datos!$W$2:$W$1000,0),0)</f>
        <v>0</v>
      </c>
    </row>
    <row r="128" spans="1:10" ht="82" customHeight="1" x14ac:dyDescent="0.35">
      <c r="A128" s="4" t="str">
        <f>IF($J128=0,"",IF(INDEX(Datos!$A$2:$A$1000,$J128)="","",INDEX(Datos!$A$2:$A$1000,$J128)))</f>
        <v/>
      </c>
      <c r="B128" s="5" t="str">
        <f>IF($J128=0,"",IF(INDEX(Datos!$E$2:$E$1000,$J128)="","",INDEX(Datos!$E$2:$E$1000,$J128)))</f>
        <v/>
      </c>
      <c r="C128" s="5" t="str">
        <f>IF($J128=0,"",IF(INDEX(Datos!$I$2:$I$1000,$J128)="","",INDEX(Datos!$I$2:$I$1000,$J128)))</f>
        <v/>
      </c>
      <c r="D128" s="6" t="str">
        <f>IF($J128=0,"",IF(INDEX(Datos!$F$2:$F$1000,$J128)="","",INDEX(Datos!$F$2:$F$1000,$J128)))</f>
        <v/>
      </c>
      <c r="E128" s="7" t="str">
        <f>IF($J128=0,"",IF(INDEX(Datos!$H$2:$H$1000,$J128)="","",INDEX(Datos!$H$2:$H$1000,$J128)))</f>
        <v/>
      </c>
      <c r="F128" s="6" t="str">
        <f>IF($J128=0,"",IF(INDEX(Datos!$N$2:$N$1000,$J128)="","",INDEX(Datos!$N$2:$N$1000,$J128)))</f>
        <v/>
      </c>
      <c r="G128" s="8" t="str">
        <f>IF($J128=0,"",IF(INDEX(Datos!$M$2:$M$1000,$J128)="","",INDEX(Datos!$M$2:$M$1000,$J128)))</f>
        <v/>
      </c>
      <c r="H128" s="6" t="str">
        <f>IF($J128=0,"",INDEX(Datos!$J$2:$J$1000,$J128)&amp;IF(INDEX(Datos!$Q$2:$Q$1000,$J128)="",""," | "&amp;INDEX(Datos!$Q$2:$Q$1000,$J128)))</f>
        <v/>
      </c>
      <c r="J128">
        <f>IFERROR(MATCH(ROW()-17,Datos!$W$2:$W$1000,0),0)</f>
        <v>0</v>
      </c>
    </row>
    <row r="129" spans="1:10" ht="82" customHeight="1" x14ac:dyDescent="0.35">
      <c r="A129" s="4" t="str">
        <f>IF($J129=0,"",IF(INDEX(Datos!$A$2:$A$1000,$J129)="","",INDEX(Datos!$A$2:$A$1000,$J129)))</f>
        <v/>
      </c>
      <c r="B129" s="5" t="str">
        <f>IF($J129=0,"",IF(INDEX(Datos!$E$2:$E$1000,$J129)="","",INDEX(Datos!$E$2:$E$1000,$J129)))</f>
        <v/>
      </c>
      <c r="C129" s="5" t="str">
        <f>IF($J129=0,"",IF(INDEX(Datos!$I$2:$I$1000,$J129)="","",INDEX(Datos!$I$2:$I$1000,$J129)))</f>
        <v/>
      </c>
      <c r="D129" s="6" t="str">
        <f>IF($J129=0,"",IF(INDEX(Datos!$F$2:$F$1000,$J129)="","",INDEX(Datos!$F$2:$F$1000,$J129)))</f>
        <v/>
      </c>
      <c r="E129" s="7" t="str">
        <f>IF($J129=0,"",IF(INDEX(Datos!$H$2:$H$1000,$J129)="","",INDEX(Datos!$H$2:$H$1000,$J129)))</f>
        <v/>
      </c>
      <c r="F129" s="6" t="str">
        <f>IF($J129=0,"",IF(INDEX(Datos!$N$2:$N$1000,$J129)="","",INDEX(Datos!$N$2:$N$1000,$J129)))</f>
        <v/>
      </c>
      <c r="G129" s="8" t="str">
        <f>IF($J129=0,"",IF(INDEX(Datos!$M$2:$M$1000,$J129)="","",INDEX(Datos!$M$2:$M$1000,$J129)))</f>
        <v/>
      </c>
      <c r="H129" s="6" t="str">
        <f>IF($J129=0,"",INDEX(Datos!$J$2:$J$1000,$J129)&amp;IF(INDEX(Datos!$Q$2:$Q$1000,$J129)="",""," | "&amp;INDEX(Datos!$Q$2:$Q$1000,$J129)))</f>
        <v/>
      </c>
      <c r="J129">
        <f>IFERROR(MATCH(ROW()-17,Datos!$W$2:$W$1000,0),0)</f>
        <v>0</v>
      </c>
    </row>
    <row r="130" spans="1:10" ht="82" customHeight="1" x14ac:dyDescent="0.35">
      <c r="A130" s="4" t="str">
        <f>IF($J130=0,"",IF(INDEX(Datos!$A$2:$A$1000,$J130)="","",INDEX(Datos!$A$2:$A$1000,$J130)))</f>
        <v/>
      </c>
      <c r="B130" s="5" t="str">
        <f>IF($J130=0,"",IF(INDEX(Datos!$E$2:$E$1000,$J130)="","",INDEX(Datos!$E$2:$E$1000,$J130)))</f>
        <v/>
      </c>
      <c r="C130" s="5" t="str">
        <f>IF($J130=0,"",IF(INDEX(Datos!$I$2:$I$1000,$J130)="","",INDEX(Datos!$I$2:$I$1000,$J130)))</f>
        <v/>
      </c>
      <c r="D130" s="6" t="str">
        <f>IF($J130=0,"",IF(INDEX(Datos!$F$2:$F$1000,$J130)="","",INDEX(Datos!$F$2:$F$1000,$J130)))</f>
        <v/>
      </c>
      <c r="E130" s="7" t="str">
        <f>IF($J130=0,"",IF(INDEX(Datos!$H$2:$H$1000,$J130)="","",INDEX(Datos!$H$2:$H$1000,$J130)))</f>
        <v/>
      </c>
      <c r="F130" s="6" t="str">
        <f>IF($J130=0,"",IF(INDEX(Datos!$N$2:$N$1000,$J130)="","",INDEX(Datos!$N$2:$N$1000,$J130)))</f>
        <v/>
      </c>
      <c r="G130" s="8" t="str">
        <f>IF($J130=0,"",IF(INDEX(Datos!$M$2:$M$1000,$J130)="","",INDEX(Datos!$M$2:$M$1000,$J130)))</f>
        <v/>
      </c>
      <c r="H130" s="6" t="str">
        <f>IF($J130=0,"",INDEX(Datos!$J$2:$J$1000,$J130)&amp;IF(INDEX(Datos!$Q$2:$Q$1000,$J130)="",""," | "&amp;INDEX(Datos!$Q$2:$Q$1000,$J130)))</f>
        <v/>
      </c>
      <c r="J130">
        <f>IFERROR(MATCH(ROW()-17,Datos!$W$2:$W$1000,0),0)</f>
        <v>0</v>
      </c>
    </row>
    <row r="131" spans="1:10" ht="82" customHeight="1" x14ac:dyDescent="0.35">
      <c r="A131" s="4" t="str">
        <f>IF($J131=0,"",IF(INDEX(Datos!$A$2:$A$1000,$J131)="","",INDEX(Datos!$A$2:$A$1000,$J131)))</f>
        <v/>
      </c>
      <c r="B131" s="5" t="str">
        <f>IF($J131=0,"",IF(INDEX(Datos!$E$2:$E$1000,$J131)="","",INDEX(Datos!$E$2:$E$1000,$J131)))</f>
        <v/>
      </c>
      <c r="C131" s="5" t="str">
        <f>IF($J131=0,"",IF(INDEX(Datos!$I$2:$I$1000,$J131)="","",INDEX(Datos!$I$2:$I$1000,$J131)))</f>
        <v/>
      </c>
      <c r="D131" s="6" t="str">
        <f>IF($J131=0,"",IF(INDEX(Datos!$F$2:$F$1000,$J131)="","",INDEX(Datos!$F$2:$F$1000,$J131)))</f>
        <v/>
      </c>
      <c r="E131" s="7" t="str">
        <f>IF($J131=0,"",IF(INDEX(Datos!$H$2:$H$1000,$J131)="","",INDEX(Datos!$H$2:$H$1000,$J131)))</f>
        <v/>
      </c>
      <c r="F131" s="6" t="str">
        <f>IF($J131=0,"",IF(INDEX(Datos!$N$2:$N$1000,$J131)="","",INDEX(Datos!$N$2:$N$1000,$J131)))</f>
        <v/>
      </c>
      <c r="G131" s="8" t="str">
        <f>IF($J131=0,"",IF(INDEX(Datos!$M$2:$M$1000,$J131)="","",INDEX(Datos!$M$2:$M$1000,$J131)))</f>
        <v/>
      </c>
      <c r="H131" s="6" t="str">
        <f>IF($J131=0,"",INDEX(Datos!$J$2:$J$1000,$J131)&amp;IF(INDEX(Datos!$Q$2:$Q$1000,$J131)="",""," | "&amp;INDEX(Datos!$Q$2:$Q$1000,$J131)))</f>
        <v/>
      </c>
      <c r="J131">
        <f>IFERROR(MATCH(ROW()-17,Datos!$W$2:$W$1000,0),0)</f>
        <v>0</v>
      </c>
    </row>
    <row r="132" spans="1:10" ht="82" customHeight="1" x14ac:dyDescent="0.35">
      <c r="A132" s="4" t="str">
        <f>IF($J132=0,"",IF(INDEX(Datos!$A$2:$A$1000,$J132)="","",INDEX(Datos!$A$2:$A$1000,$J132)))</f>
        <v/>
      </c>
      <c r="B132" s="5" t="str">
        <f>IF($J132=0,"",IF(INDEX(Datos!$E$2:$E$1000,$J132)="","",INDEX(Datos!$E$2:$E$1000,$J132)))</f>
        <v/>
      </c>
      <c r="C132" s="5" t="str">
        <f>IF($J132=0,"",IF(INDEX(Datos!$I$2:$I$1000,$J132)="","",INDEX(Datos!$I$2:$I$1000,$J132)))</f>
        <v/>
      </c>
      <c r="D132" s="6" t="str">
        <f>IF($J132=0,"",IF(INDEX(Datos!$F$2:$F$1000,$J132)="","",INDEX(Datos!$F$2:$F$1000,$J132)))</f>
        <v/>
      </c>
      <c r="E132" s="7" t="str">
        <f>IF($J132=0,"",IF(INDEX(Datos!$H$2:$H$1000,$J132)="","",INDEX(Datos!$H$2:$H$1000,$J132)))</f>
        <v/>
      </c>
      <c r="F132" s="6" t="str">
        <f>IF($J132=0,"",IF(INDEX(Datos!$N$2:$N$1000,$J132)="","",INDEX(Datos!$N$2:$N$1000,$J132)))</f>
        <v/>
      </c>
      <c r="G132" s="8" t="str">
        <f>IF($J132=0,"",IF(INDEX(Datos!$M$2:$M$1000,$J132)="","",INDEX(Datos!$M$2:$M$1000,$J132)))</f>
        <v/>
      </c>
      <c r="H132" s="6" t="str">
        <f>IF($J132=0,"",INDEX(Datos!$J$2:$J$1000,$J132)&amp;IF(INDEX(Datos!$Q$2:$Q$1000,$J132)="",""," | "&amp;INDEX(Datos!$Q$2:$Q$1000,$J132)))</f>
        <v/>
      </c>
      <c r="J132">
        <f>IFERROR(MATCH(ROW()-17,Datos!$W$2:$W$1000,0),0)</f>
        <v>0</v>
      </c>
    </row>
    <row r="133" spans="1:10" ht="82" customHeight="1" x14ac:dyDescent="0.35">
      <c r="A133" s="4" t="str">
        <f>IF($J133=0,"",IF(INDEX(Datos!$A$2:$A$1000,$J133)="","",INDEX(Datos!$A$2:$A$1000,$J133)))</f>
        <v/>
      </c>
      <c r="B133" s="5" t="str">
        <f>IF($J133=0,"",IF(INDEX(Datos!$E$2:$E$1000,$J133)="","",INDEX(Datos!$E$2:$E$1000,$J133)))</f>
        <v/>
      </c>
      <c r="C133" s="5" t="str">
        <f>IF($J133=0,"",IF(INDEX(Datos!$I$2:$I$1000,$J133)="","",INDEX(Datos!$I$2:$I$1000,$J133)))</f>
        <v/>
      </c>
      <c r="D133" s="6" t="str">
        <f>IF($J133=0,"",IF(INDEX(Datos!$F$2:$F$1000,$J133)="","",INDEX(Datos!$F$2:$F$1000,$J133)))</f>
        <v/>
      </c>
      <c r="E133" s="7" t="str">
        <f>IF($J133=0,"",IF(INDEX(Datos!$H$2:$H$1000,$J133)="","",INDEX(Datos!$H$2:$H$1000,$J133)))</f>
        <v/>
      </c>
      <c r="F133" s="6" t="str">
        <f>IF($J133=0,"",IF(INDEX(Datos!$N$2:$N$1000,$J133)="","",INDEX(Datos!$N$2:$N$1000,$J133)))</f>
        <v/>
      </c>
      <c r="G133" s="8" t="str">
        <f>IF($J133=0,"",IF(INDEX(Datos!$M$2:$M$1000,$J133)="","",INDEX(Datos!$M$2:$M$1000,$J133)))</f>
        <v/>
      </c>
      <c r="H133" s="6" t="str">
        <f>IF($J133=0,"",INDEX(Datos!$J$2:$J$1000,$J133)&amp;IF(INDEX(Datos!$Q$2:$Q$1000,$J133)="",""," | "&amp;INDEX(Datos!$Q$2:$Q$1000,$J133)))</f>
        <v/>
      </c>
      <c r="J133">
        <f>IFERROR(MATCH(ROW()-17,Datos!$W$2:$W$1000,0),0)</f>
        <v>0</v>
      </c>
    </row>
    <row r="134" spans="1:10" ht="82" customHeight="1" x14ac:dyDescent="0.35">
      <c r="A134" s="4" t="str">
        <f>IF($J134=0,"",IF(INDEX(Datos!$A$2:$A$1000,$J134)="","",INDEX(Datos!$A$2:$A$1000,$J134)))</f>
        <v/>
      </c>
      <c r="B134" s="5" t="str">
        <f>IF($J134=0,"",IF(INDEX(Datos!$E$2:$E$1000,$J134)="","",INDEX(Datos!$E$2:$E$1000,$J134)))</f>
        <v/>
      </c>
      <c r="C134" s="5" t="str">
        <f>IF($J134=0,"",IF(INDEX(Datos!$I$2:$I$1000,$J134)="","",INDEX(Datos!$I$2:$I$1000,$J134)))</f>
        <v/>
      </c>
      <c r="D134" s="6" t="str">
        <f>IF($J134=0,"",IF(INDEX(Datos!$F$2:$F$1000,$J134)="","",INDEX(Datos!$F$2:$F$1000,$J134)))</f>
        <v/>
      </c>
      <c r="E134" s="7" t="str">
        <f>IF($J134=0,"",IF(INDEX(Datos!$H$2:$H$1000,$J134)="","",INDEX(Datos!$H$2:$H$1000,$J134)))</f>
        <v/>
      </c>
      <c r="F134" s="6" t="str">
        <f>IF($J134=0,"",IF(INDEX(Datos!$N$2:$N$1000,$J134)="","",INDEX(Datos!$N$2:$N$1000,$J134)))</f>
        <v/>
      </c>
      <c r="G134" s="8" t="str">
        <f>IF($J134=0,"",IF(INDEX(Datos!$M$2:$M$1000,$J134)="","",INDEX(Datos!$M$2:$M$1000,$J134)))</f>
        <v/>
      </c>
      <c r="H134" s="6" t="str">
        <f>IF($J134=0,"",INDEX(Datos!$J$2:$J$1000,$J134)&amp;IF(INDEX(Datos!$Q$2:$Q$1000,$J134)="",""," | "&amp;INDEX(Datos!$Q$2:$Q$1000,$J134)))</f>
        <v/>
      </c>
      <c r="J134">
        <f>IFERROR(MATCH(ROW()-17,Datos!$W$2:$W$1000,0),0)</f>
        <v>0</v>
      </c>
    </row>
    <row r="135" spans="1:10" ht="82" customHeight="1" x14ac:dyDescent="0.35">
      <c r="A135" s="4" t="str">
        <f>IF($J135=0,"",IF(INDEX(Datos!$A$2:$A$1000,$J135)="","",INDEX(Datos!$A$2:$A$1000,$J135)))</f>
        <v/>
      </c>
      <c r="B135" s="5" t="str">
        <f>IF($J135=0,"",IF(INDEX(Datos!$E$2:$E$1000,$J135)="","",INDEX(Datos!$E$2:$E$1000,$J135)))</f>
        <v/>
      </c>
      <c r="C135" s="5" t="str">
        <f>IF($J135=0,"",IF(INDEX(Datos!$I$2:$I$1000,$J135)="","",INDEX(Datos!$I$2:$I$1000,$J135)))</f>
        <v/>
      </c>
      <c r="D135" s="6" t="str">
        <f>IF($J135=0,"",IF(INDEX(Datos!$F$2:$F$1000,$J135)="","",INDEX(Datos!$F$2:$F$1000,$J135)))</f>
        <v/>
      </c>
      <c r="E135" s="7" t="str">
        <f>IF($J135=0,"",IF(INDEX(Datos!$H$2:$H$1000,$J135)="","",INDEX(Datos!$H$2:$H$1000,$J135)))</f>
        <v/>
      </c>
      <c r="F135" s="6" t="str">
        <f>IF($J135=0,"",IF(INDEX(Datos!$N$2:$N$1000,$J135)="","",INDEX(Datos!$N$2:$N$1000,$J135)))</f>
        <v/>
      </c>
      <c r="G135" s="8" t="str">
        <f>IF($J135=0,"",IF(INDEX(Datos!$M$2:$M$1000,$J135)="","",INDEX(Datos!$M$2:$M$1000,$J135)))</f>
        <v/>
      </c>
      <c r="H135" s="6" t="str">
        <f>IF($J135=0,"",INDEX(Datos!$J$2:$J$1000,$J135)&amp;IF(INDEX(Datos!$Q$2:$Q$1000,$J135)="",""," | "&amp;INDEX(Datos!$Q$2:$Q$1000,$J135)))</f>
        <v/>
      </c>
      <c r="J135">
        <f>IFERROR(MATCH(ROW()-17,Datos!$W$2:$W$1000,0),0)</f>
        <v>0</v>
      </c>
    </row>
    <row r="136" spans="1:10" ht="82" customHeight="1" x14ac:dyDescent="0.35">
      <c r="A136" s="4" t="str">
        <f>IF($J136=0,"",IF(INDEX(Datos!$A$2:$A$1000,$J136)="","",INDEX(Datos!$A$2:$A$1000,$J136)))</f>
        <v/>
      </c>
      <c r="B136" s="5" t="str">
        <f>IF($J136=0,"",IF(INDEX(Datos!$E$2:$E$1000,$J136)="","",INDEX(Datos!$E$2:$E$1000,$J136)))</f>
        <v/>
      </c>
      <c r="C136" s="5" t="str">
        <f>IF($J136=0,"",IF(INDEX(Datos!$I$2:$I$1000,$J136)="","",INDEX(Datos!$I$2:$I$1000,$J136)))</f>
        <v/>
      </c>
      <c r="D136" s="6" t="str">
        <f>IF($J136=0,"",IF(INDEX(Datos!$F$2:$F$1000,$J136)="","",INDEX(Datos!$F$2:$F$1000,$J136)))</f>
        <v/>
      </c>
      <c r="E136" s="7" t="str">
        <f>IF($J136=0,"",IF(INDEX(Datos!$H$2:$H$1000,$J136)="","",INDEX(Datos!$H$2:$H$1000,$J136)))</f>
        <v/>
      </c>
      <c r="F136" s="6" t="str">
        <f>IF($J136=0,"",IF(INDEX(Datos!$N$2:$N$1000,$J136)="","",INDEX(Datos!$N$2:$N$1000,$J136)))</f>
        <v/>
      </c>
      <c r="G136" s="8" t="str">
        <f>IF($J136=0,"",IF(INDEX(Datos!$M$2:$M$1000,$J136)="","",INDEX(Datos!$M$2:$M$1000,$J136)))</f>
        <v/>
      </c>
      <c r="H136" s="6" t="str">
        <f>IF($J136=0,"",INDEX(Datos!$J$2:$J$1000,$J136)&amp;IF(INDEX(Datos!$Q$2:$Q$1000,$J136)="",""," | "&amp;INDEX(Datos!$Q$2:$Q$1000,$J136)))</f>
        <v/>
      </c>
      <c r="J136">
        <f>IFERROR(MATCH(ROW()-17,Datos!$W$2:$W$1000,0),0)</f>
        <v>0</v>
      </c>
    </row>
    <row r="137" spans="1:10" ht="82" customHeight="1" x14ac:dyDescent="0.35">
      <c r="A137" s="4" t="str">
        <f>IF($J137=0,"",IF(INDEX(Datos!$A$2:$A$1000,$J137)="","",INDEX(Datos!$A$2:$A$1000,$J137)))</f>
        <v/>
      </c>
      <c r="B137" s="5" t="str">
        <f>IF($J137=0,"",IF(INDEX(Datos!$E$2:$E$1000,$J137)="","",INDEX(Datos!$E$2:$E$1000,$J137)))</f>
        <v/>
      </c>
      <c r="C137" s="5" t="str">
        <f>IF($J137=0,"",IF(INDEX(Datos!$I$2:$I$1000,$J137)="","",INDEX(Datos!$I$2:$I$1000,$J137)))</f>
        <v/>
      </c>
      <c r="D137" s="6" t="str">
        <f>IF($J137=0,"",IF(INDEX(Datos!$F$2:$F$1000,$J137)="","",INDEX(Datos!$F$2:$F$1000,$J137)))</f>
        <v/>
      </c>
      <c r="E137" s="7" t="str">
        <f>IF($J137=0,"",IF(INDEX(Datos!$H$2:$H$1000,$J137)="","",INDEX(Datos!$H$2:$H$1000,$J137)))</f>
        <v/>
      </c>
      <c r="F137" s="6" t="str">
        <f>IF($J137=0,"",IF(INDEX(Datos!$N$2:$N$1000,$J137)="","",INDEX(Datos!$N$2:$N$1000,$J137)))</f>
        <v/>
      </c>
      <c r="G137" s="8" t="str">
        <f>IF($J137=0,"",IF(INDEX(Datos!$M$2:$M$1000,$J137)="","",INDEX(Datos!$M$2:$M$1000,$J137)))</f>
        <v/>
      </c>
      <c r="H137" s="6" t="str">
        <f>IF($J137=0,"",INDEX(Datos!$J$2:$J$1000,$J137)&amp;IF(INDEX(Datos!$Q$2:$Q$1000,$J137)="",""," | "&amp;INDEX(Datos!$Q$2:$Q$1000,$J137)))</f>
        <v/>
      </c>
      <c r="J137">
        <f>IFERROR(MATCH(ROW()-17,Datos!$W$2:$W$1000,0),0)</f>
        <v>0</v>
      </c>
    </row>
    <row r="138" spans="1:10" ht="82" customHeight="1" x14ac:dyDescent="0.35">
      <c r="A138" s="4" t="str">
        <f>IF($J138=0,"",IF(INDEX(Datos!$A$2:$A$1000,$J138)="","",INDEX(Datos!$A$2:$A$1000,$J138)))</f>
        <v/>
      </c>
      <c r="B138" s="5" t="str">
        <f>IF($J138=0,"",IF(INDEX(Datos!$E$2:$E$1000,$J138)="","",INDEX(Datos!$E$2:$E$1000,$J138)))</f>
        <v/>
      </c>
      <c r="C138" s="5" t="str">
        <f>IF($J138=0,"",IF(INDEX(Datos!$I$2:$I$1000,$J138)="","",INDEX(Datos!$I$2:$I$1000,$J138)))</f>
        <v/>
      </c>
      <c r="D138" s="6" t="str">
        <f>IF($J138=0,"",IF(INDEX(Datos!$F$2:$F$1000,$J138)="","",INDEX(Datos!$F$2:$F$1000,$J138)))</f>
        <v/>
      </c>
      <c r="E138" s="7" t="str">
        <f>IF($J138=0,"",IF(INDEX(Datos!$H$2:$H$1000,$J138)="","",INDEX(Datos!$H$2:$H$1000,$J138)))</f>
        <v/>
      </c>
      <c r="F138" s="6" t="str">
        <f>IF($J138=0,"",IF(INDEX(Datos!$N$2:$N$1000,$J138)="","",INDEX(Datos!$N$2:$N$1000,$J138)))</f>
        <v/>
      </c>
      <c r="G138" s="8" t="str">
        <f>IF($J138=0,"",IF(INDEX(Datos!$M$2:$M$1000,$J138)="","",INDEX(Datos!$M$2:$M$1000,$J138)))</f>
        <v/>
      </c>
      <c r="H138" s="6" t="str">
        <f>IF($J138=0,"",INDEX(Datos!$J$2:$J$1000,$J138)&amp;IF(INDEX(Datos!$Q$2:$Q$1000,$J138)="",""," | "&amp;INDEX(Datos!$Q$2:$Q$1000,$J138)))</f>
        <v/>
      </c>
      <c r="J138">
        <f>IFERROR(MATCH(ROW()-17,Datos!$W$2:$W$1000,0),0)</f>
        <v>0</v>
      </c>
    </row>
    <row r="139" spans="1:10" ht="82" customHeight="1" x14ac:dyDescent="0.35">
      <c r="A139" s="4" t="str">
        <f>IF($J139=0,"",IF(INDEX(Datos!$A$2:$A$1000,$J139)="","",INDEX(Datos!$A$2:$A$1000,$J139)))</f>
        <v/>
      </c>
      <c r="B139" s="5" t="str">
        <f>IF($J139=0,"",IF(INDEX(Datos!$E$2:$E$1000,$J139)="","",INDEX(Datos!$E$2:$E$1000,$J139)))</f>
        <v/>
      </c>
      <c r="C139" s="5" t="str">
        <f>IF($J139=0,"",IF(INDEX(Datos!$I$2:$I$1000,$J139)="","",INDEX(Datos!$I$2:$I$1000,$J139)))</f>
        <v/>
      </c>
      <c r="D139" s="6" t="str">
        <f>IF($J139=0,"",IF(INDEX(Datos!$F$2:$F$1000,$J139)="","",INDEX(Datos!$F$2:$F$1000,$J139)))</f>
        <v/>
      </c>
      <c r="E139" s="7" t="str">
        <f>IF($J139=0,"",IF(INDEX(Datos!$H$2:$H$1000,$J139)="","",INDEX(Datos!$H$2:$H$1000,$J139)))</f>
        <v/>
      </c>
      <c r="F139" s="6" t="str">
        <f>IF($J139=0,"",IF(INDEX(Datos!$N$2:$N$1000,$J139)="","",INDEX(Datos!$N$2:$N$1000,$J139)))</f>
        <v/>
      </c>
      <c r="G139" s="8" t="str">
        <f>IF($J139=0,"",IF(INDEX(Datos!$M$2:$M$1000,$J139)="","",INDEX(Datos!$M$2:$M$1000,$J139)))</f>
        <v/>
      </c>
      <c r="H139" s="6" t="str">
        <f>IF($J139=0,"",INDEX(Datos!$J$2:$J$1000,$J139)&amp;IF(INDEX(Datos!$Q$2:$Q$1000,$J139)="",""," | "&amp;INDEX(Datos!$Q$2:$Q$1000,$J139)))</f>
        <v/>
      </c>
      <c r="J139">
        <f>IFERROR(MATCH(ROW()-17,Datos!$W$2:$W$1000,0),0)</f>
        <v>0</v>
      </c>
    </row>
    <row r="140" spans="1:10" ht="82" customHeight="1" x14ac:dyDescent="0.35">
      <c r="A140" s="4" t="str">
        <f>IF($J140=0,"",IF(INDEX(Datos!$A$2:$A$1000,$J140)="","",INDEX(Datos!$A$2:$A$1000,$J140)))</f>
        <v/>
      </c>
      <c r="B140" s="5" t="str">
        <f>IF($J140=0,"",IF(INDEX(Datos!$E$2:$E$1000,$J140)="","",INDEX(Datos!$E$2:$E$1000,$J140)))</f>
        <v/>
      </c>
      <c r="C140" s="5" t="str">
        <f>IF($J140=0,"",IF(INDEX(Datos!$I$2:$I$1000,$J140)="","",INDEX(Datos!$I$2:$I$1000,$J140)))</f>
        <v/>
      </c>
      <c r="D140" s="6" t="str">
        <f>IF($J140=0,"",IF(INDEX(Datos!$F$2:$F$1000,$J140)="","",INDEX(Datos!$F$2:$F$1000,$J140)))</f>
        <v/>
      </c>
      <c r="E140" s="7" t="str">
        <f>IF($J140=0,"",IF(INDEX(Datos!$H$2:$H$1000,$J140)="","",INDEX(Datos!$H$2:$H$1000,$J140)))</f>
        <v/>
      </c>
      <c r="F140" s="6" t="str">
        <f>IF($J140=0,"",IF(INDEX(Datos!$N$2:$N$1000,$J140)="","",INDEX(Datos!$N$2:$N$1000,$J140)))</f>
        <v/>
      </c>
      <c r="G140" s="8" t="str">
        <f>IF($J140=0,"",IF(INDEX(Datos!$M$2:$M$1000,$J140)="","",INDEX(Datos!$M$2:$M$1000,$J140)))</f>
        <v/>
      </c>
      <c r="H140" s="6" t="str">
        <f>IF($J140=0,"",INDEX(Datos!$J$2:$J$1000,$J140)&amp;IF(INDEX(Datos!$Q$2:$Q$1000,$J140)="",""," | "&amp;INDEX(Datos!$Q$2:$Q$1000,$J140)))</f>
        <v/>
      </c>
      <c r="J140">
        <f>IFERROR(MATCH(ROW()-17,Datos!$W$2:$W$1000,0),0)</f>
        <v>0</v>
      </c>
    </row>
    <row r="141" spans="1:10" ht="82" customHeight="1" x14ac:dyDescent="0.35">
      <c r="A141" s="4" t="str">
        <f>IF($J141=0,"",IF(INDEX(Datos!$A$2:$A$1000,$J141)="","",INDEX(Datos!$A$2:$A$1000,$J141)))</f>
        <v/>
      </c>
      <c r="B141" s="5" t="str">
        <f>IF($J141=0,"",IF(INDEX(Datos!$E$2:$E$1000,$J141)="","",INDEX(Datos!$E$2:$E$1000,$J141)))</f>
        <v/>
      </c>
      <c r="C141" s="5" t="str">
        <f>IF($J141=0,"",IF(INDEX(Datos!$I$2:$I$1000,$J141)="","",INDEX(Datos!$I$2:$I$1000,$J141)))</f>
        <v/>
      </c>
      <c r="D141" s="6" t="str">
        <f>IF($J141=0,"",IF(INDEX(Datos!$F$2:$F$1000,$J141)="","",INDEX(Datos!$F$2:$F$1000,$J141)))</f>
        <v/>
      </c>
      <c r="E141" s="7" t="str">
        <f>IF($J141=0,"",IF(INDEX(Datos!$H$2:$H$1000,$J141)="","",INDEX(Datos!$H$2:$H$1000,$J141)))</f>
        <v/>
      </c>
      <c r="F141" s="6" t="str">
        <f>IF($J141=0,"",IF(INDEX(Datos!$N$2:$N$1000,$J141)="","",INDEX(Datos!$N$2:$N$1000,$J141)))</f>
        <v/>
      </c>
      <c r="G141" s="8" t="str">
        <f>IF($J141=0,"",IF(INDEX(Datos!$M$2:$M$1000,$J141)="","",INDEX(Datos!$M$2:$M$1000,$J141)))</f>
        <v/>
      </c>
      <c r="H141" s="6" t="str">
        <f>IF($J141=0,"",INDEX(Datos!$J$2:$J$1000,$J141)&amp;IF(INDEX(Datos!$Q$2:$Q$1000,$J141)="",""," | "&amp;INDEX(Datos!$Q$2:$Q$1000,$J141)))</f>
        <v/>
      </c>
      <c r="J141">
        <f>IFERROR(MATCH(ROW()-17,Datos!$W$2:$W$1000,0),0)</f>
        <v>0</v>
      </c>
    </row>
    <row r="142" spans="1:10" ht="82" customHeight="1" x14ac:dyDescent="0.35">
      <c r="A142" s="4" t="str">
        <f>IF($J142=0,"",IF(INDEX(Datos!$A$2:$A$1000,$J142)="","",INDEX(Datos!$A$2:$A$1000,$J142)))</f>
        <v/>
      </c>
      <c r="B142" s="5" t="str">
        <f>IF($J142=0,"",IF(INDEX(Datos!$E$2:$E$1000,$J142)="","",INDEX(Datos!$E$2:$E$1000,$J142)))</f>
        <v/>
      </c>
      <c r="C142" s="5" t="str">
        <f>IF($J142=0,"",IF(INDEX(Datos!$I$2:$I$1000,$J142)="","",INDEX(Datos!$I$2:$I$1000,$J142)))</f>
        <v/>
      </c>
      <c r="D142" s="6" t="str">
        <f>IF($J142=0,"",IF(INDEX(Datos!$F$2:$F$1000,$J142)="","",INDEX(Datos!$F$2:$F$1000,$J142)))</f>
        <v/>
      </c>
      <c r="E142" s="7" t="str">
        <f>IF($J142=0,"",IF(INDEX(Datos!$H$2:$H$1000,$J142)="","",INDEX(Datos!$H$2:$H$1000,$J142)))</f>
        <v/>
      </c>
      <c r="F142" s="6" t="str">
        <f>IF($J142=0,"",IF(INDEX(Datos!$N$2:$N$1000,$J142)="","",INDEX(Datos!$N$2:$N$1000,$J142)))</f>
        <v/>
      </c>
      <c r="G142" s="8" t="str">
        <f>IF($J142=0,"",IF(INDEX(Datos!$M$2:$M$1000,$J142)="","",INDEX(Datos!$M$2:$M$1000,$J142)))</f>
        <v/>
      </c>
      <c r="H142" s="6" t="str">
        <f>IF($J142=0,"",INDEX(Datos!$J$2:$J$1000,$J142)&amp;IF(INDEX(Datos!$Q$2:$Q$1000,$J142)="",""," | "&amp;INDEX(Datos!$Q$2:$Q$1000,$J142)))</f>
        <v/>
      </c>
      <c r="J142">
        <f>IFERROR(MATCH(ROW()-17,Datos!$W$2:$W$1000,0),0)</f>
        <v>0</v>
      </c>
    </row>
    <row r="143" spans="1:10" ht="82" customHeight="1" x14ac:dyDescent="0.35">
      <c r="A143" s="4" t="str">
        <f>IF($J143=0,"",IF(INDEX(Datos!$A$2:$A$1000,$J143)="","",INDEX(Datos!$A$2:$A$1000,$J143)))</f>
        <v/>
      </c>
      <c r="B143" s="5" t="str">
        <f>IF($J143=0,"",IF(INDEX(Datos!$E$2:$E$1000,$J143)="","",INDEX(Datos!$E$2:$E$1000,$J143)))</f>
        <v/>
      </c>
      <c r="C143" s="5" t="str">
        <f>IF($J143=0,"",IF(INDEX(Datos!$I$2:$I$1000,$J143)="","",INDEX(Datos!$I$2:$I$1000,$J143)))</f>
        <v/>
      </c>
      <c r="D143" s="6" t="str">
        <f>IF($J143=0,"",IF(INDEX(Datos!$F$2:$F$1000,$J143)="","",INDEX(Datos!$F$2:$F$1000,$J143)))</f>
        <v/>
      </c>
      <c r="E143" s="7" t="str">
        <f>IF($J143=0,"",IF(INDEX(Datos!$H$2:$H$1000,$J143)="","",INDEX(Datos!$H$2:$H$1000,$J143)))</f>
        <v/>
      </c>
      <c r="F143" s="6" t="str">
        <f>IF($J143=0,"",IF(INDEX(Datos!$N$2:$N$1000,$J143)="","",INDEX(Datos!$N$2:$N$1000,$J143)))</f>
        <v/>
      </c>
      <c r="G143" s="8" t="str">
        <f>IF($J143=0,"",IF(INDEX(Datos!$M$2:$M$1000,$J143)="","",INDEX(Datos!$M$2:$M$1000,$J143)))</f>
        <v/>
      </c>
      <c r="H143" s="6" t="str">
        <f>IF($J143=0,"",INDEX(Datos!$J$2:$J$1000,$J143)&amp;IF(INDEX(Datos!$Q$2:$Q$1000,$J143)="",""," | "&amp;INDEX(Datos!$Q$2:$Q$1000,$J143)))</f>
        <v/>
      </c>
      <c r="J143">
        <f>IFERROR(MATCH(ROW()-17,Datos!$W$2:$W$1000,0),0)</f>
        <v>0</v>
      </c>
    </row>
    <row r="144" spans="1:10" ht="82" customHeight="1" x14ac:dyDescent="0.35">
      <c r="A144" s="4" t="str">
        <f>IF($J144=0,"",IF(INDEX(Datos!$A$2:$A$1000,$J144)="","",INDEX(Datos!$A$2:$A$1000,$J144)))</f>
        <v/>
      </c>
      <c r="B144" s="5" t="str">
        <f>IF($J144=0,"",IF(INDEX(Datos!$E$2:$E$1000,$J144)="","",INDEX(Datos!$E$2:$E$1000,$J144)))</f>
        <v/>
      </c>
      <c r="C144" s="5" t="str">
        <f>IF($J144=0,"",IF(INDEX(Datos!$I$2:$I$1000,$J144)="","",INDEX(Datos!$I$2:$I$1000,$J144)))</f>
        <v/>
      </c>
      <c r="D144" s="6" t="str">
        <f>IF($J144=0,"",IF(INDEX(Datos!$F$2:$F$1000,$J144)="","",INDEX(Datos!$F$2:$F$1000,$J144)))</f>
        <v/>
      </c>
      <c r="E144" s="7" t="str">
        <f>IF($J144=0,"",IF(INDEX(Datos!$H$2:$H$1000,$J144)="","",INDEX(Datos!$H$2:$H$1000,$J144)))</f>
        <v/>
      </c>
      <c r="F144" s="6" t="str">
        <f>IF($J144=0,"",IF(INDEX(Datos!$N$2:$N$1000,$J144)="","",INDEX(Datos!$N$2:$N$1000,$J144)))</f>
        <v/>
      </c>
      <c r="G144" s="8" t="str">
        <f>IF($J144=0,"",IF(INDEX(Datos!$M$2:$M$1000,$J144)="","",INDEX(Datos!$M$2:$M$1000,$J144)))</f>
        <v/>
      </c>
      <c r="H144" s="6" t="str">
        <f>IF($J144=0,"",INDEX(Datos!$J$2:$J$1000,$J144)&amp;IF(INDEX(Datos!$Q$2:$Q$1000,$J144)="",""," | "&amp;INDEX(Datos!$Q$2:$Q$1000,$J144)))</f>
        <v/>
      </c>
      <c r="J144">
        <f>IFERROR(MATCH(ROW()-17,Datos!$W$2:$W$1000,0),0)</f>
        <v>0</v>
      </c>
    </row>
    <row r="145" spans="1:10" ht="82" customHeight="1" x14ac:dyDescent="0.35">
      <c r="A145" s="4" t="str">
        <f>IF($J145=0,"",IF(INDEX(Datos!$A$2:$A$1000,$J145)="","",INDEX(Datos!$A$2:$A$1000,$J145)))</f>
        <v/>
      </c>
      <c r="B145" s="5" t="str">
        <f>IF($J145=0,"",IF(INDEX(Datos!$E$2:$E$1000,$J145)="","",INDEX(Datos!$E$2:$E$1000,$J145)))</f>
        <v/>
      </c>
      <c r="C145" s="5" t="str">
        <f>IF($J145=0,"",IF(INDEX(Datos!$I$2:$I$1000,$J145)="","",INDEX(Datos!$I$2:$I$1000,$J145)))</f>
        <v/>
      </c>
      <c r="D145" s="6" t="str">
        <f>IF($J145=0,"",IF(INDEX(Datos!$F$2:$F$1000,$J145)="","",INDEX(Datos!$F$2:$F$1000,$J145)))</f>
        <v/>
      </c>
      <c r="E145" s="7" t="str">
        <f>IF($J145=0,"",IF(INDEX(Datos!$H$2:$H$1000,$J145)="","",INDEX(Datos!$H$2:$H$1000,$J145)))</f>
        <v/>
      </c>
      <c r="F145" s="6" t="str">
        <f>IF($J145=0,"",IF(INDEX(Datos!$N$2:$N$1000,$J145)="","",INDEX(Datos!$N$2:$N$1000,$J145)))</f>
        <v/>
      </c>
      <c r="G145" s="8" t="str">
        <f>IF($J145=0,"",IF(INDEX(Datos!$M$2:$M$1000,$J145)="","",INDEX(Datos!$M$2:$M$1000,$J145)))</f>
        <v/>
      </c>
      <c r="H145" s="6" t="str">
        <f>IF($J145=0,"",INDEX(Datos!$J$2:$J$1000,$J145)&amp;IF(INDEX(Datos!$Q$2:$Q$1000,$J145)="",""," | "&amp;INDEX(Datos!$Q$2:$Q$1000,$J145)))</f>
        <v/>
      </c>
      <c r="J145">
        <f>IFERROR(MATCH(ROW()-17,Datos!$W$2:$W$1000,0),0)</f>
        <v>0</v>
      </c>
    </row>
    <row r="146" spans="1:10" ht="82" customHeight="1" x14ac:dyDescent="0.35">
      <c r="A146" s="4" t="str">
        <f>IF($J146=0,"",IF(INDEX(Datos!$A$2:$A$1000,$J146)="","",INDEX(Datos!$A$2:$A$1000,$J146)))</f>
        <v/>
      </c>
      <c r="B146" s="5" t="str">
        <f>IF($J146=0,"",IF(INDEX(Datos!$E$2:$E$1000,$J146)="","",INDEX(Datos!$E$2:$E$1000,$J146)))</f>
        <v/>
      </c>
      <c r="C146" s="5" t="str">
        <f>IF($J146=0,"",IF(INDEX(Datos!$I$2:$I$1000,$J146)="","",INDEX(Datos!$I$2:$I$1000,$J146)))</f>
        <v/>
      </c>
      <c r="D146" s="6" t="str">
        <f>IF($J146=0,"",IF(INDEX(Datos!$F$2:$F$1000,$J146)="","",INDEX(Datos!$F$2:$F$1000,$J146)))</f>
        <v/>
      </c>
      <c r="E146" s="7" t="str">
        <f>IF($J146=0,"",IF(INDEX(Datos!$H$2:$H$1000,$J146)="","",INDEX(Datos!$H$2:$H$1000,$J146)))</f>
        <v/>
      </c>
      <c r="F146" s="6" t="str">
        <f>IF($J146=0,"",IF(INDEX(Datos!$N$2:$N$1000,$J146)="","",INDEX(Datos!$N$2:$N$1000,$J146)))</f>
        <v/>
      </c>
      <c r="G146" s="8" t="str">
        <f>IF($J146=0,"",IF(INDEX(Datos!$M$2:$M$1000,$J146)="","",INDEX(Datos!$M$2:$M$1000,$J146)))</f>
        <v/>
      </c>
      <c r="H146" s="6" t="str">
        <f>IF($J146=0,"",INDEX(Datos!$J$2:$J$1000,$J146)&amp;IF(INDEX(Datos!$Q$2:$Q$1000,$J146)="",""," | "&amp;INDEX(Datos!$Q$2:$Q$1000,$J146)))</f>
        <v/>
      </c>
      <c r="J146">
        <f>IFERROR(MATCH(ROW()-17,Datos!$W$2:$W$1000,0),0)</f>
        <v>0</v>
      </c>
    </row>
    <row r="147" spans="1:10" ht="82" customHeight="1" x14ac:dyDescent="0.35">
      <c r="A147" s="4" t="str">
        <f>IF($J147=0,"",IF(INDEX(Datos!$A$2:$A$1000,$J147)="","",INDEX(Datos!$A$2:$A$1000,$J147)))</f>
        <v/>
      </c>
      <c r="B147" s="5" t="str">
        <f>IF($J147=0,"",IF(INDEX(Datos!$E$2:$E$1000,$J147)="","",INDEX(Datos!$E$2:$E$1000,$J147)))</f>
        <v/>
      </c>
      <c r="C147" s="5" t="str">
        <f>IF($J147=0,"",IF(INDEX(Datos!$I$2:$I$1000,$J147)="","",INDEX(Datos!$I$2:$I$1000,$J147)))</f>
        <v/>
      </c>
      <c r="D147" s="6" t="str">
        <f>IF($J147=0,"",IF(INDEX(Datos!$F$2:$F$1000,$J147)="","",INDEX(Datos!$F$2:$F$1000,$J147)))</f>
        <v/>
      </c>
      <c r="E147" s="7" t="str">
        <f>IF($J147=0,"",IF(INDEX(Datos!$H$2:$H$1000,$J147)="","",INDEX(Datos!$H$2:$H$1000,$J147)))</f>
        <v/>
      </c>
      <c r="F147" s="6" t="str">
        <f>IF($J147=0,"",IF(INDEX(Datos!$N$2:$N$1000,$J147)="","",INDEX(Datos!$N$2:$N$1000,$J147)))</f>
        <v/>
      </c>
      <c r="G147" s="8" t="str">
        <f>IF($J147=0,"",IF(INDEX(Datos!$M$2:$M$1000,$J147)="","",INDEX(Datos!$M$2:$M$1000,$J147)))</f>
        <v/>
      </c>
      <c r="H147" s="6" t="str">
        <f>IF($J147=0,"",INDEX(Datos!$J$2:$J$1000,$J147)&amp;IF(INDEX(Datos!$Q$2:$Q$1000,$J147)="",""," | "&amp;INDEX(Datos!$Q$2:$Q$1000,$J147)))</f>
        <v/>
      </c>
      <c r="J147">
        <f>IFERROR(MATCH(ROW()-17,Datos!$W$2:$W$1000,0),0)</f>
        <v>0</v>
      </c>
    </row>
    <row r="148" spans="1:10" ht="82" customHeight="1" x14ac:dyDescent="0.35">
      <c r="A148" s="4" t="str">
        <f>IF($J148=0,"",IF(INDEX(Datos!$A$2:$A$1000,$J148)="","",INDEX(Datos!$A$2:$A$1000,$J148)))</f>
        <v/>
      </c>
      <c r="B148" s="5" t="str">
        <f>IF($J148=0,"",IF(INDEX(Datos!$E$2:$E$1000,$J148)="","",INDEX(Datos!$E$2:$E$1000,$J148)))</f>
        <v/>
      </c>
      <c r="C148" s="5" t="str">
        <f>IF($J148=0,"",IF(INDEX(Datos!$I$2:$I$1000,$J148)="","",INDEX(Datos!$I$2:$I$1000,$J148)))</f>
        <v/>
      </c>
      <c r="D148" s="6" t="str">
        <f>IF($J148=0,"",IF(INDEX(Datos!$F$2:$F$1000,$J148)="","",INDEX(Datos!$F$2:$F$1000,$J148)))</f>
        <v/>
      </c>
      <c r="E148" s="7" t="str">
        <f>IF($J148=0,"",IF(INDEX(Datos!$H$2:$H$1000,$J148)="","",INDEX(Datos!$H$2:$H$1000,$J148)))</f>
        <v/>
      </c>
      <c r="F148" s="6" t="str">
        <f>IF($J148=0,"",IF(INDEX(Datos!$N$2:$N$1000,$J148)="","",INDEX(Datos!$N$2:$N$1000,$J148)))</f>
        <v/>
      </c>
      <c r="G148" s="8" t="str">
        <f>IF($J148=0,"",IF(INDEX(Datos!$M$2:$M$1000,$J148)="","",INDEX(Datos!$M$2:$M$1000,$J148)))</f>
        <v/>
      </c>
      <c r="H148" s="6" t="str">
        <f>IF($J148=0,"",INDEX(Datos!$J$2:$J$1000,$J148)&amp;IF(INDEX(Datos!$Q$2:$Q$1000,$J148)="",""," | "&amp;INDEX(Datos!$Q$2:$Q$1000,$J148)))</f>
        <v/>
      </c>
      <c r="J148">
        <f>IFERROR(MATCH(ROW()-17,Datos!$W$2:$W$1000,0),0)</f>
        <v>0</v>
      </c>
    </row>
    <row r="149" spans="1:10" ht="82" customHeight="1" x14ac:dyDescent="0.35">
      <c r="A149" s="4" t="str">
        <f>IF($J149=0,"",IF(INDEX(Datos!$A$2:$A$1000,$J149)="","",INDEX(Datos!$A$2:$A$1000,$J149)))</f>
        <v/>
      </c>
      <c r="B149" s="5" t="str">
        <f>IF($J149=0,"",IF(INDEX(Datos!$E$2:$E$1000,$J149)="","",INDEX(Datos!$E$2:$E$1000,$J149)))</f>
        <v/>
      </c>
      <c r="C149" s="5" t="str">
        <f>IF($J149=0,"",IF(INDEX(Datos!$I$2:$I$1000,$J149)="","",INDEX(Datos!$I$2:$I$1000,$J149)))</f>
        <v/>
      </c>
      <c r="D149" s="6" t="str">
        <f>IF($J149=0,"",IF(INDEX(Datos!$F$2:$F$1000,$J149)="","",INDEX(Datos!$F$2:$F$1000,$J149)))</f>
        <v/>
      </c>
      <c r="E149" s="7" t="str">
        <f>IF($J149=0,"",IF(INDEX(Datos!$H$2:$H$1000,$J149)="","",INDEX(Datos!$H$2:$H$1000,$J149)))</f>
        <v/>
      </c>
      <c r="F149" s="6" t="str">
        <f>IF($J149=0,"",IF(INDEX(Datos!$N$2:$N$1000,$J149)="","",INDEX(Datos!$N$2:$N$1000,$J149)))</f>
        <v/>
      </c>
      <c r="G149" s="8" t="str">
        <f>IF($J149=0,"",IF(INDEX(Datos!$M$2:$M$1000,$J149)="","",INDEX(Datos!$M$2:$M$1000,$J149)))</f>
        <v/>
      </c>
      <c r="H149" s="6" t="str">
        <f>IF($J149=0,"",INDEX(Datos!$J$2:$J$1000,$J149)&amp;IF(INDEX(Datos!$Q$2:$Q$1000,$J149)="",""," | "&amp;INDEX(Datos!$Q$2:$Q$1000,$J149)))</f>
        <v/>
      </c>
      <c r="J149">
        <f>IFERROR(MATCH(ROW()-17,Datos!$W$2:$W$1000,0),0)</f>
        <v>0</v>
      </c>
    </row>
    <row r="150" spans="1:10" ht="82" customHeight="1" x14ac:dyDescent="0.35">
      <c r="A150" s="4" t="str">
        <f>IF($J150=0,"",IF(INDEX(Datos!$A$2:$A$1000,$J150)="","",INDEX(Datos!$A$2:$A$1000,$J150)))</f>
        <v/>
      </c>
      <c r="B150" s="5" t="str">
        <f>IF($J150=0,"",IF(INDEX(Datos!$E$2:$E$1000,$J150)="","",INDEX(Datos!$E$2:$E$1000,$J150)))</f>
        <v/>
      </c>
      <c r="C150" s="5" t="str">
        <f>IF($J150=0,"",IF(INDEX(Datos!$I$2:$I$1000,$J150)="","",INDEX(Datos!$I$2:$I$1000,$J150)))</f>
        <v/>
      </c>
      <c r="D150" s="6" t="str">
        <f>IF($J150=0,"",IF(INDEX(Datos!$F$2:$F$1000,$J150)="","",INDEX(Datos!$F$2:$F$1000,$J150)))</f>
        <v/>
      </c>
      <c r="E150" s="7" t="str">
        <f>IF($J150=0,"",IF(INDEX(Datos!$H$2:$H$1000,$J150)="","",INDEX(Datos!$H$2:$H$1000,$J150)))</f>
        <v/>
      </c>
      <c r="F150" s="6" t="str">
        <f>IF($J150=0,"",IF(INDEX(Datos!$N$2:$N$1000,$J150)="","",INDEX(Datos!$N$2:$N$1000,$J150)))</f>
        <v/>
      </c>
      <c r="G150" s="8" t="str">
        <f>IF($J150=0,"",IF(INDEX(Datos!$M$2:$M$1000,$J150)="","",INDEX(Datos!$M$2:$M$1000,$J150)))</f>
        <v/>
      </c>
      <c r="H150" s="6" t="str">
        <f>IF($J150=0,"",INDEX(Datos!$J$2:$J$1000,$J150)&amp;IF(INDEX(Datos!$Q$2:$Q$1000,$J150)="",""," | "&amp;INDEX(Datos!$Q$2:$Q$1000,$J150)))</f>
        <v/>
      </c>
      <c r="J150">
        <f>IFERROR(MATCH(ROW()-17,Datos!$W$2:$W$1000,0),0)</f>
        <v>0</v>
      </c>
    </row>
    <row r="151" spans="1:10" ht="82" customHeight="1" x14ac:dyDescent="0.35">
      <c r="A151" s="4" t="str">
        <f>IF($J151=0,"",IF(INDEX(Datos!$A$2:$A$1000,$J151)="","",INDEX(Datos!$A$2:$A$1000,$J151)))</f>
        <v/>
      </c>
      <c r="B151" s="5" t="str">
        <f>IF($J151=0,"",IF(INDEX(Datos!$E$2:$E$1000,$J151)="","",INDEX(Datos!$E$2:$E$1000,$J151)))</f>
        <v/>
      </c>
      <c r="C151" s="5" t="str">
        <f>IF($J151=0,"",IF(INDEX(Datos!$I$2:$I$1000,$J151)="","",INDEX(Datos!$I$2:$I$1000,$J151)))</f>
        <v/>
      </c>
      <c r="D151" s="6" t="str">
        <f>IF($J151=0,"",IF(INDEX(Datos!$F$2:$F$1000,$J151)="","",INDEX(Datos!$F$2:$F$1000,$J151)))</f>
        <v/>
      </c>
      <c r="E151" s="7" t="str">
        <f>IF($J151=0,"",IF(INDEX(Datos!$H$2:$H$1000,$J151)="","",INDEX(Datos!$H$2:$H$1000,$J151)))</f>
        <v/>
      </c>
      <c r="F151" s="6" t="str">
        <f>IF($J151=0,"",IF(INDEX(Datos!$N$2:$N$1000,$J151)="","",INDEX(Datos!$N$2:$N$1000,$J151)))</f>
        <v/>
      </c>
      <c r="G151" s="8" t="str">
        <f>IF($J151=0,"",IF(INDEX(Datos!$M$2:$M$1000,$J151)="","",INDEX(Datos!$M$2:$M$1000,$J151)))</f>
        <v/>
      </c>
      <c r="H151" s="6" t="str">
        <f>IF($J151=0,"",INDEX(Datos!$J$2:$J$1000,$J151)&amp;IF(INDEX(Datos!$Q$2:$Q$1000,$J151)="",""," | "&amp;INDEX(Datos!$Q$2:$Q$1000,$J151)))</f>
        <v/>
      </c>
      <c r="J151">
        <f>IFERROR(MATCH(ROW()-17,Datos!$W$2:$W$1000,0),0)</f>
        <v>0</v>
      </c>
    </row>
    <row r="152" spans="1:10" ht="82" customHeight="1" x14ac:dyDescent="0.35">
      <c r="A152" s="4" t="str">
        <f>IF($J152=0,"",IF(INDEX(Datos!$A$2:$A$1000,$J152)="","",INDEX(Datos!$A$2:$A$1000,$J152)))</f>
        <v/>
      </c>
      <c r="B152" s="5" t="str">
        <f>IF($J152=0,"",IF(INDEX(Datos!$E$2:$E$1000,$J152)="","",INDEX(Datos!$E$2:$E$1000,$J152)))</f>
        <v/>
      </c>
      <c r="C152" s="5" t="str">
        <f>IF($J152=0,"",IF(INDEX(Datos!$I$2:$I$1000,$J152)="","",INDEX(Datos!$I$2:$I$1000,$J152)))</f>
        <v/>
      </c>
      <c r="D152" s="6" t="str">
        <f>IF($J152=0,"",IF(INDEX(Datos!$F$2:$F$1000,$J152)="","",INDEX(Datos!$F$2:$F$1000,$J152)))</f>
        <v/>
      </c>
      <c r="E152" s="7" t="str">
        <f>IF($J152=0,"",IF(INDEX(Datos!$H$2:$H$1000,$J152)="","",INDEX(Datos!$H$2:$H$1000,$J152)))</f>
        <v/>
      </c>
      <c r="F152" s="6" t="str">
        <f>IF($J152=0,"",IF(INDEX(Datos!$N$2:$N$1000,$J152)="","",INDEX(Datos!$N$2:$N$1000,$J152)))</f>
        <v/>
      </c>
      <c r="G152" s="8" t="str">
        <f>IF($J152=0,"",IF(INDEX(Datos!$M$2:$M$1000,$J152)="","",INDEX(Datos!$M$2:$M$1000,$J152)))</f>
        <v/>
      </c>
      <c r="H152" s="6" t="str">
        <f>IF($J152=0,"",INDEX(Datos!$J$2:$J$1000,$J152)&amp;IF(INDEX(Datos!$Q$2:$Q$1000,$J152)="",""," | "&amp;INDEX(Datos!$Q$2:$Q$1000,$J152)))</f>
        <v/>
      </c>
      <c r="J152">
        <f>IFERROR(MATCH(ROW()-17,Datos!$W$2:$W$1000,0),0)</f>
        <v>0</v>
      </c>
    </row>
    <row r="153" spans="1:10" ht="82" customHeight="1" x14ac:dyDescent="0.35">
      <c r="A153" s="4" t="str">
        <f>IF($J153=0,"",IF(INDEX(Datos!$A$2:$A$1000,$J153)="","",INDEX(Datos!$A$2:$A$1000,$J153)))</f>
        <v/>
      </c>
      <c r="B153" s="5" t="str">
        <f>IF($J153=0,"",IF(INDEX(Datos!$E$2:$E$1000,$J153)="","",INDEX(Datos!$E$2:$E$1000,$J153)))</f>
        <v/>
      </c>
      <c r="C153" s="5" t="str">
        <f>IF($J153=0,"",IF(INDEX(Datos!$I$2:$I$1000,$J153)="","",INDEX(Datos!$I$2:$I$1000,$J153)))</f>
        <v/>
      </c>
      <c r="D153" s="6" t="str">
        <f>IF($J153=0,"",IF(INDEX(Datos!$F$2:$F$1000,$J153)="","",INDEX(Datos!$F$2:$F$1000,$J153)))</f>
        <v/>
      </c>
      <c r="E153" s="7" t="str">
        <f>IF($J153=0,"",IF(INDEX(Datos!$H$2:$H$1000,$J153)="","",INDEX(Datos!$H$2:$H$1000,$J153)))</f>
        <v/>
      </c>
      <c r="F153" s="6" t="str">
        <f>IF($J153=0,"",IF(INDEX(Datos!$N$2:$N$1000,$J153)="","",INDEX(Datos!$N$2:$N$1000,$J153)))</f>
        <v/>
      </c>
      <c r="G153" s="8" t="str">
        <f>IF($J153=0,"",IF(INDEX(Datos!$M$2:$M$1000,$J153)="","",INDEX(Datos!$M$2:$M$1000,$J153)))</f>
        <v/>
      </c>
      <c r="H153" s="6" t="str">
        <f>IF($J153=0,"",INDEX(Datos!$J$2:$J$1000,$J153)&amp;IF(INDEX(Datos!$Q$2:$Q$1000,$J153)="",""," | "&amp;INDEX(Datos!$Q$2:$Q$1000,$J153)))</f>
        <v/>
      </c>
      <c r="J153">
        <f>IFERROR(MATCH(ROW()-17,Datos!$W$2:$W$1000,0),0)</f>
        <v>0</v>
      </c>
    </row>
    <row r="154" spans="1:10" ht="82" customHeight="1" x14ac:dyDescent="0.35">
      <c r="A154" s="4" t="str">
        <f>IF($J154=0,"",IF(INDEX(Datos!$A$2:$A$1000,$J154)="","",INDEX(Datos!$A$2:$A$1000,$J154)))</f>
        <v/>
      </c>
      <c r="B154" s="5" t="str">
        <f>IF($J154=0,"",IF(INDEX(Datos!$E$2:$E$1000,$J154)="","",INDEX(Datos!$E$2:$E$1000,$J154)))</f>
        <v/>
      </c>
      <c r="C154" s="5" t="str">
        <f>IF($J154=0,"",IF(INDEX(Datos!$I$2:$I$1000,$J154)="","",INDEX(Datos!$I$2:$I$1000,$J154)))</f>
        <v/>
      </c>
      <c r="D154" s="6" t="str">
        <f>IF($J154=0,"",IF(INDEX(Datos!$F$2:$F$1000,$J154)="","",INDEX(Datos!$F$2:$F$1000,$J154)))</f>
        <v/>
      </c>
      <c r="E154" s="7" t="str">
        <f>IF($J154=0,"",IF(INDEX(Datos!$H$2:$H$1000,$J154)="","",INDEX(Datos!$H$2:$H$1000,$J154)))</f>
        <v/>
      </c>
      <c r="F154" s="6" t="str">
        <f>IF($J154=0,"",IF(INDEX(Datos!$N$2:$N$1000,$J154)="","",INDEX(Datos!$N$2:$N$1000,$J154)))</f>
        <v/>
      </c>
      <c r="G154" s="8" t="str">
        <f>IF($J154=0,"",IF(INDEX(Datos!$M$2:$M$1000,$J154)="","",INDEX(Datos!$M$2:$M$1000,$J154)))</f>
        <v/>
      </c>
      <c r="H154" s="6" t="str">
        <f>IF($J154=0,"",INDEX(Datos!$J$2:$J$1000,$J154)&amp;IF(INDEX(Datos!$Q$2:$Q$1000,$J154)="",""," | "&amp;INDEX(Datos!$Q$2:$Q$1000,$J154)))</f>
        <v/>
      </c>
      <c r="J154">
        <f>IFERROR(MATCH(ROW()-17,Datos!$W$2:$W$1000,0),0)</f>
        <v>0</v>
      </c>
    </row>
    <row r="155" spans="1:10" ht="82" customHeight="1" x14ac:dyDescent="0.35">
      <c r="A155" s="4" t="str">
        <f>IF($J155=0,"",IF(INDEX(Datos!$A$2:$A$1000,$J155)="","",INDEX(Datos!$A$2:$A$1000,$J155)))</f>
        <v/>
      </c>
      <c r="B155" s="5" t="str">
        <f>IF($J155=0,"",IF(INDEX(Datos!$E$2:$E$1000,$J155)="","",INDEX(Datos!$E$2:$E$1000,$J155)))</f>
        <v/>
      </c>
      <c r="C155" s="5" t="str">
        <f>IF($J155=0,"",IF(INDEX(Datos!$I$2:$I$1000,$J155)="","",INDEX(Datos!$I$2:$I$1000,$J155)))</f>
        <v/>
      </c>
      <c r="D155" s="6" t="str">
        <f>IF($J155=0,"",IF(INDEX(Datos!$F$2:$F$1000,$J155)="","",INDEX(Datos!$F$2:$F$1000,$J155)))</f>
        <v/>
      </c>
      <c r="E155" s="7" t="str">
        <f>IF($J155=0,"",IF(INDEX(Datos!$H$2:$H$1000,$J155)="","",INDEX(Datos!$H$2:$H$1000,$J155)))</f>
        <v/>
      </c>
      <c r="F155" s="6" t="str">
        <f>IF($J155=0,"",IF(INDEX(Datos!$N$2:$N$1000,$J155)="","",INDEX(Datos!$N$2:$N$1000,$J155)))</f>
        <v/>
      </c>
      <c r="G155" s="8" t="str">
        <f>IF($J155=0,"",IF(INDEX(Datos!$M$2:$M$1000,$J155)="","",INDEX(Datos!$M$2:$M$1000,$J155)))</f>
        <v/>
      </c>
      <c r="H155" s="6" t="str">
        <f>IF($J155=0,"",INDEX(Datos!$J$2:$J$1000,$J155)&amp;IF(INDEX(Datos!$Q$2:$Q$1000,$J155)="",""," | "&amp;INDEX(Datos!$Q$2:$Q$1000,$J155)))</f>
        <v/>
      </c>
      <c r="J155">
        <f>IFERROR(MATCH(ROW()-17,Datos!$W$2:$W$1000,0),0)</f>
        <v>0</v>
      </c>
    </row>
    <row r="156" spans="1:10" ht="82" customHeight="1" x14ac:dyDescent="0.35">
      <c r="A156" s="4" t="str">
        <f>IF($J156=0,"",IF(INDEX(Datos!$A$2:$A$1000,$J156)="","",INDEX(Datos!$A$2:$A$1000,$J156)))</f>
        <v/>
      </c>
      <c r="B156" s="5" t="str">
        <f>IF($J156=0,"",IF(INDEX(Datos!$E$2:$E$1000,$J156)="","",INDEX(Datos!$E$2:$E$1000,$J156)))</f>
        <v/>
      </c>
      <c r="C156" s="5" t="str">
        <f>IF($J156=0,"",IF(INDEX(Datos!$I$2:$I$1000,$J156)="","",INDEX(Datos!$I$2:$I$1000,$J156)))</f>
        <v/>
      </c>
      <c r="D156" s="6" t="str">
        <f>IF($J156=0,"",IF(INDEX(Datos!$F$2:$F$1000,$J156)="","",INDEX(Datos!$F$2:$F$1000,$J156)))</f>
        <v/>
      </c>
      <c r="E156" s="7" t="str">
        <f>IF($J156=0,"",IF(INDEX(Datos!$H$2:$H$1000,$J156)="","",INDEX(Datos!$H$2:$H$1000,$J156)))</f>
        <v/>
      </c>
      <c r="F156" s="6" t="str">
        <f>IF($J156=0,"",IF(INDEX(Datos!$N$2:$N$1000,$J156)="","",INDEX(Datos!$N$2:$N$1000,$J156)))</f>
        <v/>
      </c>
      <c r="G156" s="8" t="str">
        <f>IF($J156=0,"",IF(INDEX(Datos!$M$2:$M$1000,$J156)="","",INDEX(Datos!$M$2:$M$1000,$J156)))</f>
        <v/>
      </c>
      <c r="H156" s="6" t="str">
        <f>IF($J156=0,"",INDEX(Datos!$J$2:$J$1000,$J156)&amp;IF(INDEX(Datos!$Q$2:$Q$1000,$J156)="",""," | "&amp;INDEX(Datos!$Q$2:$Q$1000,$J156)))</f>
        <v/>
      </c>
      <c r="J156">
        <f>IFERROR(MATCH(ROW()-17,Datos!$W$2:$W$1000,0),0)</f>
        <v>0</v>
      </c>
    </row>
    <row r="157" spans="1:10" ht="82" customHeight="1" x14ac:dyDescent="0.35">
      <c r="A157" s="4" t="str">
        <f>IF($J157=0,"",IF(INDEX(Datos!$A$2:$A$1000,$J157)="","",INDEX(Datos!$A$2:$A$1000,$J157)))</f>
        <v/>
      </c>
      <c r="B157" s="5" t="str">
        <f>IF($J157=0,"",IF(INDEX(Datos!$E$2:$E$1000,$J157)="","",INDEX(Datos!$E$2:$E$1000,$J157)))</f>
        <v/>
      </c>
      <c r="C157" s="5" t="str">
        <f>IF($J157=0,"",IF(INDEX(Datos!$I$2:$I$1000,$J157)="","",INDEX(Datos!$I$2:$I$1000,$J157)))</f>
        <v/>
      </c>
      <c r="D157" s="6" t="str">
        <f>IF($J157=0,"",IF(INDEX(Datos!$F$2:$F$1000,$J157)="","",INDEX(Datos!$F$2:$F$1000,$J157)))</f>
        <v/>
      </c>
      <c r="E157" s="7" t="str">
        <f>IF($J157=0,"",IF(INDEX(Datos!$H$2:$H$1000,$J157)="","",INDEX(Datos!$H$2:$H$1000,$J157)))</f>
        <v/>
      </c>
      <c r="F157" s="6" t="str">
        <f>IF($J157=0,"",IF(INDEX(Datos!$N$2:$N$1000,$J157)="","",INDEX(Datos!$N$2:$N$1000,$J157)))</f>
        <v/>
      </c>
      <c r="G157" s="8" t="str">
        <f>IF($J157=0,"",IF(INDEX(Datos!$M$2:$M$1000,$J157)="","",INDEX(Datos!$M$2:$M$1000,$J157)))</f>
        <v/>
      </c>
      <c r="H157" s="6" t="str">
        <f>IF($J157=0,"",INDEX(Datos!$J$2:$J$1000,$J157)&amp;IF(INDEX(Datos!$Q$2:$Q$1000,$J157)="",""," | "&amp;INDEX(Datos!$Q$2:$Q$1000,$J157)))</f>
        <v/>
      </c>
      <c r="J157">
        <f>IFERROR(MATCH(ROW()-17,Datos!$W$2:$W$1000,0),0)</f>
        <v>0</v>
      </c>
    </row>
    <row r="158" spans="1:10" ht="82" customHeight="1" x14ac:dyDescent="0.35">
      <c r="A158" s="4" t="str">
        <f>IF($J158=0,"",IF(INDEX(Datos!$A$2:$A$1000,$J158)="","",INDEX(Datos!$A$2:$A$1000,$J158)))</f>
        <v/>
      </c>
      <c r="B158" s="5" t="str">
        <f>IF($J158=0,"",IF(INDEX(Datos!$E$2:$E$1000,$J158)="","",INDEX(Datos!$E$2:$E$1000,$J158)))</f>
        <v/>
      </c>
      <c r="C158" s="5" t="str">
        <f>IF($J158=0,"",IF(INDEX(Datos!$I$2:$I$1000,$J158)="","",INDEX(Datos!$I$2:$I$1000,$J158)))</f>
        <v/>
      </c>
      <c r="D158" s="6" t="str">
        <f>IF($J158=0,"",IF(INDEX(Datos!$F$2:$F$1000,$J158)="","",INDEX(Datos!$F$2:$F$1000,$J158)))</f>
        <v/>
      </c>
      <c r="E158" s="7" t="str">
        <f>IF($J158=0,"",IF(INDEX(Datos!$H$2:$H$1000,$J158)="","",INDEX(Datos!$H$2:$H$1000,$J158)))</f>
        <v/>
      </c>
      <c r="F158" s="6" t="str">
        <f>IF($J158=0,"",IF(INDEX(Datos!$N$2:$N$1000,$J158)="","",INDEX(Datos!$N$2:$N$1000,$J158)))</f>
        <v/>
      </c>
      <c r="G158" s="8" t="str">
        <f>IF($J158=0,"",IF(INDEX(Datos!$M$2:$M$1000,$J158)="","",INDEX(Datos!$M$2:$M$1000,$J158)))</f>
        <v/>
      </c>
      <c r="H158" s="6" t="str">
        <f>IF($J158=0,"",INDEX(Datos!$J$2:$J$1000,$J158)&amp;IF(INDEX(Datos!$Q$2:$Q$1000,$J158)="",""," | "&amp;INDEX(Datos!$Q$2:$Q$1000,$J158)))</f>
        <v/>
      </c>
      <c r="J158">
        <f>IFERROR(MATCH(ROW()-17,Datos!$W$2:$W$1000,0),0)</f>
        <v>0</v>
      </c>
    </row>
    <row r="159" spans="1:10" ht="82" customHeight="1" x14ac:dyDescent="0.35">
      <c r="A159" s="4" t="str">
        <f>IF($J159=0,"",IF(INDEX(Datos!$A$2:$A$1000,$J159)="","",INDEX(Datos!$A$2:$A$1000,$J159)))</f>
        <v/>
      </c>
      <c r="B159" s="5" t="str">
        <f>IF($J159=0,"",IF(INDEX(Datos!$E$2:$E$1000,$J159)="","",INDEX(Datos!$E$2:$E$1000,$J159)))</f>
        <v/>
      </c>
      <c r="C159" s="5" t="str">
        <f>IF($J159=0,"",IF(INDEX(Datos!$I$2:$I$1000,$J159)="","",INDEX(Datos!$I$2:$I$1000,$J159)))</f>
        <v/>
      </c>
      <c r="D159" s="6" t="str">
        <f>IF($J159=0,"",IF(INDEX(Datos!$F$2:$F$1000,$J159)="","",INDEX(Datos!$F$2:$F$1000,$J159)))</f>
        <v/>
      </c>
      <c r="E159" s="7" t="str">
        <f>IF($J159=0,"",IF(INDEX(Datos!$H$2:$H$1000,$J159)="","",INDEX(Datos!$H$2:$H$1000,$J159)))</f>
        <v/>
      </c>
      <c r="F159" s="6" t="str">
        <f>IF($J159=0,"",IF(INDEX(Datos!$N$2:$N$1000,$J159)="","",INDEX(Datos!$N$2:$N$1000,$J159)))</f>
        <v/>
      </c>
      <c r="G159" s="8" t="str">
        <f>IF($J159=0,"",IF(INDEX(Datos!$M$2:$M$1000,$J159)="","",INDEX(Datos!$M$2:$M$1000,$J159)))</f>
        <v/>
      </c>
      <c r="H159" s="6" t="str">
        <f>IF($J159=0,"",INDEX(Datos!$J$2:$J$1000,$J159)&amp;IF(INDEX(Datos!$Q$2:$Q$1000,$J159)="",""," | "&amp;INDEX(Datos!$Q$2:$Q$1000,$J159)))</f>
        <v/>
      </c>
      <c r="J159">
        <f>IFERROR(MATCH(ROW()-17,Datos!$W$2:$W$1000,0),0)</f>
        <v>0</v>
      </c>
    </row>
    <row r="160" spans="1:10" ht="82" customHeight="1" x14ac:dyDescent="0.35">
      <c r="A160" s="4" t="str">
        <f>IF($J160=0,"",IF(INDEX(Datos!$A$2:$A$1000,$J160)="","",INDEX(Datos!$A$2:$A$1000,$J160)))</f>
        <v/>
      </c>
      <c r="B160" s="5" t="str">
        <f>IF($J160=0,"",IF(INDEX(Datos!$E$2:$E$1000,$J160)="","",INDEX(Datos!$E$2:$E$1000,$J160)))</f>
        <v/>
      </c>
      <c r="C160" s="5" t="str">
        <f>IF($J160=0,"",IF(INDEX(Datos!$I$2:$I$1000,$J160)="","",INDEX(Datos!$I$2:$I$1000,$J160)))</f>
        <v/>
      </c>
      <c r="D160" s="6" t="str">
        <f>IF($J160=0,"",IF(INDEX(Datos!$F$2:$F$1000,$J160)="","",INDEX(Datos!$F$2:$F$1000,$J160)))</f>
        <v/>
      </c>
      <c r="E160" s="7" t="str">
        <f>IF($J160=0,"",IF(INDEX(Datos!$H$2:$H$1000,$J160)="","",INDEX(Datos!$H$2:$H$1000,$J160)))</f>
        <v/>
      </c>
      <c r="F160" s="6" t="str">
        <f>IF($J160=0,"",IF(INDEX(Datos!$N$2:$N$1000,$J160)="","",INDEX(Datos!$N$2:$N$1000,$J160)))</f>
        <v/>
      </c>
      <c r="G160" s="8" t="str">
        <f>IF($J160=0,"",IF(INDEX(Datos!$M$2:$M$1000,$J160)="","",INDEX(Datos!$M$2:$M$1000,$J160)))</f>
        <v/>
      </c>
      <c r="H160" s="6" t="str">
        <f>IF($J160=0,"",INDEX(Datos!$J$2:$J$1000,$J160)&amp;IF(INDEX(Datos!$Q$2:$Q$1000,$J160)="",""," | "&amp;INDEX(Datos!$Q$2:$Q$1000,$J160)))</f>
        <v/>
      </c>
      <c r="J160">
        <f>IFERROR(MATCH(ROW()-17,Datos!$W$2:$W$1000,0),0)</f>
        <v>0</v>
      </c>
    </row>
    <row r="161" spans="1:10" ht="82" customHeight="1" x14ac:dyDescent="0.35">
      <c r="A161" s="4" t="str">
        <f>IF($J161=0,"",IF(INDEX(Datos!$A$2:$A$1000,$J161)="","",INDEX(Datos!$A$2:$A$1000,$J161)))</f>
        <v/>
      </c>
      <c r="B161" s="5" t="str">
        <f>IF($J161=0,"",IF(INDEX(Datos!$E$2:$E$1000,$J161)="","",INDEX(Datos!$E$2:$E$1000,$J161)))</f>
        <v/>
      </c>
      <c r="C161" s="5" t="str">
        <f>IF($J161=0,"",IF(INDEX(Datos!$I$2:$I$1000,$J161)="","",INDEX(Datos!$I$2:$I$1000,$J161)))</f>
        <v/>
      </c>
      <c r="D161" s="6" t="str">
        <f>IF($J161=0,"",IF(INDEX(Datos!$F$2:$F$1000,$J161)="","",INDEX(Datos!$F$2:$F$1000,$J161)))</f>
        <v/>
      </c>
      <c r="E161" s="7" t="str">
        <f>IF($J161=0,"",IF(INDEX(Datos!$H$2:$H$1000,$J161)="","",INDEX(Datos!$H$2:$H$1000,$J161)))</f>
        <v/>
      </c>
      <c r="F161" s="6" t="str">
        <f>IF($J161=0,"",IF(INDEX(Datos!$N$2:$N$1000,$J161)="","",INDEX(Datos!$N$2:$N$1000,$J161)))</f>
        <v/>
      </c>
      <c r="G161" s="8" t="str">
        <f>IF($J161=0,"",IF(INDEX(Datos!$M$2:$M$1000,$J161)="","",INDEX(Datos!$M$2:$M$1000,$J161)))</f>
        <v/>
      </c>
      <c r="H161" s="6" t="str">
        <f>IF($J161=0,"",INDEX(Datos!$J$2:$J$1000,$J161)&amp;IF(INDEX(Datos!$Q$2:$Q$1000,$J161)="",""," | "&amp;INDEX(Datos!$Q$2:$Q$1000,$J161)))</f>
        <v/>
      </c>
      <c r="J161">
        <f>IFERROR(MATCH(ROW()-17,Datos!$W$2:$W$1000,0),0)</f>
        <v>0</v>
      </c>
    </row>
    <row r="162" spans="1:10" ht="82" customHeight="1" x14ac:dyDescent="0.35">
      <c r="A162" s="4" t="str">
        <f>IF($J162=0,"",IF(INDEX(Datos!$A$2:$A$1000,$J162)="","",INDEX(Datos!$A$2:$A$1000,$J162)))</f>
        <v/>
      </c>
      <c r="B162" s="5" t="str">
        <f>IF($J162=0,"",IF(INDEX(Datos!$E$2:$E$1000,$J162)="","",INDEX(Datos!$E$2:$E$1000,$J162)))</f>
        <v/>
      </c>
      <c r="C162" s="5" t="str">
        <f>IF($J162=0,"",IF(INDEX(Datos!$I$2:$I$1000,$J162)="","",INDEX(Datos!$I$2:$I$1000,$J162)))</f>
        <v/>
      </c>
      <c r="D162" s="6" t="str">
        <f>IF($J162=0,"",IF(INDEX(Datos!$F$2:$F$1000,$J162)="","",INDEX(Datos!$F$2:$F$1000,$J162)))</f>
        <v/>
      </c>
      <c r="E162" s="7" t="str">
        <f>IF($J162=0,"",IF(INDEX(Datos!$H$2:$H$1000,$J162)="","",INDEX(Datos!$H$2:$H$1000,$J162)))</f>
        <v/>
      </c>
      <c r="F162" s="6" t="str">
        <f>IF($J162=0,"",IF(INDEX(Datos!$N$2:$N$1000,$J162)="","",INDEX(Datos!$N$2:$N$1000,$J162)))</f>
        <v/>
      </c>
      <c r="G162" s="8" t="str">
        <f>IF($J162=0,"",IF(INDEX(Datos!$M$2:$M$1000,$J162)="","",INDEX(Datos!$M$2:$M$1000,$J162)))</f>
        <v/>
      </c>
      <c r="H162" s="6" t="str">
        <f>IF($J162=0,"",INDEX(Datos!$J$2:$J$1000,$J162)&amp;IF(INDEX(Datos!$Q$2:$Q$1000,$J162)="",""," | "&amp;INDEX(Datos!$Q$2:$Q$1000,$J162)))</f>
        <v/>
      </c>
      <c r="J162">
        <f>IFERROR(MATCH(ROW()-17,Datos!$W$2:$W$1000,0),0)</f>
        <v>0</v>
      </c>
    </row>
    <row r="163" spans="1:10" ht="82" customHeight="1" x14ac:dyDescent="0.35">
      <c r="A163" s="4" t="str">
        <f>IF($J163=0,"",IF(INDEX(Datos!$A$2:$A$1000,$J163)="","",INDEX(Datos!$A$2:$A$1000,$J163)))</f>
        <v/>
      </c>
      <c r="B163" s="5" t="str">
        <f>IF($J163=0,"",IF(INDEX(Datos!$E$2:$E$1000,$J163)="","",INDEX(Datos!$E$2:$E$1000,$J163)))</f>
        <v/>
      </c>
      <c r="C163" s="5" t="str">
        <f>IF($J163=0,"",IF(INDEX(Datos!$I$2:$I$1000,$J163)="","",INDEX(Datos!$I$2:$I$1000,$J163)))</f>
        <v/>
      </c>
      <c r="D163" s="6" t="str">
        <f>IF($J163=0,"",IF(INDEX(Datos!$F$2:$F$1000,$J163)="","",INDEX(Datos!$F$2:$F$1000,$J163)))</f>
        <v/>
      </c>
      <c r="E163" s="7" t="str">
        <f>IF($J163=0,"",IF(INDEX(Datos!$H$2:$H$1000,$J163)="","",INDEX(Datos!$H$2:$H$1000,$J163)))</f>
        <v/>
      </c>
      <c r="F163" s="6" t="str">
        <f>IF($J163=0,"",IF(INDEX(Datos!$N$2:$N$1000,$J163)="","",INDEX(Datos!$N$2:$N$1000,$J163)))</f>
        <v/>
      </c>
      <c r="G163" s="8" t="str">
        <f>IF($J163=0,"",IF(INDEX(Datos!$M$2:$M$1000,$J163)="","",INDEX(Datos!$M$2:$M$1000,$J163)))</f>
        <v/>
      </c>
      <c r="H163" s="6" t="str">
        <f>IF($J163=0,"",INDEX(Datos!$J$2:$J$1000,$J163)&amp;IF(INDEX(Datos!$Q$2:$Q$1000,$J163)="",""," | "&amp;INDEX(Datos!$Q$2:$Q$1000,$J163)))</f>
        <v/>
      </c>
      <c r="J163">
        <f>IFERROR(MATCH(ROW()-17,Datos!$W$2:$W$1000,0),0)</f>
        <v>0</v>
      </c>
    </row>
    <row r="164" spans="1:10" ht="82" customHeight="1" x14ac:dyDescent="0.35">
      <c r="A164" s="4" t="str">
        <f>IF($J164=0,"",IF(INDEX(Datos!$A$2:$A$1000,$J164)="","",INDEX(Datos!$A$2:$A$1000,$J164)))</f>
        <v/>
      </c>
      <c r="B164" s="5" t="str">
        <f>IF($J164=0,"",IF(INDEX(Datos!$E$2:$E$1000,$J164)="","",INDEX(Datos!$E$2:$E$1000,$J164)))</f>
        <v/>
      </c>
      <c r="C164" s="5" t="str">
        <f>IF($J164=0,"",IF(INDEX(Datos!$I$2:$I$1000,$J164)="","",INDEX(Datos!$I$2:$I$1000,$J164)))</f>
        <v/>
      </c>
      <c r="D164" s="6" t="str">
        <f>IF($J164=0,"",IF(INDEX(Datos!$F$2:$F$1000,$J164)="","",INDEX(Datos!$F$2:$F$1000,$J164)))</f>
        <v/>
      </c>
      <c r="E164" s="7" t="str">
        <f>IF($J164=0,"",IF(INDEX(Datos!$H$2:$H$1000,$J164)="","",INDEX(Datos!$H$2:$H$1000,$J164)))</f>
        <v/>
      </c>
      <c r="F164" s="6" t="str">
        <f>IF($J164=0,"",IF(INDEX(Datos!$N$2:$N$1000,$J164)="","",INDEX(Datos!$N$2:$N$1000,$J164)))</f>
        <v/>
      </c>
      <c r="G164" s="8" t="str">
        <f>IF($J164=0,"",IF(INDEX(Datos!$M$2:$M$1000,$J164)="","",INDEX(Datos!$M$2:$M$1000,$J164)))</f>
        <v/>
      </c>
      <c r="H164" s="6" t="str">
        <f>IF($J164=0,"",INDEX(Datos!$J$2:$J$1000,$J164)&amp;IF(INDEX(Datos!$Q$2:$Q$1000,$J164)="",""," | "&amp;INDEX(Datos!$Q$2:$Q$1000,$J164)))</f>
        <v/>
      </c>
      <c r="J164">
        <f>IFERROR(MATCH(ROW()-17,Datos!$W$2:$W$1000,0),0)</f>
        <v>0</v>
      </c>
    </row>
    <row r="165" spans="1:10" ht="82" customHeight="1" x14ac:dyDescent="0.35">
      <c r="A165" s="4" t="str">
        <f>IF($J165=0,"",IF(INDEX(Datos!$A$2:$A$1000,$J165)="","",INDEX(Datos!$A$2:$A$1000,$J165)))</f>
        <v/>
      </c>
      <c r="B165" s="5" t="str">
        <f>IF($J165=0,"",IF(INDEX(Datos!$E$2:$E$1000,$J165)="","",INDEX(Datos!$E$2:$E$1000,$J165)))</f>
        <v/>
      </c>
      <c r="C165" s="5" t="str">
        <f>IF($J165=0,"",IF(INDEX(Datos!$I$2:$I$1000,$J165)="","",INDEX(Datos!$I$2:$I$1000,$J165)))</f>
        <v/>
      </c>
      <c r="D165" s="6" t="str">
        <f>IF($J165=0,"",IF(INDEX(Datos!$F$2:$F$1000,$J165)="","",INDEX(Datos!$F$2:$F$1000,$J165)))</f>
        <v/>
      </c>
      <c r="E165" s="7" t="str">
        <f>IF($J165=0,"",IF(INDEX(Datos!$H$2:$H$1000,$J165)="","",INDEX(Datos!$H$2:$H$1000,$J165)))</f>
        <v/>
      </c>
      <c r="F165" s="6" t="str">
        <f>IF($J165=0,"",IF(INDEX(Datos!$N$2:$N$1000,$J165)="","",INDEX(Datos!$N$2:$N$1000,$J165)))</f>
        <v/>
      </c>
      <c r="G165" s="8" t="str">
        <f>IF($J165=0,"",IF(INDEX(Datos!$M$2:$M$1000,$J165)="","",INDEX(Datos!$M$2:$M$1000,$J165)))</f>
        <v/>
      </c>
      <c r="H165" s="6" t="str">
        <f>IF($J165=0,"",INDEX(Datos!$J$2:$J$1000,$J165)&amp;IF(INDEX(Datos!$Q$2:$Q$1000,$J165)="",""," | "&amp;INDEX(Datos!$Q$2:$Q$1000,$J165)))</f>
        <v/>
      </c>
      <c r="J165">
        <f>IFERROR(MATCH(ROW()-17,Datos!$W$2:$W$1000,0),0)</f>
        <v>0</v>
      </c>
    </row>
    <row r="166" spans="1:10" ht="82" customHeight="1" x14ac:dyDescent="0.35">
      <c r="A166" s="4" t="str">
        <f>IF($J166=0,"",IF(INDEX(Datos!$A$2:$A$1000,$J166)="","",INDEX(Datos!$A$2:$A$1000,$J166)))</f>
        <v/>
      </c>
      <c r="B166" s="5" t="str">
        <f>IF($J166=0,"",IF(INDEX(Datos!$E$2:$E$1000,$J166)="","",INDEX(Datos!$E$2:$E$1000,$J166)))</f>
        <v/>
      </c>
      <c r="C166" s="5" t="str">
        <f>IF($J166=0,"",IF(INDEX(Datos!$I$2:$I$1000,$J166)="","",INDEX(Datos!$I$2:$I$1000,$J166)))</f>
        <v/>
      </c>
      <c r="D166" s="6" t="str">
        <f>IF($J166=0,"",IF(INDEX(Datos!$F$2:$F$1000,$J166)="","",INDEX(Datos!$F$2:$F$1000,$J166)))</f>
        <v/>
      </c>
      <c r="E166" s="7" t="str">
        <f>IF($J166=0,"",IF(INDEX(Datos!$H$2:$H$1000,$J166)="","",INDEX(Datos!$H$2:$H$1000,$J166)))</f>
        <v/>
      </c>
      <c r="F166" s="6" t="str">
        <f>IF($J166=0,"",IF(INDEX(Datos!$N$2:$N$1000,$J166)="","",INDEX(Datos!$N$2:$N$1000,$J166)))</f>
        <v/>
      </c>
      <c r="G166" s="8" t="str">
        <f>IF($J166=0,"",IF(INDEX(Datos!$M$2:$M$1000,$J166)="","",INDEX(Datos!$M$2:$M$1000,$J166)))</f>
        <v/>
      </c>
      <c r="H166" s="6" t="str">
        <f>IF($J166=0,"",INDEX(Datos!$J$2:$J$1000,$J166)&amp;IF(INDEX(Datos!$Q$2:$Q$1000,$J166)="",""," | "&amp;INDEX(Datos!$Q$2:$Q$1000,$J166)))</f>
        <v/>
      </c>
      <c r="J166">
        <f>IFERROR(MATCH(ROW()-17,Datos!$W$2:$W$1000,0),0)</f>
        <v>0</v>
      </c>
    </row>
    <row r="167" spans="1:10" ht="82" customHeight="1" x14ac:dyDescent="0.35">
      <c r="A167" s="4" t="str">
        <f>IF($J167=0,"",IF(INDEX(Datos!$A$2:$A$1000,$J167)="","",INDEX(Datos!$A$2:$A$1000,$J167)))</f>
        <v/>
      </c>
      <c r="B167" s="5" t="str">
        <f>IF($J167=0,"",IF(INDEX(Datos!$E$2:$E$1000,$J167)="","",INDEX(Datos!$E$2:$E$1000,$J167)))</f>
        <v/>
      </c>
      <c r="C167" s="5" t="str">
        <f>IF($J167=0,"",IF(INDEX(Datos!$I$2:$I$1000,$J167)="","",INDEX(Datos!$I$2:$I$1000,$J167)))</f>
        <v/>
      </c>
      <c r="D167" s="6" t="str">
        <f>IF($J167=0,"",IF(INDEX(Datos!$F$2:$F$1000,$J167)="","",INDEX(Datos!$F$2:$F$1000,$J167)))</f>
        <v/>
      </c>
      <c r="E167" s="7" t="str">
        <f>IF($J167=0,"",IF(INDEX(Datos!$H$2:$H$1000,$J167)="","",INDEX(Datos!$H$2:$H$1000,$J167)))</f>
        <v/>
      </c>
      <c r="F167" s="6" t="str">
        <f>IF($J167=0,"",IF(INDEX(Datos!$N$2:$N$1000,$J167)="","",INDEX(Datos!$N$2:$N$1000,$J167)))</f>
        <v/>
      </c>
      <c r="G167" s="8" t="str">
        <f>IF($J167=0,"",IF(INDEX(Datos!$M$2:$M$1000,$J167)="","",INDEX(Datos!$M$2:$M$1000,$J167)))</f>
        <v/>
      </c>
      <c r="H167" s="6" t="str">
        <f>IF($J167=0,"",INDEX(Datos!$J$2:$J$1000,$J167)&amp;IF(INDEX(Datos!$Q$2:$Q$1000,$J167)="",""," | "&amp;INDEX(Datos!$Q$2:$Q$1000,$J167)))</f>
        <v/>
      </c>
      <c r="J167">
        <f>IFERROR(MATCH(ROW()-17,Datos!$W$2:$W$1000,0),0)</f>
        <v>0</v>
      </c>
    </row>
    <row r="168" spans="1:10" ht="82" customHeight="1" x14ac:dyDescent="0.35">
      <c r="A168" s="4" t="str">
        <f>IF($J168=0,"",IF(INDEX(Datos!$A$2:$A$1000,$J168)="","",INDEX(Datos!$A$2:$A$1000,$J168)))</f>
        <v/>
      </c>
      <c r="B168" s="5" t="str">
        <f>IF($J168=0,"",IF(INDEX(Datos!$E$2:$E$1000,$J168)="","",INDEX(Datos!$E$2:$E$1000,$J168)))</f>
        <v/>
      </c>
      <c r="C168" s="5" t="str">
        <f>IF($J168=0,"",IF(INDEX(Datos!$I$2:$I$1000,$J168)="","",INDEX(Datos!$I$2:$I$1000,$J168)))</f>
        <v/>
      </c>
      <c r="D168" s="6" t="str">
        <f>IF($J168=0,"",IF(INDEX(Datos!$F$2:$F$1000,$J168)="","",INDEX(Datos!$F$2:$F$1000,$J168)))</f>
        <v/>
      </c>
      <c r="E168" s="7" t="str">
        <f>IF($J168=0,"",IF(INDEX(Datos!$H$2:$H$1000,$J168)="","",INDEX(Datos!$H$2:$H$1000,$J168)))</f>
        <v/>
      </c>
      <c r="F168" s="6" t="str">
        <f>IF($J168=0,"",IF(INDEX(Datos!$N$2:$N$1000,$J168)="","",INDEX(Datos!$N$2:$N$1000,$J168)))</f>
        <v/>
      </c>
      <c r="G168" s="8" t="str">
        <f>IF($J168=0,"",IF(INDEX(Datos!$M$2:$M$1000,$J168)="","",INDEX(Datos!$M$2:$M$1000,$J168)))</f>
        <v/>
      </c>
      <c r="H168" s="6" t="str">
        <f>IF($J168=0,"",INDEX(Datos!$J$2:$J$1000,$J168)&amp;IF(INDEX(Datos!$Q$2:$Q$1000,$J168)="",""," | "&amp;INDEX(Datos!$Q$2:$Q$1000,$J168)))</f>
        <v/>
      </c>
      <c r="J168">
        <f>IFERROR(MATCH(ROW()-17,Datos!$W$2:$W$1000,0),0)</f>
        <v>0</v>
      </c>
    </row>
    <row r="169" spans="1:10" ht="82" customHeight="1" x14ac:dyDescent="0.35">
      <c r="A169" s="4" t="str">
        <f>IF($J169=0,"",IF(INDEX(Datos!$A$2:$A$1000,$J169)="","",INDEX(Datos!$A$2:$A$1000,$J169)))</f>
        <v/>
      </c>
      <c r="B169" s="5" t="str">
        <f>IF($J169=0,"",IF(INDEX(Datos!$E$2:$E$1000,$J169)="","",INDEX(Datos!$E$2:$E$1000,$J169)))</f>
        <v/>
      </c>
      <c r="C169" s="5" t="str">
        <f>IF($J169=0,"",IF(INDEX(Datos!$I$2:$I$1000,$J169)="","",INDEX(Datos!$I$2:$I$1000,$J169)))</f>
        <v/>
      </c>
      <c r="D169" s="6" t="str">
        <f>IF($J169=0,"",IF(INDEX(Datos!$F$2:$F$1000,$J169)="","",INDEX(Datos!$F$2:$F$1000,$J169)))</f>
        <v/>
      </c>
      <c r="E169" s="7" t="str">
        <f>IF($J169=0,"",IF(INDEX(Datos!$H$2:$H$1000,$J169)="","",INDEX(Datos!$H$2:$H$1000,$J169)))</f>
        <v/>
      </c>
      <c r="F169" s="6" t="str">
        <f>IF($J169=0,"",IF(INDEX(Datos!$N$2:$N$1000,$J169)="","",INDEX(Datos!$N$2:$N$1000,$J169)))</f>
        <v/>
      </c>
      <c r="G169" s="8" t="str">
        <f>IF($J169=0,"",IF(INDEX(Datos!$M$2:$M$1000,$J169)="","",INDEX(Datos!$M$2:$M$1000,$J169)))</f>
        <v/>
      </c>
      <c r="H169" s="6" t="str">
        <f>IF($J169=0,"",INDEX(Datos!$J$2:$J$1000,$J169)&amp;IF(INDEX(Datos!$Q$2:$Q$1000,$J169)="",""," | "&amp;INDEX(Datos!$Q$2:$Q$1000,$J169)))</f>
        <v/>
      </c>
      <c r="J169">
        <f>IFERROR(MATCH(ROW()-17,Datos!$W$2:$W$1000,0),0)</f>
        <v>0</v>
      </c>
    </row>
    <row r="170" spans="1:10" ht="82" customHeight="1" x14ac:dyDescent="0.35">
      <c r="A170" s="4" t="str">
        <f>IF($J170=0,"",IF(INDEX(Datos!$A$2:$A$1000,$J170)="","",INDEX(Datos!$A$2:$A$1000,$J170)))</f>
        <v/>
      </c>
      <c r="B170" s="5" t="str">
        <f>IF($J170=0,"",IF(INDEX(Datos!$E$2:$E$1000,$J170)="","",INDEX(Datos!$E$2:$E$1000,$J170)))</f>
        <v/>
      </c>
      <c r="C170" s="5" t="str">
        <f>IF($J170=0,"",IF(INDEX(Datos!$I$2:$I$1000,$J170)="","",INDEX(Datos!$I$2:$I$1000,$J170)))</f>
        <v/>
      </c>
      <c r="D170" s="6" t="str">
        <f>IF($J170=0,"",IF(INDEX(Datos!$F$2:$F$1000,$J170)="","",INDEX(Datos!$F$2:$F$1000,$J170)))</f>
        <v/>
      </c>
      <c r="E170" s="7" t="str">
        <f>IF($J170=0,"",IF(INDEX(Datos!$H$2:$H$1000,$J170)="","",INDEX(Datos!$H$2:$H$1000,$J170)))</f>
        <v/>
      </c>
      <c r="F170" s="6" t="str">
        <f>IF($J170=0,"",IF(INDEX(Datos!$N$2:$N$1000,$J170)="","",INDEX(Datos!$N$2:$N$1000,$J170)))</f>
        <v/>
      </c>
      <c r="G170" s="8" t="str">
        <f>IF($J170=0,"",IF(INDEX(Datos!$M$2:$M$1000,$J170)="","",INDEX(Datos!$M$2:$M$1000,$J170)))</f>
        <v/>
      </c>
      <c r="H170" s="6" t="str">
        <f>IF($J170=0,"",INDEX(Datos!$J$2:$J$1000,$J170)&amp;IF(INDEX(Datos!$Q$2:$Q$1000,$J170)="",""," | "&amp;INDEX(Datos!$Q$2:$Q$1000,$J170)))</f>
        <v/>
      </c>
      <c r="J170">
        <f>IFERROR(MATCH(ROW()-17,Datos!$W$2:$W$1000,0),0)</f>
        <v>0</v>
      </c>
    </row>
    <row r="171" spans="1:10" ht="82" customHeight="1" x14ac:dyDescent="0.35">
      <c r="A171" s="4" t="str">
        <f>IF($J171=0,"",IF(INDEX(Datos!$A$2:$A$1000,$J171)="","",INDEX(Datos!$A$2:$A$1000,$J171)))</f>
        <v/>
      </c>
      <c r="B171" s="5" t="str">
        <f>IF($J171=0,"",IF(INDEX(Datos!$E$2:$E$1000,$J171)="","",INDEX(Datos!$E$2:$E$1000,$J171)))</f>
        <v/>
      </c>
      <c r="C171" s="5" t="str">
        <f>IF($J171=0,"",IF(INDEX(Datos!$I$2:$I$1000,$J171)="","",INDEX(Datos!$I$2:$I$1000,$J171)))</f>
        <v/>
      </c>
      <c r="D171" s="6" t="str">
        <f>IF($J171=0,"",IF(INDEX(Datos!$F$2:$F$1000,$J171)="","",INDEX(Datos!$F$2:$F$1000,$J171)))</f>
        <v/>
      </c>
      <c r="E171" s="7" t="str">
        <f>IF($J171=0,"",IF(INDEX(Datos!$H$2:$H$1000,$J171)="","",INDEX(Datos!$H$2:$H$1000,$J171)))</f>
        <v/>
      </c>
      <c r="F171" s="6" t="str">
        <f>IF($J171=0,"",IF(INDEX(Datos!$N$2:$N$1000,$J171)="","",INDEX(Datos!$N$2:$N$1000,$J171)))</f>
        <v/>
      </c>
      <c r="G171" s="8" t="str">
        <f>IF($J171=0,"",IF(INDEX(Datos!$M$2:$M$1000,$J171)="","",INDEX(Datos!$M$2:$M$1000,$J171)))</f>
        <v/>
      </c>
      <c r="H171" s="6" t="str">
        <f>IF($J171=0,"",INDEX(Datos!$J$2:$J$1000,$J171)&amp;IF(INDEX(Datos!$Q$2:$Q$1000,$J171)="",""," | "&amp;INDEX(Datos!$Q$2:$Q$1000,$J171)))</f>
        <v/>
      </c>
      <c r="J171">
        <f>IFERROR(MATCH(ROW()-17,Datos!$W$2:$W$1000,0),0)</f>
        <v>0</v>
      </c>
    </row>
    <row r="172" spans="1:10" ht="82" customHeight="1" x14ac:dyDescent="0.35">
      <c r="A172" s="4" t="str">
        <f>IF($J172=0,"",IF(INDEX(Datos!$A$2:$A$1000,$J172)="","",INDEX(Datos!$A$2:$A$1000,$J172)))</f>
        <v/>
      </c>
      <c r="B172" s="5" t="str">
        <f>IF($J172=0,"",IF(INDEX(Datos!$E$2:$E$1000,$J172)="","",INDEX(Datos!$E$2:$E$1000,$J172)))</f>
        <v/>
      </c>
      <c r="C172" s="5" t="str">
        <f>IF($J172=0,"",IF(INDEX(Datos!$I$2:$I$1000,$J172)="","",INDEX(Datos!$I$2:$I$1000,$J172)))</f>
        <v/>
      </c>
      <c r="D172" s="6" t="str">
        <f>IF($J172=0,"",IF(INDEX(Datos!$F$2:$F$1000,$J172)="","",INDEX(Datos!$F$2:$F$1000,$J172)))</f>
        <v/>
      </c>
      <c r="E172" s="7" t="str">
        <f>IF($J172=0,"",IF(INDEX(Datos!$H$2:$H$1000,$J172)="","",INDEX(Datos!$H$2:$H$1000,$J172)))</f>
        <v/>
      </c>
      <c r="F172" s="6" t="str">
        <f>IF($J172=0,"",IF(INDEX(Datos!$N$2:$N$1000,$J172)="","",INDEX(Datos!$N$2:$N$1000,$J172)))</f>
        <v/>
      </c>
      <c r="G172" s="8" t="str">
        <f>IF($J172=0,"",IF(INDEX(Datos!$M$2:$M$1000,$J172)="","",INDEX(Datos!$M$2:$M$1000,$J172)))</f>
        <v/>
      </c>
      <c r="H172" s="6" t="str">
        <f>IF($J172=0,"",INDEX(Datos!$J$2:$J$1000,$J172)&amp;IF(INDEX(Datos!$Q$2:$Q$1000,$J172)="",""," | "&amp;INDEX(Datos!$Q$2:$Q$1000,$J172)))</f>
        <v/>
      </c>
      <c r="J172">
        <f>IFERROR(MATCH(ROW()-17,Datos!$W$2:$W$1000,0),0)</f>
        <v>0</v>
      </c>
    </row>
    <row r="173" spans="1:10" ht="82" customHeight="1" x14ac:dyDescent="0.35">
      <c r="A173" s="4" t="str">
        <f>IF($J173=0,"",IF(INDEX(Datos!$A$2:$A$1000,$J173)="","",INDEX(Datos!$A$2:$A$1000,$J173)))</f>
        <v/>
      </c>
      <c r="B173" s="5" t="str">
        <f>IF($J173=0,"",IF(INDEX(Datos!$E$2:$E$1000,$J173)="","",INDEX(Datos!$E$2:$E$1000,$J173)))</f>
        <v/>
      </c>
      <c r="C173" s="5" t="str">
        <f>IF($J173=0,"",IF(INDEX(Datos!$I$2:$I$1000,$J173)="","",INDEX(Datos!$I$2:$I$1000,$J173)))</f>
        <v/>
      </c>
      <c r="D173" s="6" t="str">
        <f>IF($J173=0,"",IF(INDEX(Datos!$F$2:$F$1000,$J173)="","",INDEX(Datos!$F$2:$F$1000,$J173)))</f>
        <v/>
      </c>
      <c r="E173" s="7" t="str">
        <f>IF($J173=0,"",IF(INDEX(Datos!$H$2:$H$1000,$J173)="","",INDEX(Datos!$H$2:$H$1000,$J173)))</f>
        <v/>
      </c>
      <c r="F173" s="6" t="str">
        <f>IF($J173=0,"",IF(INDEX(Datos!$N$2:$N$1000,$J173)="","",INDEX(Datos!$N$2:$N$1000,$J173)))</f>
        <v/>
      </c>
      <c r="G173" s="8" t="str">
        <f>IF($J173=0,"",IF(INDEX(Datos!$M$2:$M$1000,$J173)="","",INDEX(Datos!$M$2:$M$1000,$J173)))</f>
        <v/>
      </c>
      <c r="H173" s="6" t="str">
        <f>IF($J173=0,"",INDEX(Datos!$J$2:$J$1000,$J173)&amp;IF(INDEX(Datos!$Q$2:$Q$1000,$J173)="",""," | "&amp;INDEX(Datos!$Q$2:$Q$1000,$J173)))</f>
        <v/>
      </c>
      <c r="J173">
        <f>IFERROR(MATCH(ROW()-17,Datos!$W$2:$W$1000,0),0)</f>
        <v>0</v>
      </c>
    </row>
    <row r="174" spans="1:10" ht="82" customHeight="1" x14ac:dyDescent="0.35">
      <c r="A174" s="4" t="str">
        <f>IF($J174=0,"",IF(INDEX(Datos!$A$2:$A$1000,$J174)="","",INDEX(Datos!$A$2:$A$1000,$J174)))</f>
        <v/>
      </c>
      <c r="B174" s="5" t="str">
        <f>IF($J174=0,"",IF(INDEX(Datos!$E$2:$E$1000,$J174)="","",INDEX(Datos!$E$2:$E$1000,$J174)))</f>
        <v/>
      </c>
      <c r="C174" s="5" t="str">
        <f>IF($J174=0,"",IF(INDEX(Datos!$I$2:$I$1000,$J174)="","",INDEX(Datos!$I$2:$I$1000,$J174)))</f>
        <v/>
      </c>
      <c r="D174" s="6" t="str">
        <f>IF($J174=0,"",IF(INDEX(Datos!$F$2:$F$1000,$J174)="","",INDEX(Datos!$F$2:$F$1000,$J174)))</f>
        <v/>
      </c>
      <c r="E174" s="7" t="str">
        <f>IF($J174=0,"",IF(INDEX(Datos!$H$2:$H$1000,$J174)="","",INDEX(Datos!$H$2:$H$1000,$J174)))</f>
        <v/>
      </c>
      <c r="F174" s="6" t="str">
        <f>IF($J174=0,"",IF(INDEX(Datos!$N$2:$N$1000,$J174)="","",INDEX(Datos!$N$2:$N$1000,$J174)))</f>
        <v/>
      </c>
      <c r="G174" s="8" t="str">
        <f>IF($J174=0,"",IF(INDEX(Datos!$M$2:$M$1000,$J174)="","",INDEX(Datos!$M$2:$M$1000,$J174)))</f>
        <v/>
      </c>
      <c r="H174" s="6" t="str">
        <f>IF($J174=0,"",INDEX(Datos!$J$2:$J$1000,$J174)&amp;IF(INDEX(Datos!$Q$2:$Q$1000,$J174)="",""," | "&amp;INDEX(Datos!$Q$2:$Q$1000,$J174)))</f>
        <v/>
      </c>
      <c r="J174">
        <f>IFERROR(MATCH(ROW()-17,Datos!$W$2:$W$1000,0),0)</f>
        <v>0</v>
      </c>
    </row>
    <row r="175" spans="1:10" ht="82" customHeight="1" x14ac:dyDescent="0.35">
      <c r="A175" s="4" t="str">
        <f>IF($J175=0,"",IF(INDEX(Datos!$A$2:$A$1000,$J175)="","",INDEX(Datos!$A$2:$A$1000,$J175)))</f>
        <v/>
      </c>
      <c r="B175" s="5" t="str">
        <f>IF($J175=0,"",IF(INDEX(Datos!$E$2:$E$1000,$J175)="","",INDEX(Datos!$E$2:$E$1000,$J175)))</f>
        <v/>
      </c>
      <c r="C175" s="5" t="str">
        <f>IF($J175=0,"",IF(INDEX(Datos!$I$2:$I$1000,$J175)="","",INDEX(Datos!$I$2:$I$1000,$J175)))</f>
        <v/>
      </c>
      <c r="D175" s="6" t="str">
        <f>IF($J175=0,"",IF(INDEX(Datos!$F$2:$F$1000,$J175)="","",INDEX(Datos!$F$2:$F$1000,$J175)))</f>
        <v/>
      </c>
      <c r="E175" s="7" t="str">
        <f>IF($J175=0,"",IF(INDEX(Datos!$H$2:$H$1000,$J175)="","",INDEX(Datos!$H$2:$H$1000,$J175)))</f>
        <v/>
      </c>
      <c r="F175" s="6" t="str">
        <f>IF($J175=0,"",IF(INDEX(Datos!$N$2:$N$1000,$J175)="","",INDEX(Datos!$N$2:$N$1000,$J175)))</f>
        <v/>
      </c>
      <c r="G175" s="8" t="str">
        <f>IF($J175=0,"",IF(INDEX(Datos!$M$2:$M$1000,$J175)="","",INDEX(Datos!$M$2:$M$1000,$J175)))</f>
        <v/>
      </c>
      <c r="H175" s="6" t="str">
        <f>IF($J175=0,"",INDEX(Datos!$J$2:$J$1000,$J175)&amp;IF(INDEX(Datos!$Q$2:$Q$1000,$J175)="",""," | "&amp;INDEX(Datos!$Q$2:$Q$1000,$J175)))</f>
        <v/>
      </c>
      <c r="J175">
        <f>IFERROR(MATCH(ROW()-17,Datos!$W$2:$W$1000,0),0)</f>
        <v>0</v>
      </c>
    </row>
    <row r="176" spans="1:10" ht="82" customHeight="1" x14ac:dyDescent="0.35">
      <c r="A176" s="4" t="str">
        <f>IF($J176=0,"",IF(INDEX(Datos!$A$2:$A$1000,$J176)="","",INDEX(Datos!$A$2:$A$1000,$J176)))</f>
        <v/>
      </c>
      <c r="B176" s="5" t="str">
        <f>IF($J176=0,"",IF(INDEX(Datos!$E$2:$E$1000,$J176)="","",INDEX(Datos!$E$2:$E$1000,$J176)))</f>
        <v/>
      </c>
      <c r="C176" s="5" t="str">
        <f>IF($J176=0,"",IF(INDEX(Datos!$I$2:$I$1000,$J176)="","",INDEX(Datos!$I$2:$I$1000,$J176)))</f>
        <v/>
      </c>
      <c r="D176" s="6" t="str">
        <f>IF($J176=0,"",IF(INDEX(Datos!$F$2:$F$1000,$J176)="","",INDEX(Datos!$F$2:$F$1000,$J176)))</f>
        <v/>
      </c>
      <c r="E176" s="7" t="str">
        <f>IF($J176=0,"",IF(INDEX(Datos!$H$2:$H$1000,$J176)="","",INDEX(Datos!$H$2:$H$1000,$J176)))</f>
        <v/>
      </c>
      <c r="F176" s="6" t="str">
        <f>IF($J176=0,"",IF(INDEX(Datos!$N$2:$N$1000,$J176)="","",INDEX(Datos!$N$2:$N$1000,$J176)))</f>
        <v/>
      </c>
      <c r="G176" s="8" t="str">
        <f>IF($J176=0,"",IF(INDEX(Datos!$M$2:$M$1000,$J176)="","",INDEX(Datos!$M$2:$M$1000,$J176)))</f>
        <v/>
      </c>
      <c r="H176" s="6" t="str">
        <f>IF($J176=0,"",INDEX(Datos!$J$2:$J$1000,$J176)&amp;IF(INDEX(Datos!$Q$2:$Q$1000,$J176)="",""," | "&amp;INDEX(Datos!$Q$2:$Q$1000,$J176)))</f>
        <v/>
      </c>
      <c r="J176">
        <f>IFERROR(MATCH(ROW()-17,Datos!$W$2:$W$1000,0),0)</f>
        <v>0</v>
      </c>
    </row>
    <row r="177" spans="1:10" ht="82" customHeight="1" x14ac:dyDescent="0.35">
      <c r="A177" s="4" t="str">
        <f>IF($J177=0,"",IF(INDEX(Datos!$A$2:$A$1000,$J177)="","",INDEX(Datos!$A$2:$A$1000,$J177)))</f>
        <v/>
      </c>
      <c r="B177" s="5" t="str">
        <f>IF($J177=0,"",IF(INDEX(Datos!$E$2:$E$1000,$J177)="","",INDEX(Datos!$E$2:$E$1000,$J177)))</f>
        <v/>
      </c>
      <c r="C177" s="5" t="str">
        <f>IF($J177=0,"",IF(INDEX(Datos!$I$2:$I$1000,$J177)="","",INDEX(Datos!$I$2:$I$1000,$J177)))</f>
        <v/>
      </c>
      <c r="D177" s="6" t="str">
        <f>IF($J177=0,"",IF(INDEX(Datos!$F$2:$F$1000,$J177)="","",INDEX(Datos!$F$2:$F$1000,$J177)))</f>
        <v/>
      </c>
      <c r="E177" s="7" t="str">
        <f>IF($J177=0,"",IF(INDEX(Datos!$H$2:$H$1000,$J177)="","",INDEX(Datos!$H$2:$H$1000,$J177)))</f>
        <v/>
      </c>
      <c r="F177" s="6" t="str">
        <f>IF($J177=0,"",IF(INDEX(Datos!$N$2:$N$1000,$J177)="","",INDEX(Datos!$N$2:$N$1000,$J177)))</f>
        <v/>
      </c>
      <c r="G177" s="8" t="str">
        <f>IF($J177=0,"",IF(INDEX(Datos!$M$2:$M$1000,$J177)="","",INDEX(Datos!$M$2:$M$1000,$J177)))</f>
        <v/>
      </c>
      <c r="H177" s="6" t="str">
        <f>IF($J177=0,"",INDEX(Datos!$J$2:$J$1000,$J177)&amp;IF(INDEX(Datos!$Q$2:$Q$1000,$J177)="",""," | "&amp;INDEX(Datos!$Q$2:$Q$1000,$J177)))</f>
        <v/>
      </c>
      <c r="J177">
        <f>IFERROR(MATCH(ROW()-17,Datos!$W$2:$W$1000,0),0)</f>
        <v>0</v>
      </c>
    </row>
    <row r="178" spans="1:10" ht="82" customHeight="1" x14ac:dyDescent="0.35">
      <c r="A178" s="4" t="str">
        <f>IF($J178=0,"",IF(INDEX(Datos!$A$2:$A$1000,$J178)="","",INDEX(Datos!$A$2:$A$1000,$J178)))</f>
        <v/>
      </c>
      <c r="B178" s="5" t="str">
        <f>IF($J178=0,"",IF(INDEX(Datos!$E$2:$E$1000,$J178)="","",INDEX(Datos!$E$2:$E$1000,$J178)))</f>
        <v/>
      </c>
      <c r="C178" s="5" t="str">
        <f>IF($J178=0,"",IF(INDEX(Datos!$I$2:$I$1000,$J178)="","",INDEX(Datos!$I$2:$I$1000,$J178)))</f>
        <v/>
      </c>
      <c r="D178" s="6" t="str">
        <f>IF($J178=0,"",IF(INDEX(Datos!$F$2:$F$1000,$J178)="","",INDEX(Datos!$F$2:$F$1000,$J178)))</f>
        <v/>
      </c>
      <c r="E178" s="7" t="str">
        <f>IF($J178=0,"",IF(INDEX(Datos!$H$2:$H$1000,$J178)="","",INDEX(Datos!$H$2:$H$1000,$J178)))</f>
        <v/>
      </c>
      <c r="F178" s="6" t="str">
        <f>IF($J178=0,"",IF(INDEX(Datos!$N$2:$N$1000,$J178)="","",INDEX(Datos!$N$2:$N$1000,$J178)))</f>
        <v/>
      </c>
      <c r="G178" s="8" t="str">
        <f>IF($J178=0,"",IF(INDEX(Datos!$M$2:$M$1000,$J178)="","",INDEX(Datos!$M$2:$M$1000,$J178)))</f>
        <v/>
      </c>
      <c r="H178" s="6" t="str">
        <f>IF($J178=0,"",INDEX(Datos!$J$2:$J$1000,$J178)&amp;IF(INDEX(Datos!$Q$2:$Q$1000,$J178)="",""," | "&amp;INDEX(Datos!$Q$2:$Q$1000,$J178)))</f>
        <v/>
      </c>
      <c r="J178">
        <f>IFERROR(MATCH(ROW()-17,Datos!$W$2:$W$1000,0),0)</f>
        <v>0</v>
      </c>
    </row>
    <row r="179" spans="1:10" ht="82" customHeight="1" x14ac:dyDescent="0.35">
      <c r="A179" s="4" t="str">
        <f>IF($J179=0,"",IF(INDEX(Datos!$A$2:$A$1000,$J179)="","",INDEX(Datos!$A$2:$A$1000,$J179)))</f>
        <v/>
      </c>
      <c r="B179" s="5" t="str">
        <f>IF($J179=0,"",IF(INDEX(Datos!$E$2:$E$1000,$J179)="","",INDEX(Datos!$E$2:$E$1000,$J179)))</f>
        <v/>
      </c>
      <c r="C179" s="5" t="str">
        <f>IF($J179=0,"",IF(INDEX(Datos!$I$2:$I$1000,$J179)="","",INDEX(Datos!$I$2:$I$1000,$J179)))</f>
        <v/>
      </c>
      <c r="D179" s="6" t="str">
        <f>IF($J179=0,"",IF(INDEX(Datos!$F$2:$F$1000,$J179)="","",INDEX(Datos!$F$2:$F$1000,$J179)))</f>
        <v/>
      </c>
      <c r="E179" s="7" t="str">
        <f>IF($J179=0,"",IF(INDEX(Datos!$H$2:$H$1000,$J179)="","",INDEX(Datos!$H$2:$H$1000,$J179)))</f>
        <v/>
      </c>
      <c r="F179" s="6" t="str">
        <f>IF($J179=0,"",IF(INDEX(Datos!$N$2:$N$1000,$J179)="","",INDEX(Datos!$N$2:$N$1000,$J179)))</f>
        <v/>
      </c>
      <c r="G179" s="8" t="str">
        <f>IF($J179=0,"",IF(INDEX(Datos!$M$2:$M$1000,$J179)="","",INDEX(Datos!$M$2:$M$1000,$J179)))</f>
        <v/>
      </c>
      <c r="H179" s="6" t="str">
        <f>IF($J179=0,"",INDEX(Datos!$J$2:$J$1000,$J179)&amp;IF(INDEX(Datos!$Q$2:$Q$1000,$J179)="",""," | "&amp;INDEX(Datos!$Q$2:$Q$1000,$J179)))</f>
        <v/>
      </c>
      <c r="J179">
        <f>IFERROR(MATCH(ROW()-17,Datos!$W$2:$W$1000,0),0)</f>
        <v>0</v>
      </c>
    </row>
    <row r="180" spans="1:10" ht="82" customHeight="1" x14ac:dyDescent="0.35">
      <c r="A180" s="4" t="str">
        <f>IF($J180=0,"",IF(INDEX(Datos!$A$2:$A$1000,$J180)="","",INDEX(Datos!$A$2:$A$1000,$J180)))</f>
        <v/>
      </c>
      <c r="B180" s="5" t="str">
        <f>IF($J180=0,"",IF(INDEX(Datos!$E$2:$E$1000,$J180)="","",INDEX(Datos!$E$2:$E$1000,$J180)))</f>
        <v/>
      </c>
      <c r="C180" s="5" t="str">
        <f>IF($J180=0,"",IF(INDEX(Datos!$I$2:$I$1000,$J180)="","",INDEX(Datos!$I$2:$I$1000,$J180)))</f>
        <v/>
      </c>
      <c r="D180" s="6" t="str">
        <f>IF($J180=0,"",IF(INDEX(Datos!$F$2:$F$1000,$J180)="","",INDEX(Datos!$F$2:$F$1000,$J180)))</f>
        <v/>
      </c>
      <c r="E180" s="7" t="str">
        <f>IF($J180=0,"",IF(INDEX(Datos!$H$2:$H$1000,$J180)="","",INDEX(Datos!$H$2:$H$1000,$J180)))</f>
        <v/>
      </c>
      <c r="F180" s="6" t="str">
        <f>IF($J180=0,"",IF(INDEX(Datos!$N$2:$N$1000,$J180)="","",INDEX(Datos!$N$2:$N$1000,$J180)))</f>
        <v/>
      </c>
      <c r="G180" s="8" t="str">
        <f>IF($J180=0,"",IF(INDEX(Datos!$M$2:$M$1000,$J180)="","",INDEX(Datos!$M$2:$M$1000,$J180)))</f>
        <v/>
      </c>
      <c r="H180" s="6" t="str">
        <f>IF($J180=0,"",INDEX(Datos!$J$2:$J$1000,$J180)&amp;IF(INDEX(Datos!$Q$2:$Q$1000,$J180)="",""," | "&amp;INDEX(Datos!$Q$2:$Q$1000,$J180)))</f>
        <v/>
      </c>
      <c r="J180">
        <f>IFERROR(MATCH(ROW()-17,Datos!$W$2:$W$1000,0),0)</f>
        <v>0</v>
      </c>
    </row>
    <row r="181" spans="1:10" ht="82" customHeight="1" x14ac:dyDescent="0.35">
      <c r="A181" s="4" t="str">
        <f>IF($J181=0,"",IF(INDEX(Datos!$A$2:$A$1000,$J181)="","",INDEX(Datos!$A$2:$A$1000,$J181)))</f>
        <v/>
      </c>
      <c r="B181" s="5" t="str">
        <f>IF($J181=0,"",IF(INDEX(Datos!$E$2:$E$1000,$J181)="","",INDEX(Datos!$E$2:$E$1000,$J181)))</f>
        <v/>
      </c>
      <c r="C181" s="5" t="str">
        <f>IF($J181=0,"",IF(INDEX(Datos!$I$2:$I$1000,$J181)="","",INDEX(Datos!$I$2:$I$1000,$J181)))</f>
        <v/>
      </c>
      <c r="D181" s="6" t="str">
        <f>IF($J181=0,"",IF(INDEX(Datos!$F$2:$F$1000,$J181)="","",INDEX(Datos!$F$2:$F$1000,$J181)))</f>
        <v/>
      </c>
      <c r="E181" s="7" t="str">
        <f>IF($J181=0,"",IF(INDEX(Datos!$H$2:$H$1000,$J181)="","",INDEX(Datos!$H$2:$H$1000,$J181)))</f>
        <v/>
      </c>
      <c r="F181" s="6" t="str">
        <f>IF($J181=0,"",IF(INDEX(Datos!$N$2:$N$1000,$J181)="","",INDEX(Datos!$N$2:$N$1000,$J181)))</f>
        <v/>
      </c>
      <c r="G181" s="8" t="str">
        <f>IF($J181=0,"",IF(INDEX(Datos!$M$2:$M$1000,$J181)="","",INDEX(Datos!$M$2:$M$1000,$J181)))</f>
        <v/>
      </c>
      <c r="H181" s="6" t="str">
        <f>IF($J181=0,"",INDEX(Datos!$J$2:$J$1000,$J181)&amp;IF(INDEX(Datos!$Q$2:$Q$1000,$J181)="",""," | "&amp;INDEX(Datos!$Q$2:$Q$1000,$J181)))</f>
        <v/>
      </c>
      <c r="J181">
        <f>IFERROR(MATCH(ROW()-17,Datos!$W$2:$W$1000,0),0)</f>
        <v>0</v>
      </c>
    </row>
    <row r="182" spans="1:10" ht="82" customHeight="1" x14ac:dyDescent="0.35">
      <c r="A182" s="4" t="str">
        <f>IF($J182=0,"",IF(INDEX(Datos!$A$2:$A$1000,$J182)="","",INDEX(Datos!$A$2:$A$1000,$J182)))</f>
        <v/>
      </c>
      <c r="B182" s="5" t="str">
        <f>IF($J182=0,"",IF(INDEX(Datos!$E$2:$E$1000,$J182)="","",INDEX(Datos!$E$2:$E$1000,$J182)))</f>
        <v/>
      </c>
      <c r="C182" s="5" t="str">
        <f>IF($J182=0,"",IF(INDEX(Datos!$I$2:$I$1000,$J182)="","",INDEX(Datos!$I$2:$I$1000,$J182)))</f>
        <v/>
      </c>
      <c r="D182" s="6" t="str">
        <f>IF($J182=0,"",IF(INDEX(Datos!$F$2:$F$1000,$J182)="","",INDEX(Datos!$F$2:$F$1000,$J182)))</f>
        <v/>
      </c>
      <c r="E182" s="7" t="str">
        <f>IF($J182=0,"",IF(INDEX(Datos!$H$2:$H$1000,$J182)="","",INDEX(Datos!$H$2:$H$1000,$J182)))</f>
        <v/>
      </c>
      <c r="F182" s="6" t="str">
        <f>IF($J182=0,"",IF(INDEX(Datos!$N$2:$N$1000,$J182)="","",INDEX(Datos!$N$2:$N$1000,$J182)))</f>
        <v/>
      </c>
      <c r="G182" s="8" t="str">
        <f>IF($J182=0,"",IF(INDEX(Datos!$M$2:$M$1000,$J182)="","",INDEX(Datos!$M$2:$M$1000,$J182)))</f>
        <v/>
      </c>
      <c r="H182" s="6" t="str">
        <f>IF($J182=0,"",INDEX(Datos!$J$2:$J$1000,$J182)&amp;IF(INDEX(Datos!$Q$2:$Q$1000,$J182)="",""," | "&amp;INDEX(Datos!$Q$2:$Q$1000,$J182)))</f>
        <v/>
      </c>
      <c r="J182">
        <f>IFERROR(MATCH(ROW()-17,Datos!$W$2:$W$1000,0),0)</f>
        <v>0</v>
      </c>
    </row>
    <row r="183" spans="1:10" ht="82" customHeight="1" x14ac:dyDescent="0.35">
      <c r="A183" s="4" t="str">
        <f>IF($J183=0,"",IF(INDEX(Datos!$A$2:$A$1000,$J183)="","",INDEX(Datos!$A$2:$A$1000,$J183)))</f>
        <v/>
      </c>
      <c r="B183" s="5" t="str">
        <f>IF($J183=0,"",IF(INDEX(Datos!$E$2:$E$1000,$J183)="","",INDEX(Datos!$E$2:$E$1000,$J183)))</f>
        <v/>
      </c>
      <c r="C183" s="5" t="str">
        <f>IF($J183=0,"",IF(INDEX(Datos!$I$2:$I$1000,$J183)="","",INDEX(Datos!$I$2:$I$1000,$J183)))</f>
        <v/>
      </c>
      <c r="D183" s="6" t="str">
        <f>IF($J183=0,"",IF(INDEX(Datos!$F$2:$F$1000,$J183)="","",INDEX(Datos!$F$2:$F$1000,$J183)))</f>
        <v/>
      </c>
      <c r="E183" s="7" t="str">
        <f>IF($J183=0,"",IF(INDEX(Datos!$H$2:$H$1000,$J183)="","",INDEX(Datos!$H$2:$H$1000,$J183)))</f>
        <v/>
      </c>
      <c r="F183" s="6" t="str">
        <f>IF($J183=0,"",IF(INDEX(Datos!$N$2:$N$1000,$J183)="","",INDEX(Datos!$N$2:$N$1000,$J183)))</f>
        <v/>
      </c>
      <c r="G183" s="8" t="str">
        <f>IF($J183=0,"",IF(INDEX(Datos!$M$2:$M$1000,$J183)="","",INDEX(Datos!$M$2:$M$1000,$J183)))</f>
        <v/>
      </c>
      <c r="H183" s="6" t="str">
        <f>IF($J183=0,"",INDEX(Datos!$J$2:$J$1000,$J183)&amp;IF(INDEX(Datos!$Q$2:$Q$1000,$J183)="",""," | "&amp;INDEX(Datos!$Q$2:$Q$1000,$J183)))</f>
        <v/>
      </c>
      <c r="J183">
        <f>IFERROR(MATCH(ROW()-17,Datos!$W$2:$W$1000,0),0)</f>
        <v>0</v>
      </c>
    </row>
    <row r="184" spans="1:10" ht="82" customHeight="1" x14ac:dyDescent="0.35">
      <c r="A184" s="4" t="str">
        <f>IF($J184=0,"",IF(INDEX(Datos!$A$2:$A$1000,$J184)="","",INDEX(Datos!$A$2:$A$1000,$J184)))</f>
        <v/>
      </c>
      <c r="B184" s="5" t="str">
        <f>IF($J184=0,"",IF(INDEX(Datos!$E$2:$E$1000,$J184)="","",INDEX(Datos!$E$2:$E$1000,$J184)))</f>
        <v/>
      </c>
      <c r="C184" s="5" t="str">
        <f>IF($J184=0,"",IF(INDEX(Datos!$I$2:$I$1000,$J184)="","",INDEX(Datos!$I$2:$I$1000,$J184)))</f>
        <v/>
      </c>
      <c r="D184" s="6" t="str">
        <f>IF($J184=0,"",IF(INDEX(Datos!$F$2:$F$1000,$J184)="","",INDEX(Datos!$F$2:$F$1000,$J184)))</f>
        <v/>
      </c>
      <c r="E184" s="7" t="str">
        <f>IF($J184=0,"",IF(INDEX(Datos!$H$2:$H$1000,$J184)="","",INDEX(Datos!$H$2:$H$1000,$J184)))</f>
        <v/>
      </c>
      <c r="F184" s="6" t="str">
        <f>IF($J184=0,"",IF(INDEX(Datos!$N$2:$N$1000,$J184)="","",INDEX(Datos!$N$2:$N$1000,$J184)))</f>
        <v/>
      </c>
      <c r="G184" s="8" t="str">
        <f>IF($J184=0,"",IF(INDEX(Datos!$M$2:$M$1000,$J184)="","",INDEX(Datos!$M$2:$M$1000,$J184)))</f>
        <v/>
      </c>
      <c r="H184" s="6" t="str">
        <f>IF($J184=0,"",INDEX(Datos!$J$2:$J$1000,$J184)&amp;IF(INDEX(Datos!$Q$2:$Q$1000,$J184)="",""," | "&amp;INDEX(Datos!$Q$2:$Q$1000,$J184)))</f>
        <v/>
      </c>
      <c r="J184">
        <f>IFERROR(MATCH(ROW()-17,Datos!$W$2:$W$1000,0),0)</f>
        <v>0</v>
      </c>
    </row>
    <row r="185" spans="1:10" ht="82" customHeight="1" x14ac:dyDescent="0.35">
      <c r="A185" s="4" t="str">
        <f>IF($J185=0,"",IF(INDEX(Datos!$A$2:$A$1000,$J185)="","",INDEX(Datos!$A$2:$A$1000,$J185)))</f>
        <v/>
      </c>
      <c r="B185" s="5" t="str">
        <f>IF($J185=0,"",IF(INDEX(Datos!$E$2:$E$1000,$J185)="","",INDEX(Datos!$E$2:$E$1000,$J185)))</f>
        <v/>
      </c>
      <c r="C185" s="5" t="str">
        <f>IF($J185=0,"",IF(INDEX(Datos!$I$2:$I$1000,$J185)="","",INDEX(Datos!$I$2:$I$1000,$J185)))</f>
        <v/>
      </c>
      <c r="D185" s="6" t="str">
        <f>IF($J185=0,"",IF(INDEX(Datos!$F$2:$F$1000,$J185)="","",INDEX(Datos!$F$2:$F$1000,$J185)))</f>
        <v/>
      </c>
      <c r="E185" s="7" t="str">
        <f>IF($J185=0,"",IF(INDEX(Datos!$H$2:$H$1000,$J185)="","",INDEX(Datos!$H$2:$H$1000,$J185)))</f>
        <v/>
      </c>
      <c r="F185" s="6" t="str">
        <f>IF($J185=0,"",IF(INDEX(Datos!$N$2:$N$1000,$J185)="","",INDEX(Datos!$N$2:$N$1000,$J185)))</f>
        <v/>
      </c>
      <c r="G185" s="8" t="str">
        <f>IF($J185=0,"",IF(INDEX(Datos!$M$2:$M$1000,$J185)="","",INDEX(Datos!$M$2:$M$1000,$J185)))</f>
        <v/>
      </c>
      <c r="H185" s="6" t="str">
        <f>IF($J185=0,"",INDEX(Datos!$J$2:$J$1000,$J185)&amp;IF(INDEX(Datos!$Q$2:$Q$1000,$J185)="",""," | "&amp;INDEX(Datos!$Q$2:$Q$1000,$J185)))</f>
        <v/>
      </c>
      <c r="J185">
        <f>IFERROR(MATCH(ROW()-17,Datos!$W$2:$W$1000,0),0)</f>
        <v>0</v>
      </c>
    </row>
    <row r="186" spans="1:10" ht="82" customHeight="1" x14ac:dyDescent="0.35">
      <c r="A186" s="4" t="str">
        <f>IF($J186=0,"",IF(INDEX(Datos!$A$2:$A$1000,$J186)="","",INDEX(Datos!$A$2:$A$1000,$J186)))</f>
        <v/>
      </c>
      <c r="B186" s="5" t="str">
        <f>IF($J186=0,"",IF(INDEX(Datos!$E$2:$E$1000,$J186)="","",INDEX(Datos!$E$2:$E$1000,$J186)))</f>
        <v/>
      </c>
      <c r="C186" s="5" t="str">
        <f>IF($J186=0,"",IF(INDEX(Datos!$I$2:$I$1000,$J186)="","",INDEX(Datos!$I$2:$I$1000,$J186)))</f>
        <v/>
      </c>
      <c r="D186" s="6" t="str">
        <f>IF($J186=0,"",IF(INDEX(Datos!$F$2:$F$1000,$J186)="","",INDEX(Datos!$F$2:$F$1000,$J186)))</f>
        <v/>
      </c>
      <c r="E186" s="7" t="str">
        <f>IF($J186=0,"",IF(INDEX(Datos!$H$2:$H$1000,$J186)="","",INDEX(Datos!$H$2:$H$1000,$J186)))</f>
        <v/>
      </c>
      <c r="F186" s="6" t="str">
        <f>IF($J186=0,"",IF(INDEX(Datos!$N$2:$N$1000,$J186)="","",INDEX(Datos!$N$2:$N$1000,$J186)))</f>
        <v/>
      </c>
      <c r="G186" s="8" t="str">
        <f>IF($J186=0,"",IF(INDEX(Datos!$M$2:$M$1000,$J186)="","",INDEX(Datos!$M$2:$M$1000,$J186)))</f>
        <v/>
      </c>
      <c r="H186" s="6" t="str">
        <f>IF($J186=0,"",INDEX(Datos!$J$2:$J$1000,$J186)&amp;IF(INDEX(Datos!$Q$2:$Q$1000,$J186)="",""," | "&amp;INDEX(Datos!$Q$2:$Q$1000,$J186)))</f>
        <v/>
      </c>
      <c r="J186">
        <f>IFERROR(MATCH(ROW()-17,Datos!$W$2:$W$1000,0),0)</f>
        <v>0</v>
      </c>
    </row>
    <row r="187" spans="1:10" ht="82" customHeight="1" x14ac:dyDescent="0.35">
      <c r="A187" s="4" t="str">
        <f>IF($J187=0,"",IF(INDEX(Datos!$A$2:$A$1000,$J187)="","",INDEX(Datos!$A$2:$A$1000,$J187)))</f>
        <v/>
      </c>
      <c r="B187" s="5" t="str">
        <f>IF($J187=0,"",IF(INDEX(Datos!$E$2:$E$1000,$J187)="","",INDEX(Datos!$E$2:$E$1000,$J187)))</f>
        <v/>
      </c>
      <c r="C187" s="5" t="str">
        <f>IF($J187=0,"",IF(INDEX(Datos!$I$2:$I$1000,$J187)="","",INDEX(Datos!$I$2:$I$1000,$J187)))</f>
        <v/>
      </c>
      <c r="D187" s="6" t="str">
        <f>IF($J187=0,"",IF(INDEX(Datos!$F$2:$F$1000,$J187)="","",INDEX(Datos!$F$2:$F$1000,$J187)))</f>
        <v/>
      </c>
      <c r="E187" s="7" t="str">
        <f>IF($J187=0,"",IF(INDEX(Datos!$H$2:$H$1000,$J187)="","",INDEX(Datos!$H$2:$H$1000,$J187)))</f>
        <v/>
      </c>
      <c r="F187" s="6" t="str">
        <f>IF($J187=0,"",IF(INDEX(Datos!$N$2:$N$1000,$J187)="","",INDEX(Datos!$N$2:$N$1000,$J187)))</f>
        <v/>
      </c>
      <c r="G187" s="8" t="str">
        <f>IF($J187=0,"",IF(INDEX(Datos!$M$2:$M$1000,$J187)="","",INDEX(Datos!$M$2:$M$1000,$J187)))</f>
        <v/>
      </c>
      <c r="H187" s="6" t="str">
        <f>IF($J187=0,"",INDEX(Datos!$J$2:$J$1000,$J187)&amp;IF(INDEX(Datos!$Q$2:$Q$1000,$J187)="",""," | "&amp;INDEX(Datos!$Q$2:$Q$1000,$J187)))</f>
        <v/>
      </c>
      <c r="J187">
        <f>IFERROR(MATCH(ROW()-17,Datos!$W$2:$W$1000,0),0)</f>
        <v>0</v>
      </c>
    </row>
    <row r="188" spans="1:10" ht="82" customHeight="1" x14ac:dyDescent="0.35">
      <c r="A188" s="4" t="str">
        <f>IF($J188=0,"",IF(INDEX(Datos!$A$2:$A$1000,$J188)="","",INDEX(Datos!$A$2:$A$1000,$J188)))</f>
        <v/>
      </c>
      <c r="B188" s="5" t="str">
        <f>IF($J188=0,"",IF(INDEX(Datos!$E$2:$E$1000,$J188)="","",INDEX(Datos!$E$2:$E$1000,$J188)))</f>
        <v/>
      </c>
      <c r="C188" s="5" t="str">
        <f>IF($J188=0,"",IF(INDEX(Datos!$I$2:$I$1000,$J188)="","",INDEX(Datos!$I$2:$I$1000,$J188)))</f>
        <v/>
      </c>
      <c r="D188" s="6" t="str">
        <f>IF($J188=0,"",IF(INDEX(Datos!$F$2:$F$1000,$J188)="","",INDEX(Datos!$F$2:$F$1000,$J188)))</f>
        <v/>
      </c>
      <c r="E188" s="7" t="str">
        <f>IF($J188=0,"",IF(INDEX(Datos!$H$2:$H$1000,$J188)="","",INDEX(Datos!$H$2:$H$1000,$J188)))</f>
        <v/>
      </c>
      <c r="F188" s="6" t="str">
        <f>IF($J188=0,"",IF(INDEX(Datos!$N$2:$N$1000,$J188)="","",INDEX(Datos!$N$2:$N$1000,$J188)))</f>
        <v/>
      </c>
      <c r="G188" s="8" t="str">
        <f>IF($J188=0,"",IF(INDEX(Datos!$M$2:$M$1000,$J188)="","",INDEX(Datos!$M$2:$M$1000,$J188)))</f>
        <v/>
      </c>
      <c r="H188" s="6" t="str">
        <f>IF($J188=0,"",INDEX(Datos!$J$2:$J$1000,$J188)&amp;IF(INDEX(Datos!$Q$2:$Q$1000,$J188)="",""," | "&amp;INDEX(Datos!$Q$2:$Q$1000,$J188)))</f>
        <v/>
      </c>
      <c r="J188">
        <f>IFERROR(MATCH(ROW()-17,Datos!$W$2:$W$1000,0),0)</f>
        <v>0</v>
      </c>
    </row>
    <row r="189" spans="1:10" ht="82" customHeight="1" x14ac:dyDescent="0.35">
      <c r="A189" s="4" t="str">
        <f>IF($J189=0,"",IF(INDEX(Datos!$A$2:$A$1000,$J189)="","",INDEX(Datos!$A$2:$A$1000,$J189)))</f>
        <v/>
      </c>
      <c r="B189" s="5" t="str">
        <f>IF($J189=0,"",IF(INDEX(Datos!$E$2:$E$1000,$J189)="","",INDEX(Datos!$E$2:$E$1000,$J189)))</f>
        <v/>
      </c>
      <c r="C189" s="5" t="str">
        <f>IF($J189=0,"",IF(INDEX(Datos!$I$2:$I$1000,$J189)="","",INDEX(Datos!$I$2:$I$1000,$J189)))</f>
        <v/>
      </c>
      <c r="D189" s="6" t="str">
        <f>IF($J189=0,"",IF(INDEX(Datos!$F$2:$F$1000,$J189)="","",INDEX(Datos!$F$2:$F$1000,$J189)))</f>
        <v/>
      </c>
      <c r="E189" s="7" t="str">
        <f>IF($J189=0,"",IF(INDEX(Datos!$H$2:$H$1000,$J189)="","",INDEX(Datos!$H$2:$H$1000,$J189)))</f>
        <v/>
      </c>
      <c r="F189" s="6" t="str">
        <f>IF($J189=0,"",IF(INDEX(Datos!$N$2:$N$1000,$J189)="","",INDEX(Datos!$N$2:$N$1000,$J189)))</f>
        <v/>
      </c>
      <c r="G189" s="8" t="str">
        <f>IF($J189=0,"",IF(INDEX(Datos!$M$2:$M$1000,$J189)="","",INDEX(Datos!$M$2:$M$1000,$J189)))</f>
        <v/>
      </c>
      <c r="H189" s="6" t="str">
        <f>IF($J189=0,"",INDEX(Datos!$J$2:$J$1000,$J189)&amp;IF(INDEX(Datos!$Q$2:$Q$1000,$J189)="",""," | "&amp;INDEX(Datos!$Q$2:$Q$1000,$J189)))</f>
        <v/>
      </c>
      <c r="J189">
        <f>IFERROR(MATCH(ROW()-17,Datos!$W$2:$W$1000,0),0)</f>
        <v>0</v>
      </c>
    </row>
    <row r="190" spans="1:10" ht="82" customHeight="1" x14ac:dyDescent="0.35">
      <c r="A190" s="4" t="str">
        <f>IF($J190=0,"",IF(INDEX(Datos!$A$2:$A$1000,$J190)="","",INDEX(Datos!$A$2:$A$1000,$J190)))</f>
        <v/>
      </c>
      <c r="B190" s="5" t="str">
        <f>IF($J190=0,"",IF(INDEX(Datos!$E$2:$E$1000,$J190)="","",INDEX(Datos!$E$2:$E$1000,$J190)))</f>
        <v/>
      </c>
      <c r="C190" s="5" t="str">
        <f>IF($J190=0,"",IF(INDEX(Datos!$I$2:$I$1000,$J190)="","",INDEX(Datos!$I$2:$I$1000,$J190)))</f>
        <v/>
      </c>
      <c r="D190" s="6" t="str">
        <f>IF($J190=0,"",IF(INDEX(Datos!$F$2:$F$1000,$J190)="","",INDEX(Datos!$F$2:$F$1000,$J190)))</f>
        <v/>
      </c>
      <c r="E190" s="7" t="str">
        <f>IF($J190=0,"",IF(INDEX(Datos!$H$2:$H$1000,$J190)="","",INDEX(Datos!$H$2:$H$1000,$J190)))</f>
        <v/>
      </c>
      <c r="F190" s="6" t="str">
        <f>IF($J190=0,"",IF(INDEX(Datos!$N$2:$N$1000,$J190)="","",INDEX(Datos!$N$2:$N$1000,$J190)))</f>
        <v/>
      </c>
      <c r="G190" s="8" t="str">
        <f>IF($J190=0,"",IF(INDEX(Datos!$M$2:$M$1000,$J190)="","",INDEX(Datos!$M$2:$M$1000,$J190)))</f>
        <v/>
      </c>
      <c r="H190" s="6" t="str">
        <f>IF($J190=0,"",INDEX(Datos!$J$2:$J$1000,$J190)&amp;IF(INDEX(Datos!$Q$2:$Q$1000,$J190)="",""," | "&amp;INDEX(Datos!$Q$2:$Q$1000,$J190)))</f>
        <v/>
      </c>
      <c r="J190">
        <f>IFERROR(MATCH(ROW()-17,Datos!$W$2:$W$1000,0),0)</f>
        <v>0</v>
      </c>
    </row>
    <row r="191" spans="1:10" ht="82" customHeight="1" x14ac:dyDescent="0.35">
      <c r="A191" s="4" t="str">
        <f>IF($J191=0,"",IF(INDEX(Datos!$A$2:$A$1000,$J191)="","",INDEX(Datos!$A$2:$A$1000,$J191)))</f>
        <v/>
      </c>
      <c r="B191" s="5" t="str">
        <f>IF($J191=0,"",IF(INDEX(Datos!$E$2:$E$1000,$J191)="","",INDEX(Datos!$E$2:$E$1000,$J191)))</f>
        <v/>
      </c>
      <c r="C191" s="5" t="str">
        <f>IF($J191=0,"",IF(INDEX(Datos!$I$2:$I$1000,$J191)="","",INDEX(Datos!$I$2:$I$1000,$J191)))</f>
        <v/>
      </c>
      <c r="D191" s="6" t="str">
        <f>IF($J191=0,"",IF(INDEX(Datos!$F$2:$F$1000,$J191)="","",INDEX(Datos!$F$2:$F$1000,$J191)))</f>
        <v/>
      </c>
      <c r="E191" s="7" t="str">
        <f>IF($J191=0,"",IF(INDEX(Datos!$H$2:$H$1000,$J191)="","",INDEX(Datos!$H$2:$H$1000,$J191)))</f>
        <v/>
      </c>
      <c r="F191" s="6" t="str">
        <f>IF($J191=0,"",IF(INDEX(Datos!$N$2:$N$1000,$J191)="","",INDEX(Datos!$N$2:$N$1000,$J191)))</f>
        <v/>
      </c>
      <c r="G191" s="8" t="str">
        <f>IF($J191=0,"",IF(INDEX(Datos!$M$2:$M$1000,$J191)="","",INDEX(Datos!$M$2:$M$1000,$J191)))</f>
        <v/>
      </c>
      <c r="H191" s="6" t="str">
        <f>IF($J191=0,"",INDEX(Datos!$J$2:$J$1000,$J191)&amp;IF(INDEX(Datos!$Q$2:$Q$1000,$J191)="",""," | "&amp;INDEX(Datos!$Q$2:$Q$1000,$J191)))</f>
        <v/>
      </c>
      <c r="J191">
        <f>IFERROR(MATCH(ROW()-17,Datos!$W$2:$W$1000,0),0)</f>
        <v>0</v>
      </c>
    </row>
    <row r="192" spans="1:10" ht="82" customHeight="1" x14ac:dyDescent="0.35">
      <c r="A192" s="4" t="str">
        <f>IF($J192=0,"",IF(INDEX(Datos!$A$2:$A$1000,$J192)="","",INDEX(Datos!$A$2:$A$1000,$J192)))</f>
        <v/>
      </c>
      <c r="B192" s="5" t="str">
        <f>IF($J192=0,"",IF(INDEX(Datos!$E$2:$E$1000,$J192)="","",INDEX(Datos!$E$2:$E$1000,$J192)))</f>
        <v/>
      </c>
      <c r="C192" s="5" t="str">
        <f>IF($J192=0,"",IF(INDEX(Datos!$I$2:$I$1000,$J192)="","",INDEX(Datos!$I$2:$I$1000,$J192)))</f>
        <v/>
      </c>
      <c r="D192" s="6" t="str">
        <f>IF($J192=0,"",IF(INDEX(Datos!$F$2:$F$1000,$J192)="","",INDEX(Datos!$F$2:$F$1000,$J192)))</f>
        <v/>
      </c>
      <c r="E192" s="7" t="str">
        <f>IF($J192=0,"",IF(INDEX(Datos!$H$2:$H$1000,$J192)="","",INDEX(Datos!$H$2:$H$1000,$J192)))</f>
        <v/>
      </c>
      <c r="F192" s="6" t="str">
        <f>IF($J192=0,"",IF(INDEX(Datos!$N$2:$N$1000,$J192)="","",INDEX(Datos!$N$2:$N$1000,$J192)))</f>
        <v/>
      </c>
      <c r="G192" s="8" t="str">
        <f>IF($J192=0,"",IF(INDEX(Datos!$M$2:$M$1000,$J192)="","",INDEX(Datos!$M$2:$M$1000,$J192)))</f>
        <v/>
      </c>
      <c r="H192" s="6" t="str">
        <f>IF($J192=0,"",INDEX(Datos!$J$2:$J$1000,$J192)&amp;IF(INDEX(Datos!$Q$2:$Q$1000,$J192)="",""," | "&amp;INDEX(Datos!$Q$2:$Q$1000,$J192)))</f>
        <v/>
      </c>
      <c r="J192">
        <f>IFERROR(MATCH(ROW()-17,Datos!$W$2:$W$1000,0),0)</f>
        <v>0</v>
      </c>
    </row>
    <row r="193" spans="1:10" ht="82" customHeight="1" x14ac:dyDescent="0.35">
      <c r="A193" s="4" t="str">
        <f>IF($J193=0,"",IF(INDEX(Datos!$A$2:$A$1000,$J193)="","",INDEX(Datos!$A$2:$A$1000,$J193)))</f>
        <v/>
      </c>
      <c r="B193" s="5" t="str">
        <f>IF($J193=0,"",IF(INDEX(Datos!$E$2:$E$1000,$J193)="","",INDEX(Datos!$E$2:$E$1000,$J193)))</f>
        <v/>
      </c>
      <c r="C193" s="5" t="str">
        <f>IF($J193=0,"",IF(INDEX(Datos!$I$2:$I$1000,$J193)="","",INDEX(Datos!$I$2:$I$1000,$J193)))</f>
        <v/>
      </c>
      <c r="D193" s="6" t="str">
        <f>IF($J193=0,"",IF(INDEX(Datos!$F$2:$F$1000,$J193)="","",INDEX(Datos!$F$2:$F$1000,$J193)))</f>
        <v/>
      </c>
      <c r="E193" s="7" t="str">
        <f>IF($J193=0,"",IF(INDEX(Datos!$H$2:$H$1000,$J193)="","",INDEX(Datos!$H$2:$H$1000,$J193)))</f>
        <v/>
      </c>
      <c r="F193" s="6" t="str">
        <f>IF($J193=0,"",IF(INDEX(Datos!$N$2:$N$1000,$J193)="","",INDEX(Datos!$N$2:$N$1000,$J193)))</f>
        <v/>
      </c>
      <c r="G193" s="8" t="str">
        <f>IF($J193=0,"",IF(INDEX(Datos!$M$2:$M$1000,$J193)="","",INDEX(Datos!$M$2:$M$1000,$J193)))</f>
        <v/>
      </c>
      <c r="H193" s="6" t="str">
        <f>IF($J193=0,"",INDEX(Datos!$J$2:$J$1000,$J193)&amp;IF(INDEX(Datos!$Q$2:$Q$1000,$J193)="",""," | "&amp;INDEX(Datos!$Q$2:$Q$1000,$J193)))</f>
        <v/>
      </c>
      <c r="J193">
        <f>IFERROR(MATCH(ROW()-17,Datos!$W$2:$W$1000,0),0)</f>
        <v>0</v>
      </c>
    </row>
    <row r="194" spans="1:10" ht="82" customHeight="1" x14ac:dyDescent="0.35">
      <c r="A194" s="4" t="str">
        <f>IF($J194=0,"",IF(INDEX(Datos!$A$2:$A$1000,$J194)="","",INDEX(Datos!$A$2:$A$1000,$J194)))</f>
        <v/>
      </c>
      <c r="B194" s="5" t="str">
        <f>IF($J194=0,"",IF(INDEX(Datos!$E$2:$E$1000,$J194)="","",INDEX(Datos!$E$2:$E$1000,$J194)))</f>
        <v/>
      </c>
      <c r="C194" s="5" t="str">
        <f>IF($J194=0,"",IF(INDEX(Datos!$I$2:$I$1000,$J194)="","",INDEX(Datos!$I$2:$I$1000,$J194)))</f>
        <v/>
      </c>
      <c r="D194" s="6" t="str">
        <f>IF($J194=0,"",IF(INDEX(Datos!$F$2:$F$1000,$J194)="","",INDEX(Datos!$F$2:$F$1000,$J194)))</f>
        <v/>
      </c>
      <c r="E194" s="7" t="str">
        <f>IF($J194=0,"",IF(INDEX(Datos!$H$2:$H$1000,$J194)="","",INDEX(Datos!$H$2:$H$1000,$J194)))</f>
        <v/>
      </c>
      <c r="F194" s="6" t="str">
        <f>IF($J194=0,"",IF(INDEX(Datos!$N$2:$N$1000,$J194)="","",INDEX(Datos!$N$2:$N$1000,$J194)))</f>
        <v/>
      </c>
      <c r="G194" s="8" t="str">
        <f>IF($J194=0,"",IF(INDEX(Datos!$M$2:$M$1000,$J194)="","",INDEX(Datos!$M$2:$M$1000,$J194)))</f>
        <v/>
      </c>
      <c r="H194" s="6" t="str">
        <f>IF($J194=0,"",INDEX(Datos!$J$2:$J$1000,$J194)&amp;IF(INDEX(Datos!$Q$2:$Q$1000,$J194)="",""," | "&amp;INDEX(Datos!$Q$2:$Q$1000,$J194)))</f>
        <v/>
      </c>
      <c r="J194">
        <f>IFERROR(MATCH(ROW()-17,Datos!$W$2:$W$1000,0),0)</f>
        <v>0</v>
      </c>
    </row>
    <row r="195" spans="1:10" ht="82" customHeight="1" x14ac:dyDescent="0.35">
      <c r="A195" s="4" t="str">
        <f>IF($J195=0,"",IF(INDEX(Datos!$A$2:$A$1000,$J195)="","",INDEX(Datos!$A$2:$A$1000,$J195)))</f>
        <v/>
      </c>
      <c r="B195" s="5" t="str">
        <f>IF($J195=0,"",IF(INDEX(Datos!$E$2:$E$1000,$J195)="","",INDEX(Datos!$E$2:$E$1000,$J195)))</f>
        <v/>
      </c>
      <c r="C195" s="5" t="str">
        <f>IF($J195=0,"",IF(INDEX(Datos!$I$2:$I$1000,$J195)="","",INDEX(Datos!$I$2:$I$1000,$J195)))</f>
        <v/>
      </c>
      <c r="D195" s="6" t="str">
        <f>IF($J195=0,"",IF(INDEX(Datos!$F$2:$F$1000,$J195)="","",INDEX(Datos!$F$2:$F$1000,$J195)))</f>
        <v/>
      </c>
      <c r="E195" s="7" t="str">
        <f>IF($J195=0,"",IF(INDEX(Datos!$H$2:$H$1000,$J195)="","",INDEX(Datos!$H$2:$H$1000,$J195)))</f>
        <v/>
      </c>
      <c r="F195" s="6" t="str">
        <f>IF($J195=0,"",IF(INDEX(Datos!$N$2:$N$1000,$J195)="","",INDEX(Datos!$N$2:$N$1000,$J195)))</f>
        <v/>
      </c>
      <c r="G195" s="8" t="str">
        <f>IF($J195=0,"",IF(INDEX(Datos!$M$2:$M$1000,$J195)="","",INDEX(Datos!$M$2:$M$1000,$J195)))</f>
        <v/>
      </c>
      <c r="H195" s="6" t="str">
        <f>IF($J195=0,"",INDEX(Datos!$J$2:$J$1000,$J195)&amp;IF(INDEX(Datos!$Q$2:$Q$1000,$J195)="",""," | "&amp;INDEX(Datos!$Q$2:$Q$1000,$J195)))</f>
        <v/>
      </c>
      <c r="J195">
        <f>IFERROR(MATCH(ROW()-17,Datos!$W$2:$W$1000,0),0)</f>
        <v>0</v>
      </c>
    </row>
    <row r="196" spans="1:10" ht="82" customHeight="1" x14ac:dyDescent="0.35">
      <c r="A196" s="4" t="str">
        <f>IF($J196=0,"",IF(INDEX(Datos!$A$2:$A$1000,$J196)="","",INDEX(Datos!$A$2:$A$1000,$J196)))</f>
        <v/>
      </c>
      <c r="B196" s="5" t="str">
        <f>IF($J196=0,"",IF(INDEX(Datos!$E$2:$E$1000,$J196)="","",INDEX(Datos!$E$2:$E$1000,$J196)))</f>
        <v/>
      </c>
      <c r="C196" s="5" t="str">
        <f>IF($J196=0,"",IF(INDEX(Datos!$I$2:$I$1000,$J196)="","",INDEX(Datos!$I$2:$I$1000,$J196)))</f>
        <v/>
      </c>
      <c r="D196" s="6" t="str">
        <f>IF($J196=0,"",IF(INDEX(Datos!$F$2:$F$1000,$J196)="","",INDEX(Datos!$F$2:$F$1000,$J196)))</f>
        <v/>
      </c>
      <c r="E196" s="7" t="str">
        <f>IF($J196=0,"",IF(INDEX(Datos!$H$2:$H$1000,$J196)="","",INDEX(Datos!$H$2:$H$1000,$J196)))</f>
        <v/>
      </c>
      <c r="F196" s="6" t="str">
        <f>IF($J196=0,"",IF(INDEX(Datos!$N$2:$N$1000,$J196)="","",INDEX(Datos!$N$2:$N$1000,$J196)))</f>
        <v/>
      </c>
      <c r="G196" s="8" t="str">
        <f>IF($J196=0,"",IF(INDEX(Datos!$M$2:$M$1000,$J196)="","",INDEX(Datos!$M$2:$M$1000,$J196)))</f>
        <v/>
      </c>
      <c r="H196" s="6" t="str">
        <f>IF($J196=0,"",INDEX(Datos!$J$2:$J$1000,$J196)&amp;IF(INDEX(Datos!$Q$2:$Q$1000,$J196)="",""," | "&amp;INDEX(Datos!$Q$2:$Q$1000,$J196)))</f>
        <v/>
      </c>
      <c r="J196">
        <f>IFERROR(MATCH(ROW()-17,Datos!$W$2:$W$1000,0),0)</f>
        <v>0</v>
      </c>
    </row>
    <row r="197" spans="1:10" ht="82" customHeight="1" x14ac:dyDescent="0.35">
      <c r="A197" s="4" t="str">
        <f>IF($J197=0,"",IF(INDEX(Datos!$A$2:$A$1000,$J197)="","",INDEX(Datos!$A$2:$A$1000,$J197)))</f>
        <v/>
      </c>
      <c r="B197" s="5" t="str">
        <f>IF($J197=0,"",IF(INDEX(Datos!$E$2:$E$1000,$J197)="","",INDEX(Datos!$E$2:$E$1000,$J197)))</f>
        <v/>
      </c>
      <c r="C197" s="5" t="str">
        <f>IF($J197=0,"",IF(INDEX(Datos!$I$2:$I$1000,$J197)="","",INDEX(Datos!$I$2:$I$1000,$J197)))</f>
        <v/>
      </c>
      <c r="D197" s="6" t="str">
        <f>IF($J197=0,"",IF(INDEX(Datos!$F$2:$F$1000,$J197)="","",INDEX(Datos!$F$2:$F$1000,$J197)))</f>
        <v/>
      </c>
      <c r="E197" s="7" t="str">
        <f>IF($J197=0,"",IF(INDEX(Datos!$H$2:$H$1000,$J197)="","",INDEX(Datos!$H$2:$H$1000,$J197)))</f>
        <v/>
      </c>
      <c r="F197" s="6" t="str">
        <f>IF($J197=0,"",IF(INDEX(Datos!$N$2:$N$1000,$J197)="","",INDEX(Datos!$N$2:$N$1000,$J197)))</f>
        <v/>
      </c>
      <c r="G197" s="8" t="str">
        <f>IF($J197=0,"",IF(INDEX(Datos!$M$2:$M$1000,$J197)="","",INDEX(Datos!$M$2:$M$1000,$J197)))</f>
        <v/>
      </c>
      <c r="H197" s="6" t="str">
        <f>IF($J197=0,"",INDEX(Datos!$J$2:$J$1000,$J197)&amp;IF(INDEX(Datos!$Q$2:$Q$1000,$J197)="",""," | "&amp;INDEX(Datos!$Q$2:$Q$1000,$J197)))</f>
        <v/>
      </c>
      <c r="J197">
        <f>IFERROR(MATCH(ROW()-17,Datos!$W$2:$W$1000,0),0)</f>
        <v>0</v>
      </c>
    </row>
    <row r="198" spans="1:10" ht="82" customHeight="1" x14ac:dyDescent="0.35">
      <c r="A198" s="4" t="str">
        <f>IF($J198=0,"",IF(INDEX(Datos!$A$2:$A$1000,$J198)="","",INDEX(Datos!$A$2:$A$1000,$J198)))</f>
        <v/>
      </c>
      <c r="B198" s="5" t="str">
        <f>IF($J198=0,"",IF(INDEX(Datos!$E$2:$E$1000,$J198)="","",INDEX(Datos!$E$2:$E$1000,$J198)))</f>
        <v/>
      </c>
      <c r="C198" s="5" t="str">
        <f>IF($J198=0,"",IF(INDEX(Datos!$I$2:$I$1000,$J198)="","",INDEX(Datos!$I$2:$I$1000,$J198)))</f>
        <v/>
      </c>
      <c r="D198" s="6" t="str">
        <f>IF($J198=0,"",IF(INDEX(Datos!$F$2:$F$1000,$J198)="","",INDEX(Datos!$F$2:$F$1000,$J198)))</f>
        <v/>
      </c>
      <c r="E198" s="7" t="str">
        <f>IF($J198=0,"",IF(INDEX(Datos!$H$2:$H$1000,$J198)="","",INDEX(Datos!$H$2:$H$1000,$J198)))</f>
        <v/>
      </c>
      <c r="F198" s="6" t="str">
        <f>IF($J198=0,"",IF(INDEX(Datos!$N$2:$N$1000,$J198)="","",INDEX(Datos!$N$2:$N$1000,$J198)))</f>
        <v/>
      </c>
      <c r="G198" s="8" t="str">
        <f>IF($J198=0,"",IF(INDEX(Datos!$M$2:$M$1000,$J198)="","",INDEX(Datos!$M$2:$M$1000,$J198)))</f>
        <v/>
      </c>
      <c r="H198" s="6" t="str">
        <f>IF($J198=0,"",INDEX(Datos!$J$2:$J$1000,$J198)&amp;IF(INDEX(Datos!$Q$2:$Q$1000,$J198)="",""," | "&amp;INDEX(Datos!$Q$2:$Q$1000,$J198)))</f>
        <v/>
      </c>
      <c r="J198">
        <f>IFERROR(MATCH(ROW()-17,Datos!$W$2:$W$1000,0),0)</f>
        <v>0</v>
      </c>
    </row>
    <row r="199" spans="1:10" ht="82" customHeight="1" x14ac:dyDescent="0.35">
      <c r="A199" s="4" t="str">
        <f>IF($J199=0,"",IF(INDEX(Datos!$A$2:$A$1000,$J199)="","",INDEX(Datos!$A$2:$A$1000,$J199)))</f>
        <v/>
      </c>
      <c r="B199" s="5" t="str">
        <f>IF($J199=0,"",IF(INDEX(Datos!$E$2:$E$1000,$J199)="","",INDEX(Datos!$E$2:$E$1000,$J199)))</f>
        <v/>
      </c>
      <c r="C199" s="5" t="str">
        <f>IF($J199=0,"",IF(INDEX(Datos!$I$2:$I$1000,$J199)="","",INDEX(Datos!$I$2:$I$1000,$J199)))</f>
        <v/>
      </c>
      <c r="D199" s="6" t="str">
        <f>IF($J199=0,"",IF(INDEX(Datos!$F$2:$F$1000,$J199)="","",INDEX(Datos!$F$2:$F$1000,$J199)))</f>
        <v/>
      </c>
      <c r="E199" s="7" t="str">
        <f>IF($J199=0,"",IF(INDEX(Datos!$H$2:$H$1000,$J199)="","",INDEX(Datos!$H$2:$H$1000,$J199)))</f>
        <v/>
      </c>
      <c r="F199" s="6" t="str">
        <f>IF($J199=0,"",IF(INDEX(Datos!$N$2:$N$1000,$J199)="","",INDEX(Datos!$N$2:$N$1000,$J199)))</f>
        <v/>
      </c>
      <c r="G199" s="8" t="str">
        <f>IF($J199=0,"",IF(INDEX(Datos!$M$2:$M$1000,$J199)="","",INDEX(Datos!$M$2:$M$1000,$J199)))</f>
        <v/>
      </c>
      <c r="H199" s="6" t="str">
        <f>IF($J199=0,"",INDEX(Datos!$J$2:$J$1000,$J199)&amp;IF(INDEX(Datos!$Q$2:$Q$1000,$J199)="",""," | "&amp;INDEX(Datos!$Q$2:$Q$1000,$J199)))</f>
        <v/>
      </c>
      <c r="J199">
        <f>IFERROR(MATCH(ROW()-17,Datos!$W$2:$W$1000,0),0)</f>
        <v>0</v>
      </c>
    </row>
    <row r="200" spans="1:10" ht="82" customHeight="1" x14ac:dyDescent="0.35">
      <c r="A200" s="4" t="str">
        <f>IF($J200=0,"",IF(INDEX(Datos!$A$2:$A$1000,$J200)="","",INDEX(Datos!$A$2:$A$1000,$J200)))</f>
        <v/>
      </c>
      <c r="B200" s="5" t="str">
        <f>IF($J200=0,"",IF(INDEX(Datos!$E$2:$E$1000,$J200)="","",INDEX(Datos!$E$2:$E$1000,$J200)))</f>
        <v/>
      </c>
      <c r="C200" s="5" t="str">
        <f>IF($J200=0,"",IF(INDEX(Datos!$I$2:$I$1000,$J200)="","",INDEX(Datos!$I$2:$I$1000,$J200)))</f>
        <v/>
      </c>
      <c r="D200" s="6" t="str">
        <f>IF($J200=0,"",IF(INDEX(Datos!$F$2:$F$1000,$J200)="","",INDEX(Datos!$F$2:$F$1000,$J200)))</f>
        <v/>
      </c>
      <c r="E200" s="7" t="str">
        <f>IF($J200=0,"",IF(INDEX(Datos!$H$2:$H$1000,$J200)="","",INDEX(Datos!$H$2:$H$1000,$J200)))</f>
        <v/>
      </c>
      <c r="F200" s="6" t="str">
        <f>IF($J200=0,"",IF(INDEX(Datos!$N$2:$N$1000,$J200)="","",INDEX(Datos!$N$2:$N$1000,$J200)))</f>
        <v/>
      </c>
      <c r="G200" s="8" t="str">
        <f>IF($J200=0,"",IF(INDEX(Datos!$M$2:$M$1000,$J200)="","",INDEX(Datos!$M$2:$M$1000,$J200)))</f>
        <v/>
      </c>
      <c r="H200" s="6" t="str">
        <f>IF($J200=0,"",INDEX(Datos!$J$2:$J$1000,$J200)&amp;IF(INDEX(Datos!$Q$2:$Q$1000,$J200)="",""," | "&amp;INDEX(Datos!$Q$2:$Q$1000,$J200)))</f>
        <v/>
      </c>
      <c r="J200">
        <f>IFERROR(MATCH(ROW()-17,Datos!$W$2:$W$1000,0),0)</f>
        <v>0</v>
      </c>
    </row>
    <row r="201" spans="1:10" ht="82" customHeight="1" x14ac:dyDescent="0.35">
      <c r="A201" s="4" t="str">
        <f>IF($J201=0,"",IF(INDEX(Datos!$A$2:$A$1000,$J201)="","",INDEX(Datos!$A$2:$A$1000,$J201)))</f>
        <v/>
      </c>
      <c r="B201" s="5" t="str">
        <f>IF($J201=0,"",IF(INDEX(Datos!$E$2:$E$1000,$J201)="","",INDEX(Datos!$E$2:$E$1000,$J201)))</f>
        <v/>
      </c>
      <c r="C201" s="5" t="str">
        <f>IF($J201=0,"",IF(INDEX(Datos!$I$2:$I$1000,$J201)="","",INDEX(Datos!$I$2:$I$1000,$J201)))</f>
        <v/>
      </c>
      <c r="D201" s="6" t="str">
        <f>IF($J201=0,"",IF(INDEX(Datos!$F$2:$F$1000,$J201)="","",INDEX(Datos!$F$2:$F$1000,$J201)))</f>
        <v/>
      </c>
      <c r="E201" s="7" t="str">
        <f>IF($J201=0,"",IF(INDEX(Datos!$H$2:$H$1000,$J201)="","",INDEX(Datos!$H$2:$H$1000,$J201)))</f>
        <v/>
      </c>
      <c r="F201" s="6" t="str">
        <f>IF($J201=0,"",IF(INDEX(Datos!$N$2:$N$1000,$J201)="","",INDEX(Datos!$N$2:$N$1000,$J201)))</f>
        <v/>
      </c>
      <c r="G201" s="8" t="str">
        <f>IF($J201=0,"",IF(INDEX(Datos!$M$2:$M$1000,$J201)="","",INDEX(Datos!$M$2:$M$1000,$J201)))</f>
        <v/>
      </c>
      <c r="H201" s="6" t="str">
        <f>IF($J201=0,"",INDEX(Datos!$J$2:$J$1000,$J201)&amp;IF(INDEX(Datos!$Q$2:$Q$1000,$J201)="",""," | "&amp;INDEX(Datos!$Q$2:$Q$1000,$J201)))</f>
        <v/>
      </c>
      <c r="J201">
        <f>IFERROR(MATCH(ROW()-17,Datos!$W$2:$W$1000,0),0)</f>
        <v>0</v>
      </c>
    </row>
    <row r="202" spans="1:10" ht="82" customHeight="1" x14ac:dyDescent="0.35">
      <c r="A202" s="4" t="str">
        <f>IF($J202=0,"",IF(INDEX(Datos!$A$2:$A$1000,$J202)="","",INDEX(Datos!$A$2:$A$1000,$J202)))</f>
        <v/>
      </c>
      <c r="B202" s="5" t="str">
        <f>IF($J202=0,"",IF(INDEX(Datos!$E$2:$E$1000,$J202)="","",INDEX(Datos!$E$2:$E$1000,$J202)))</f>
        <v/>
      </c>
      <c r="C202" s="5" t="str">
        <f>IF($J202=0,"",IF(INDEX(Datos!$I$2:$I$1000,$J202)="","",INDEX(Datos!$I$2:$I$1000,$J202)))</f>
        <v/>
      </c>
      <c r="D202" s="6" t="str">
        <f>IF($J202=0,"",IF(INDEX(Datos!$F$2:$F$1000,$J202)="","",INDEX(Datos!$F$2:$F$1000,$J202)))</f>
        <v/>
      </c>
      <c r="E202" s="7" t="str">
        <f>IF($J202=0,"",IF(INDEX(Datos!$H$2:$H$1000,$J202)="","",INDEX(Datos!$H$2:$H$1000,$J202)))</f>
        <v/>
      </c>
      <c r="F202" s="6" t="str">
        <f>IF($J202=0,"",IF(INDEX(Datos!$N$2:$N$1000,$J202)="","",INDEX(Datos!$N$2:$N$1000,$J202)))</f>
        <v/>
      </c>
      <c r="G202" s="8" t="str">
        <f>IF($J202=0,"",IF(INDEX(Datos!$M$2:$M$1000,$J202)="","",INDEX(Datos!$M$2:$M$1000,$J202)))</f>
        <v/>
      </c>
      <c r="H202" s="6" t="str">
        <f>IF($J202=0,"",INDEX(Datos!$J$2:$J$1000,$J202)&amp;IF(INDEX(Datos!$Q$2:$Q$1000,$J202)="",""," | "&amp;INDEX(Datos!$Q$2:$Q$1000,$J202)))</f>
        <v/>
      </c>
      <c r="J202">
        <f>IFERROR(MATCH(ROW()-17,Datos!$W$2:$W$1000,0),0)</f>
        <v>0</v>
      </c>
    </row>
    <row r="203" spans="1:10" ht="82" customHeight="1" x14ac:dyDescent="0.35">
      <c r="A203" s="4" t="str">
        <f>IF($J203=0,"",IF(INDEX(Datos!$A$2:$A$1000,$J203)="","",INDEX(Datos!$A$2:$A$1000,$J203)))</f>
        <v/>
      </c>
      <c r="B203" s="5" t="str">
        <f>IF($J203=0,"",IF(INDEX(Datos!$E$2:$E$1000,$J203)="","",INDEX(Datos!$E$2:$E$1000,$J203)))</f>
        <v/>
      </c>
      <c r="C203" s="5" t="str">
        <f>IF($J203=0,"",IF(INDEX(Datos!$I$2:$I$1000,$J203)="","",INDEX(Datos!$I$2:$I$1000,$J203)))</f>
        <v/>
      </c>
      <c r="D203" s="6" t="str">
        <f>IF($J203=0,"",IF(INDEX(Datos!$F$2:$F$1000,$J203)="","",INDEX(Datos!$F$2:$F$1000,$J203)))</f>
        <v/>
      </c>
      <c r="E203" s="7" t="str">
        <f>IF($J203=0,"",IF(INDEX(Datos!$H$2:$H$1000,$J203)="","",INDEX(Datos!$H$2:$H$1000,$J203)))</f>
        <v/>
      </c>
      <c r="F203" s="6" t="str">
        <f>IF($J203=0,"",IF(INDEX(Datos!$N$2:$N$1000,$J203)="","",INDEX(Datos!$N$2:$N$1000,$J203)))</f>
        <v/>
      </c>
      <c r="G203" s="8" t="str">
        <f>IF($J203=0,"",IF(INDEX(Datos!$M$2:$M$1000,$J203)="","",INDEX(Datos!$M$2:$M$1000,$J203)))</f>
        <v/>
      </c>
      <c r="H203" s="6" t="str">
        <f>IF($J203=0,"",INDEX(Datos!$J$2:$J$1000,$J203)&amp;IF(INDEX(Datos!$Q$2:$Q$1000,$J203)="",""," | "&amp;INDEX(Datos!$Q$2:$Q$1000,$J203)))</f>
        <v/>
      </c>
      <c r="J203">
        <f>IFERROR(MATCH(ROW()-17,Datos!$W$2:$W$1000,0),0)</f>
        <v>0</v>
      </c>
    </row>
    <row r="204" spans="1:10" ht="82" customHeight="1" x14ac:dyDescent="0.35">
      <c r="A204" s="4" t="str">
        <f>IF($J204=0,"",IF(INDEX(Datos!$A$2:$A$1000,$J204)="","",INDEX(Datos!$A$2:$A$1000,$J204)))</f>
        <v/>
      </c>
      <c r="B204" s="5" t="str">
        <f>IF($J204=0,"",IF(INDEX(Datos!$E$2:$E$1000,$J204)="","",INDEX(Datos!$E$2:$E$1000,$J204)))</f>
        <v/>
      </c>
      <c r="C204" s="5" t="str">
        <f>IF($J204=0,"",IF(INDEX(Datos!$I$2:$I$1000,$J204)="","",INDEX(Datos!$I$2:$I$1000,$J204)))</f>
        <v/>
      </c>
      <c r="D204" s="6" t="str">
        <f>IF($J204=0,"",IF(INDEX(Datos!$F$2:$F$1000,$J204)="","",INDEX(Datos!$F$2:$F$1000,$J204)))</f>
        <v/>
      </c>
      <c r="E204" s="7" t="str">
        <f>IF($J204=0,"",IF(INDEX(Datos!$H$2:$H$1000,$J204)="","",INDEX(Datos!$H$2:$H$1000,$J204)))</f>
        <v/>
      </c>
      <c r="F204" s="6" t="str">
        <f>IF($J204=0,"",IF(INDEX(Datos!$N$2:$N$1000,$J204)="","",INDEX(Datos!$N$2:$N$1000,$J204)))</f>
        <v/>
      </c>
      <c r="G204" s="8" t="str">
        <f>IF($J204=0,"",IF(INDEX(Datos!$M$2:$M$1000,$J204)="","",INDEX(Datos!$M$2:$M$1000,$J204)))</f>
        <v/>
      </c>
      <c r="H204" s="6" t="str">
        <f>IF($J204=0,"",INDEX(Datos!$J$2:$J$1000,$J204)&amp;IF(INDEX(Datos!$Q$2:$Q$1000,$J204)="",""," | "&amp;INDEX(Datos!$Q$2:$Q$1000,$J204)))</f>
        <v/>
      </c>
      <c r="J204">
        <f>IFERROR(MATCH(ROW()-17,Datos!$W$2:$W$1000,0),0)</f>
        <v>0</v>
      </c>
    </row>
    <row r="205" spans="1:10" ht="82" customHeight="1" x14ac:dyDescent="0.35">
      <c r="A205" s="4" t="str">
        <f>IF($J205=0,"",IF(INDEX(Datos!$A$2:$A$1000,$J205)="","",INDEX(Datos!$A$2:$A$1000,$J205)))</f>
        <v/>
      </c>
      <c r="B205" s="5" t="str">
        <f>IF($J205=0,"",IF(INDEX(Datos!$E$2:$E$1000,$J205)="","",INDEX(Datos!$E$2:$E$1000,$J205)))</f>
        <v/>
      </c>
      <c r="C205" s="5" t="str">
        <f>IF($J205=0,"",IF(INDEX(Datos!$I$2:$I$1000,$J205)="","",INDEX(Datos!$I$2:$I$1000,$J205)))</f>
        <v/>
      </c>
      <c r="D205" s="6" t="str">
        <f>IF($J205=0,"",IF(INDEX(Datos!$F$2:$F$1000,$J205)="","",INDEX(Datos!$F$2:$F$1000,$J205)))</f>
        <v/>
      </c>
      <c r="E205" s="7" t="str">
        <f>IF($J205=0,"",IF(INDEX(Datos!$H$2:$H$1000,$J205)="","",INDEX(Datos!$H$2:$H$1000,$J205)))</f>
        <v/>
      </c>
      <c r="F205" s="6" t="str">
        <f>IF($J205=0,"",IF(INDEX(Datos!$N$2:$N$1000,$J205)="","",INDEX(Datos!$N$2:$N$1000,$J205)))</f>
        <v/>
      </c>
      <c r="G205" s="8" t="str">
        <f>IF($J205=0,"",IF(INDEX(Datos!$M$2:$M$1000,$J205)="","",INDEX(Datos!$M$2:$M$1000,$J205)))</f>
        <v/>
      </c>
      <c r="H205" s="6" t="str">
        <f>IF($J205=0,"",INDEX(Datos!$J$2:$J$1000,$J205)&amp;IF(INDEX(Datos!$Q$2:$Q$1000,$J205)="",""," | "&amp;INDEX(Datos!$Q$2:$Q$1000,$J205)))</f>
        <v/>
      </c>
      <c r="J205">
        <f>IFERROR(MATCH(ROW()-17,Datos!$W$2:$W$1000,0),0)</f>
        <v>0</v>
      </c>
    </row>
    <row r="206" spans="1:10" ht="82" customHeight="1" x14ac:dyDescent="0.35">
      <c r="A206" s="4" t="str">
        <f>IF($J206=0,"",IF(INDEX(Datos!$A$2:$A$1000,$J206)="","",INDEX(Datos!$A$2:$A$1000,$J206)))</f>
        <v/>
      </c>
      <c r="B206" s="5" t="str">
        <f>IF($J206=0,"",IF(INDEX(Datos!$E$2:$E$1000,$J206)="","",INDEX(Datos!$E$2:$E$1000,$J206)))</f>
        <v/>
      </c>
      <c r="C206" s="5" t="str">
        <f>IF($J206=0,"",IF(INDEX(Datos!$I$2:$I$1000,$J206)="","",INDEX(Datos!$I$2:$I$1000,$J206)))</f>
        <v/>
      </c>
      <c r="D206" s="6" t="str">
        <f>IF($J206=0,"",IF(INDEX(Datos!$F$2:$F$1000,$J206)="","",INDEX(Datos!$F$2:$F$1000,$J206)))</f>
        <v/>
      </c>
      <c r="E206" s="7" t="str">
        <f>IF($J206=0,"",IF(INDEX(Datos!$H$2:$H$1000,$J206)="","",INDEX(Datos!$H$2:$H$1000,$J206)))</f>
        <v/>
      </c>
      <c r="F206" s="6" t="str">
        <f>IF($J206=0,"",IF(INDEX(Datos!$N$2:$N$1000,$J206)="","",INDEX(Datos!$N$2:$N$1000,$J206)))</f>
        <v/>
      </c>
      <c r="G206" s="8" t="str">
        <f>IF($J206=0,"",IF(INDEX(Datos!$M$2:$M$1000,$J206)="","",INDEX(Datos!$M$2:$M$1000,$J206)))</f>
        <v/>
      </c>
      <c r="H206" s="6" t="str">
        <f>IF($J206=0,"",INDEX(Datos!$J$2:$J$1000,$J206)&amp;IF(INDEX(Datos!$Q$2:$Q$1000,$J206)="",""," | "&amp;INDEX(Datos!$Q$2:$Q$1000,$J206)))</f>
        <v/>
      </c>
      <c r="J206">
        <f>IFERROR(MATCH(ROW()-17,Datos!$W$2:$W$1000,0),0)</f>
        <v>0</v>
      </c>
    </row>
    <row r="207" spans="1:10" ht="82" customHeight="1" x14ac:dyDescent="0.35">
      <c r="A207" s="4" t="str">
        <f>IF($J207=0,"",IF(INDEX(Datos!$A$2:$A$1000,$J207)="","",INDEX(Datos!$A$2:$A$1000,$J207)))</f>
        <v/>
      </c>
      <c r="B207" s="5" t="str">
        <f>IF($J207=0,"",IF(INDEX(Datos!$E$2:$E$1000,$J207)="","",INDEX(Datos!$E$2:$E$1000,$J207)))</f>
        <v/>
      </c>
      <c r="C207" s="5" t="str">
        <f>IF($J207=0,"",IF(INDEX(Datos!$I$2:$I$1000,$J207)="","",INDEX(Datos!$I$2:$I$1000,$J207)))</f>
        <v/>
      </c>
      <c r="D207" s="6" t="str">
        <f>IF($J207=0,"",IF(INDEX(Datos!$F$2:$F$1000,$J207)="","",INDEX(Datos!$F$2:$F$1000,$J207)))</f>
        <v/>
      </c>
      <c r="E207" s="7" t="str">
        <f>IF($J207=0,"",IF(INDEX(Datos!$H$2:$H$1000,$J207)="","",INDEX(Datos!$H$2:$H$1000,$J207)))</f>
        <v/>
      </c>
      <c r="F207" s="6" t="str">
        <f>IF($J207=0,"",IF(INDEX(Datos!$N$2:$N$1000,$J207)="","",INDEX(Datos!$N$2:$N$1000,$J207)))</f>
        <v/>
      </c>
      <c r="G207" s="8" t="str">
        <f>IF($J207=0,"",IF(INDEX(Datos!$M$2:$M$1000,$J207)="","",INDEX(Datos!$M$2:$M$1000,$J207)))</f>
        <v/>
      </c>
      <c r="H207" s="6" t="str">
        <f>IF($J207=0,"",INDEX(Datos!$J$2:$J$1000,$J207)&amp;IF(INDEX(Datos!$Q$2:$Q$1000,$J207)="",""," | "&amp;INDEX(Datos!$Q$2:$Q$1000,$J207)))</f>
        <v/>
      </c>
      <c r="J207">
        <f>IFERROR(MATCH(ROW()-17,Datos!$W$2:$W$1000,0),0)</f>
        <v>0</v>
      </c>
    </row>
    <row r="208" spans="1:10" ht="82" customHeight="1" x14ac:dyDescent="0.35">
      <c r="A208" s="4" t="str">
        <f>IF($J208=0,"",IF(INDEX(Datos!$A$2:$A$1000,$J208)="","",INDEX(Datos!$A$2:$A$1000,$J208)))</f>
        <v/>
      </c>
      <c r="B208" s="5" t="str">
        <f>IF($J208=0,"",IF(INDEX(Datos!$E$2:$E$1000,$J208)="","",INDEX(Datos!$E$2:$E$1000,$J208)))</f>
        <v/>
      </c>
      <c r="C208" s="5" t="str">
        <f>IF($J208=0,"",IF(INDEX(Datos!$I$2:$I$1000,$J208)="","",INDEX(Datos!$I$2:$I$1000,$J208)))</f>
        <v/>
      </c>
      <c r="D208" s="6" t="str">
        <f>IF($J208=0,"",IF(INDEX(Datos!$F$2:$F$1000,$J208)="","",INDEX(Datos!$F$2:$F$1000,$J208)))</f>
        <v/>
      </c>
      <c r="E208" s="7" t="str">
        <f>IF($J208=0,"",IF(INDEX(Datos!$H$2:$H$1000,$J208)="","",INDEX(Datos!$H$2:$H$1000,$J208)))</f>
        <v/>
      </c>
      <c r="F208" s="6" t="str">
        <f>IF($J208=0,"",IF(INDEX(Datos!$N$2:$N$1000,$J208)="","",INDEX(Datos!$N$2:$N$1000,$J208)))</f>
        <v/>
      </c>
      <c r="G208" s="8" t="str">
        <f>IF($J208=0,"",IF(INDEX(Datos!$M$2:$M$1000,$J208)="","",INDEX(Datos!$M$2:$M$1000,$J208)))</f>
        <v/>
      </c>
      <c r="H208" s="6" t="str">
        <f>IF($J208=0,"",INDEX(Datos!$J$2:$J$1000,$J208)&amp;IF(INDEX(Datos!$Q$2:$Q$1000,$J208)="",""," | "&amp;INDEX(Datos!$Q$2:$Q$1000,$J208)))</f>
        <v/>
      </c>
      <c r="J208">
        <f>IFERROR(MATCH(ROW()-17,Datos!$W$2:$W$1000,0),0)</f>
        <v>0</v>
      </c>
    </row>
    <row r="209" spans="1:10" ht="82" customHeight="1" x14ac:dyDescent="0.35">
      <c r="A209" s="4" t="str">
        <f>IF($J209=0,"",IF(INDEX(Datos!$A$2:$A$1000,$J209)="","",INDEX(Datos!$A$2:$A$1000,$J209)))</f>
        <v/>
      </c>
      <c r="B209" s="5" t="str">
        <f>IF($J209=0,"",IF(INDEX(Datos!$E$2:$E$1000,$J209)="","",INDEX(Datos!$E$2:$E$1000,$J209)))</f>
        <v/>
      </c>
      <c r="C209" s="5" t="str">
        <f>IF($J209=0,"",IF(INDEX(Datos!$I$2:$I$1000,$J209)="","",INDEX(Datos!$I$2:$I$1000,$J209)))</f>
        <v/>
      </c>
      <c r="D209" s="6" t="str">
        <f>IF($J209=0,"",IF(INDEX(Datos!$F$2:$F$1000,$J209)="","",INDEX(Datos!$F$2:$F$1000,$J209)))</f>
        <v/>
      </c>
      <c r="E209" s="7" t="str">
        <f>IF($J209=0,"",IF(INDEX(Datos!$H$2:$H$1000,$J209)="","",INDEX(Datos!$H$2:$H$1000,$J209)))</f>
        <v/>
      </c>
      <c r="F209" s="6" t="str">
        <f>IF($J209=0,"",IF(INDEX(Datos!$N$2:$N$1000,$J209)="","",INDEX(Datos!$N$2:$N$1000,$J209)))</f>
        <v/>
      </c>
      <c r="G209" s="8" t="str">
        <f>IF($J209=0,"",IF(INDEX(Datos!$M$2:$M$1000,$J209)="","",INDEX(Datos!$M$2:$M$1000,$J209)))</f>
        <v/>
      </c>
      <c r="H209" s="6" t="str">
        <f>IF($J209=0,"",INDEX(Datos!$J$2:$J$1000,$J209)&amp;IF(INDEX(Datos!$Q$2:$Q$1000,$J209)="",""," | "&amp;INDEX(Datos!$Q$2:$Q$1000,$J209)))</f>
        <v/>
      </c>
      <c r="J209">
        <f>IFERROR(MATCH(ROW()-17,Datos!$W$2:$W$1000,0),0)</f>
        <v>0</v>
      </c>
    </row>
    <row r="210" spans="1:10" ht="82" customHeight="1" x14ac:dyDescent="0.35">
      <c r="A210" s="4" t="str">
        <f>IF($J210=0,"",IF(INDEX(Datos!$A$2:$A$1000,$J210)="","",INDEX(Datos!$A$2:$A$1000,$J210)))</f>
        <v/>
      </c>
      <c r="B210" s="5" t="str">
        <f>IF($J210=0,"",IF(INDEX(Datos!$E$2:$E$1000,$J210)="","",INDEX(Datos!$E$2:$E$1000,$J210)))</f>
        <v/>
      </c>
      <c r="C210" s="5" t="str">
        <f>IF($J210=0,"",IF(INDEX(Datos!$I$2:$I$1000,$J210)="","",INDEX(Datos!$I$2:$I$1000,$J210)))</f>
        <v/>
      </c>
      <c r="D210" s="6" t="str">
        <f>IF($J210=0,"",IF(INDEX(Datos!$F$2:$F$1000,$J210)="","",INDEX(Datos!$F$2:$F$1000,$J210)))</f>
        <v/>
      </c>
      <c r="E210" s="7" t="str">
        <f>IF($J210=0,"",IF(INDEX(Datos!$H$2:$H$1000,$J210)="","",INDEX(Datos!$H$2:$H$1000,$J210)))</f>
        <v/>
      </c>
      <c r="F210" s="6" t="str">
        <f>IF($J210=0,"",IF(INDEX(Datos!$N$2:$N$1000,$J210)="","",INDEX(Datos!$N$2:$N$1000,$J210)))</f>
        <v/>
      </c>
      <c r="G210" s="8" t="str">
        <f>IF($J210=0,"",IF(INDEX(Datos!$M$2:$M$1000,$J210)="","",INDEX(Datos!$M$2:$M$1000,$J210)))</f>
        <v/>
      </c>
      <c r="H210" s="6" t="str">
        <f>IF($J210=0,"",INDEX(Datos!$J$2:$J$1000,$J210)&amp;IF(INDEX(Datos!$Q$2:$Q$1000,$J210)="",""," | "&amp;INDEX(Datos!$Q$2:$Q$1000,$J210)))</f>
        <v/>
      </c>
      <c r="J210">
        <f>IFERROR(MATCH(ROW()-17,Datos!$W$2:$W$1000,0),0)</f>
        <v>0</v>
      </c>
    </row>
    <row r="211" spans="1:10" ht="82" customHeight="1" x14ac:dyDescent="0.35">
      <c r="A211" s="4" t="str">
        <f>IF($J211=0,"",IF(INDEX(Datos!$A$2:$A$1000,$J211)="","",INDEX(Datos!$A$2:$A$1000,$J211)))</f>
        <v/>
      </c>
      <c r="B211" s="5" t="str">
        <f>IF($J211=0,"",IF(INDEX(Datos!$E$2:$E$1000,$J211)="","",INDEX(Datos!$E$2:$E$1000,$J211)))</f>
        <v/>
      </c>
      <c r="C211" s="5" t="str">
        <f>IF($J211=0,"",IF(INDEX(Datos!$I$2:$I$1000,$J211)="","",INDEX(Datos!$I$2:$I$1000,$J211)))</f>
        <v/>
      </c>
      <c r="D211" s="6" t="str">
        <f>IF($J211=0,"",IF(INDEX(Datos!$F$2:$F$1000,$J211)="","",INDEX(Datos!$F$2:$F$1000,$J211)))</f>
        <v/>
      </c>
      <c r="E211" s="7" t="str">
        <f>IF($J211=0,"",IF(INDEX(Datos!$H$2:$H$1000,$J211)="","",INDEX(Datos!$H$2:$H$1000,$J211)))</f>
        <v/>
      </c>
      <c r="F211" s="6" t="str">
        <f>IF($J211=0,"",IF(INDEX(Datos!$N$2:$N$1000,$J211)="","",INDEX(Datos!$N$2:$N$1000,$J211)))</f>
        <v/>
      </c>
      <c r="G211" s="8" t="str">
        <f>IF($J211=0,"",IF(INDEX(Datos!$M$2:$M$1000,$J211)="","",INDEX(Datos!$M$2:$M$1000,$J211)))</f>
        <v/>
      </c>
      <c r="H211" s="6" t="str">
        <f>IF($J211=0,"",INDEX(Datos!$J$2:$J$1000,$J211)&amp;IF(INDEX(Datos!$Q$2:$Q$1000,$J211)="",""," | "&amp;INDEX(Datos!$Q$2:$Q$1000,$J211)))</f>
        <v/>
      </c>
      <c r="J211">
        <f>IFERROR(MATCH(ROW()-17,Datos!$W$2:$W$1000,0),0)</f>
        <v>0</v>
      </c>
    </row>
    <row r="212" spans="1:10" ht="82" customHeight="1" x14ac:dyDescent="0.35">
      <c r="A212" s="4" t="str">
        <f>IF($J212=0,"",IF(INDEX(Datos!$A$2:$A$1000,$J212)="","",INDEX(Datos!$A$2:$A$1000,$J212)))</f>
        <v/>
      </c>
      <c r="B212" s="5" t="str">
        <f>IF($J212=0,"",IF(INDEX(Datos!$E$2:$E$1000,$J212)="","",INDEX(Datos!$E$2:$E$1000,$J212)))</f>
        <v/>
      </c>
      <c r="C212" s="5" t="str">
        <f>IF($J212=0,"",IF(INDEX(Datos!$I$2:$I$1000,$J212)="","",INDEX(Datos!$I$2:$I$1000,$J212)))</f>
        <v/>
      </c>
      <c r="D212" s="6" t="str">
        <f>IF($J212=0,"",IF(INDEX(Datos!$F$2:$F$1000,$J212)="","",INDEX(Datos!$F$2:$F$1000,$J212)))</f>
        <v/>
      </c>
      <c r="E212" s="7" t="str">
        <f>IF($J212=0,"",IF(INDEX(Datos!$H$2:$H$1000,$J212)="","",INDEX(Datos!$H$2:$H$1000,$J212)))</f>
        <v/>
      </c>
      <c r="F212" s="6" t="str">
        <f>IF($J212=0,"",IF(INDEX(Datos!$N$2:$N$1000,$J212)="","",INDEX(Datos!$N$2:$N$1000,$J212)))</f>
        <v/>
      </c>
      <c r="G212" s="8" t="str">
        <f>IF($J212=0,"",IF(INDEX(Datos!$M$2:$M$1000,$J212)="","",INDEX(Datos!$M$2:$M$1000,$J212)))</f>
        <v/>
      </c>
      <c r="H212" s="6" t="str">
        <f>IF($J212=0,"",INDEX(Datos!$J$2:$J$1000,$J212)&amp;IF(INDEX(Datos!$Q$2:$Q$1000,$J212)="",""," | "&amp;INDEX(Datos!$Q$2:$Q$1000,$J212)))</f>
        <v/>
      </c>
      <c r="J212">
        <f>IFERROR(MATCH(ROW()-17,Datos!$W$2:$W$1000,0),0)</f>
        <v>0</v>
      </c>
    </row>
    <row r="213" spans="1:10" ht="82" customHeight="1" x14ac:dyDescent="0.35">
      <c r="A213" s="4" t="str">
        <f>IF($J213=0,"",IF(INDEX(Datos!$A$2:$A$1000,$J213)="","",INDEX(Datos!$A$2:$A$1000,$J213)))</f>
        <v/>
      </c>
      <c r="B213" s="5" t="str">
        <f>IF($J213=0,"",IF(INDEX(Datos!$E$2:$E$1000,$J213)="","",INDEX(Datos!$E$2:$E$1000,$J213)))</f>
        <v/>
      </c>
      <c r="C213" s="5" t="str">
        <f>IF($J213=0,"",IF(INDEX(Datos!$I$2:$I$1000,$J213)="","",INDEX(Datos!$I$2:$I$1000,$J213)))</f>
        <v/>
      </c>
      <c r="D213" s="6" t="str">
        <f>IF($J213=0,"",IF(INDEX(Datos!$F$2:$F$1000,$J213)="","",INDEX(Datos!$F$2:$F$1000,$J213)))</f>
        <v/>
      </c>
      <c r="E213" s="7" t="str">
        <f>IF($J213=0,"",IF(INDEX(Datos!$H$2:$H$1000,$J213)="","",INDEX(Datos!$H$2:$H$1000,$J213)))</f>
        <v/>
      </c>
      <c r="F213" s="6" t="str">
        <f>IF($J213=0,"",IF(INDEX(Datos!$N$2:$N$1000,$J213)="","",INDEX(Datos!$N$2:$N$1000,$J213)))</f>
        <v/>
      </c>
      <c r="G213" s="8" t="str">
        <f>IF($J213=0,"",IF(INDEX(Datos!$M$2:$M$1000,$J213)="","",INDEX(Datos!$M$2:$M$1000,$J213)))</f>
        <v/>
      </c>
      <c r="H213" s="6" t="str">
        <f>IF($J213=0,"",INDEX(Datos!$J$2:$J$1000,$J213)&amp;IF(INDEX(Datos!$Q$2:$Q$1000,$J213)="",""," | "&amp;INDEX(Datos!$Q$2:$Q$1000,$J213)))</f>
        <v/>
      </c>
      <c r="J213">
        <f>IFERROR(MATCH(ROW()-17,Datos!$W$2:$W$1000,0),0)</f>
        <v>0</v>
      </c>
    </row>
    <row r="214" spans="1:10" ht="82" customHeight="1" x14ac:dyDescent="0.35">
      <c r="A214" s="4" t="str">
        <f>IF($J214=0,"",IF(INDEX(Datos!$A$2:$A$1000,$J214)="","",INDEX(Datos!$A$2:$A$1000,$J214)))</f>
        <v/>
      </c>
      <c r="B214" s="5" t="str">
        <f>IF($J214=0,"",IF(INDEX(Datos!$E$2:$E$1000,$J214)="","",INDEX(Datos!$E$2:$E$1000,$J214)))</f>
        <v/>
      </c>
      <c r="C214" s="5" t="str">
        <f>IF($J214=0,"",IF(INDEX(Datos!$I$2:$I$1000,$J214)="","",INDEX(Datos!$I$2:$I$1000,$J214)))</f>
        <v/>
      </c>
      <c r="D214" s="6" t="str">
        <f>IF($J214=0,"",IF(INDEX(Datos!$F$2:$F$1000,$J214)="","",INDEX(Datos!$F$2:$F$1000,$J214)))</f>
        <v/>
      </c>
      <c r="E214" s="7" t="str">
        <f>IF($J214=0,"",IF(INDEX(Datos!$H$2:$H$1000,$J214)="","",INDEX(Datos!$H$2:$H$1000,$J214)))</f>
        <v/>
      </c>
      <c r="F214" s="6" t="str">
        <f>IF($J214=0,"",IF(INDEX(Datos!$N$2:$N$1000,$J214)="","",INDEX(Datos!$N$2:$N$1000,$J214)))</f>
        <v/>
      </c>
      <c r="G214" s="8" t="str">
        <f>IF($J214=0,"",IF(INDEX(Datos!$M$2:$M$1000,$J214)="","",INDEX(Datos!$M$2:$M$1000,$J214)))</f>
        <v/>
      </c>
      <c r="H214" s="6" t="str">
        <f>IF($J214=0,"",INDEX(Datos!$J$2:$J$1000,$J214)&amp;IF(INDEX(Datos!$Q$2:$Q$1000,$J214)="",""," | "&amp;INDEX(Datos!$Q$2:$Q$1000,$J214)))</f>
        <v/>
      </c>
      <c r="J214">
        <f>IFERROR(MATCH(ROW()-17,Datos!$W$2:$W$1000,0),0)</f>
        <v>0</v>
      </c>
    </row>
    <row r="215" spans="1:10" ht="82" customHeight="1" x14ac:dyDescent="0.35">
      <c r="A215" s="4" t="str">
        <f>IF($J215=0,"",IF(INDEX(Datos!$A$2:$A$1000,$J215)="","",INDEX(Datos!$A$2:$A$1000,$J215)))</f>
        <v/>
      </c>
      <c r="B215" s="5" t="str">
        <f>IF($J215=0,"",IF(INDEX(Datos!$E$2:$E$1000,$J215)="","",INDEX(Datos!$E$2:$E$1000,$J215)))</f>
        <v/>
      </c>
      <c r="C215" s="5" t="str">
        <f>IF($J215=0,"",IF(INDEX(Datos!$I$2:$I$1000,$J215)="","",INDEX(Datos!$I$2:$I$1000,$J215)))</f>
        <v/>
      </c>
      <c r="D215" s="6" t="str">
        <f>IF($J215=0,"",IF(INDEX(Datos!$F$2:$F$1000,$J215)="","",INDEX(Datos!$F$2:$F$1000,$J215)))</f>
        <v/>
      </c>
      <c r="E215" s="7" t="str">
        <f>IF($J215=0,"",IF(INDEX(Datos!$H$2:$H$1000,$J215)="","",INDEX(Datos!$H$2:$H$1000,$J215)))</f>
        <v/>
      </c>
      <c r="F215" s="6" t="str">
        <f>IF($J215=0,"",IF(INDEX(Datos!$N$2:$N$1000,$J215)="","",INDEX(Datos!$N$2:$N$1000,$J215)))</f>
        <v/>
      </c>
      <c r="G215" s="8" t="str">
        <f>IF($J215=0,"",IF(INDEX(Datos!$M$2:$M$1000,$J215)="","",INDEX(Datos!$M$2:$M$1000,$J215)))</f>
        <v/>
      </c>
      <c r="H215" s="6" t="str">
        <f>IF($J215=0,"",INDEX(Datos!$J$2:$J$1000,$J215)&amp;IF(INDEX(Datos!$Q$2:$Q$1000,$J215)="",""," | "&amp;INDEX(Datos!$Q$2:$Q$1000,$J215)))</f>
        <v/>
      </c>
      <c r="J215">
        <f>IFERROR(MATCH(ROW()-17,Datos!$W$2:$W$1000,0),0)</f>
        <v>0</v>
      </c>
    </row>
    <row r="216" spans="1:10" ht="82" customHeight="1" x14ac:dyDescent="0.35">
      <c r="A216" s="4" t="str">
        <f>IF($J216=0,"",IF(INDEX(Datos!$A$2:$A$1000,$J216)="","",INDEX(Datos!$A$2:$A$1000,$J216)))</f>
        <v/>
      </c>
      <c r="B216" s="5" t="str">
        <f>IF($J216=0,"",IF(INDEX(Datos!$E$2:$E$1000,$J216)="","",INDEX(Datos!$E$2:$E$1000,$J216)))</f>
        <v/>
      </c>
      <c r="C216" s="5" t="str">
        <f>IF($J216=0,"",IF(INDEX(Datos!$I$2:$I$1000,$J216)="","",INDEX(Datos!$I$2:$I$1000,$J216)))</f>
        <v/>
      </c>
      <c r="D216" s="6" t="str">
        <f>IF($J216=0,"",IF(INDEX(Datos!$F$2:$F$1000,$J216)="","",INDEX(Datos!$F$2:$F$1000,$J216)))</f>
        <v/>
      </c>
      <c r="E216" s="7" t="str">
        <f>IF($J216=0,"",IF(INDEX(Datos!$H$2:$H$1000,$J216)="","",INDEX(Datos!$H$2:$H$1000,$J216)))</f>
        <v/>
      </c>
      <c r="F216" s="6" t="str">
        <f>IF($J216=0,"",IF(INDEX(Datos!$N$2:$N$1000,$J216)="","",INDEX(Datos!$N$2:$N$1000,$J216)))</f>
        <v/>
      </c>
      <c r="G216" s="8" t="str">
        <f>IF($J216=0,"",IF(INDEX(Datos!$M$2:$M$1000,$J216)="","",INDEX(Datos!$M$2:$M$1000,$J216)))</f>
        <v/>
      </c>
      <c r="H216" s="6" t="str">
        <f>IF($J216=0,"",INDEX(Datos!$J$2:$J$1000,$J216)&amp;IF(INDEX(Datos!$Q$2:$Q$1000,$J216)="",""," | "&amp;INDEX(Datos!$Q$2:$Q$1000,$J216)))</f>
        <v/>
      </c>
      <c r="J216">
        <f>IFERROR(MATCH(ROW()-17,Datos!$W$2:$W$1000,0),0)</f>
        <v>0</v>
      </c>
    </row>
    <row r="217" spans="1:10" ht="82" customHeight="1" x14ac:dyDescent="0.35">
      <c r="A217" s="4" t="str">
        <f>IF($J217=0,"",IF(INDEX(Datos!$A$2:$A$1000,$J217)="","",INDEX(Datos!$A$2:$A$1000,$J217)))</f>
        <v/>
      </c>
      <c r="B217" s="5" t="str">
        <f>IF($J217=0,"",IF(INDEX(Datos!$E$2:$E$1000,$J217)="","",INDEX(Datos!$E$2:$E$1000,$J217)))</f>
        <v/>
      </c>
      <c r="C217" s="5" t="str">
        <f>IF($J217=0,"",IF(INDEX(Datos!$I$2:$I$1000,$J217)="","",INDEX(Datos!$I$2:$I$1000,$J217)))</f>
        <v/>
      </c>
      <c r="D217" s="6" t="str">
        <f>IF($J217=0,"",IF(INDEX(Datos!$F$2:$F$1000,$J217)="","",INDEX(Datos!$F$2:$F$1000,$J217)))</f>
        <v/>
      </c>
      <c r="E217" s="7" t="str">
        <f>IF($J217=0,"",IF(INDEX(Datos!$H$2:$H$1000,$J217)="","",INDEX(Datos!$H$2:$H$1000,$J217)))</f>
        <v/>
      </c>
      <c r="F217" s="6" t="str">
        <f>IF($J217=0,"",IF(INDEX(Datos!$N$2:$N$1000,$J217)="","",INDEX(Datos!$N$2:$N$1000,$J217)))</f>
        <v/>
      </c>
      <c r="G217" s="8" t="str">
        <f>IF($J217=0,"",IF(INDEX(Datos!$M$2:$M$1000,$J217)="","",INDEX(Datos!$M$2:$M$1000,$J217)))</f>
        <v/>
      </c>
      <c r="H217" s="6" t="str">
        <f>IF($J217=0,"",INDEX(Datos!$J$2:$J$1000,$J217)&amp;IF(INDEX(Datos!$Q$2:$Q$1000,$J217)="",""," | "&amp;INDEX(Datos!$Q$2:$Q$1000,$J217)))</f>
        <v/>
      </c>
      <c r="J217">
        <f>IFERROR(MATCH(ROW()-17,Datos!$W$2:$W$1000,0),0)</f>
        <v>0</v>
      </c>
    </row>
    <row r="218" spans="1:10" ht="82" customHeight="1" x14ac:dyDescent="0.35">
      <c r="A218" s="4" t="str">
        <f>IF($J218=0,"",IF(INDEX(Datos!$A$2:$A$1000,$J218)="","",INDEX(Datos!$A$2:$A$1000,$J218)))</f>
        <v/>
      </c>
      <c r="B218" s="5" t="str">
        <f>IF($J218=0,"",IF(INDEX(Datos!$E$2:$E$1000,$J218)="","",INDEX(Datos!$E$2:$E$1000,$J218)))</f>
        <v/>
      </c>
      <c r="C218" s="5" t="str">
        <f>IF($J218=0,"",IF(INDEX(Datos!$I$2:$I$1000,$J218)="","",INDEX(Datos!$I$2:$I$1000,$J218)))</f>
        <v/>
      </c>
      <c r="D218" s="6" t="str">
        <f>IF($J218=0,"",IF(INDEX(Datos!$F$2:$F$1000,$J218)="","",INDEX(Datos!$F$2:$F$1000,$J218)))</f>
        <v/>
      </c>
      <c r="E218" s="7" t="str">
        <f>IF($J218=0,"",IF(INDEX(Datos!$H$2:$H$1000,$J218)="","",INDEX(Datos!$H$2:$H$1000,$J218)))</f>
        <v/>
      </c>
      <c r="F218" s="6" t="str">
        <f>IF($J218=0,"",IF(INDEX(Datos!$N$2:$N$1000,$J218)="","",INDEX(Datos!$N$2:$N$1000,$J218)))</f>
        <v/>
      </c>
      <c r="G218" s="8" t="str">
        <f>IF($J218=0,"",IF(INDEX(Datos!$M$2:$M$1000,$J218)="","",INDEX(Datos!$M$2:$M$1000,$J218)))</f>
        <v/>
      </c>
      <c r="H218" s="6" t="str">
        <f>IF($J218=0,"",INDEX(Datos!$J$2:$J$1000,$J218)&amp;IF(INDEX(Datos!$Q$2:$Q$1000,$J218)="",""," | "&amp;INDEX(Datos!$Q$2:$Q$1000,$J218)))</f>
        <v/>
      </c>
      <c r="J218">
        <f>IFERROR(MATCH(ROW()-17,Datos!$W$2:$W$1000,0),0)</f>
        <v>0</v>
      </c>
    </row>
    <row r="219" spans="1:10" ht="82" customHeight="1" x14ac:dyDescent="0.35">
      <c r="A219" s="4" t="str">
        <f>IF($J219=0,"",IF(INDEX(Datos!$A$2:$A$1000,$J219)="","",INDEX(Datos!$A$2:$A$1000,$J219)))</f>
        <v/>
      </c>
      <c r="B219" s="5" t="str">
        <f>IF($J219=0,"",IF(INDEX(Datos!$E$2:$E$1000,$J219)="","",INDEX(Datos!$E$2:$E$1000,$J219)))</f>
        <v/>
      </c>
      <c r="C219" s="5" t="str">
        <f>IF($J219=0,"",IF(INDEX(Datos!$I$2:$I$1000,$J219)="","",INDEX(Datos!$I$2:$I$1000,$J219)))</f>
        <v/>
      </c>
      <c r="D219" s="6" t="str">
        <f>IF($J219=0,"",IF(INDEX(Datos!$F$2:$F$1000,$J219)="","",INDEX(Datos!$F$2:$F$1000,$J219)))</f>
        <v/>
      </c>
      <c r="E219" s="7" t="str">
        <f>IF($J219=0,"",IF(INDEX(Datos!$H$2:$H$1000,$J219)="","",INDEX(Datos!$H$2:$H$1000,$J219)))</f>
        <v/>
      </c>
      <c r="F219" s="6" t="str">
        <f>IF($J219=0,"",IF(INDEX(Datos!$N$2:$N$1000,$J219)="","",INDEX(Datos!$N$2:$N$1000,$J219)))</f>
        <v/>
      </c>
      <c r="G219" s="8" t="str">
        <f>IF($J219=0,"",IF(INDEX(Datos!$M$2:$M$1000,$J219)="","",INDEX(Datos!$M$2:$M$1000,$J219)))</f>
        <v/>
      </c>
      <c r="H219" s="6" t="str">
        <f>IF($J219=0,"",INDEX(Datos!$J$2:$J$1000,$J219)&amp;IF(INDEX(Datos!$Q$2:$Q$1000,$J219)="",""," | "&amp;INDEX(Datos!$Q$2:$Q$1000,$J219)))</f>
        <v/>
      </c>
      <c r="J219">
        <f>IFERROR(MATCH(ROW()-17,Datos!$W$2:$W$1000,0),0)</f>
        <v>0</v>
      </c>
    </row>
    <row r="220" spans="1:10" ht="82" customHeight="1" x14ac:dyDescent="0.35">
      <c r="A220" s="4" t="str">
        <f>IF($J220=0,"",IF(INDEX(Datos!$A$2:$A$1000,$J220)="","",INDEX(Datos!$A$2:$A$1000,$J220)))</f>
        <v/>
      </c>
      <c r="B220" s="5" t="str">
        <f>IF($J220=0,"",IF(INDEX(Datos!$E$2:$E$1000,$J220)="","",INDEX(Datos!$E$2:$E$1000,$J220)))</f>
        <v/>
      </c>
      <c r="C220" s="5" t="str">
        <f>IF($J220=0,"",IF(INDEX(Datos!$I$2:$I$1000,$J220)="","",INDEX(Datos!$I$2:$I$1000,$J220)))</f>
        <v/>
      </c>
      <c r="D220" s="6" t="str">
        <f>IF($J220=0,"",IF(INDEX(Datos!$F$2:$F$1000,$J220)="","",INDEX(Datos!$F$2:$F$1000,$J220)))</f>
        <v/>
      </c>
      <c r="E220" s="7" t="str">
        <f>IF($J220=0,"",IF(INDEX(Datos!$H$2:$H$1000,$J220)="","",INDEX(Datos!$H$2:$H$1000,$J220)))</f>
        <v/>
      </c>
      <c r="F220" s="6" t="str">
        <f>IF($J220=0,"",IF(INDEX(Datos!$N$2:$N$1000,$J220)="","",INDEX(Datos!$N$2:$N$1000,$J220)))</f>
        <v/>
      </c>
      <c r="G220" s="8" t="str">
        <f>IF($J220=0,"",IF(INDEX(Datos!$M$2:$M$1000,$J220)="","",INDEX(Datos!$M$2:$M$1000,$J220)))</f>
        <v/>
      </c>
      <c r="H220" s="6" t="str">
        <f>IF($J220=0,"",INDEX(Datos!$J$2:$J$1000,$J220)&amp;IF(INDEX(Datos!$Q$2:$Q$1000,$J220)="",""," | "&amp;INDEX(Datos!$Q$2:$Q$1000,$J220)))</f>
        <v/>
      </c>
      <c r="J220">
        <f>IFERROR(MATCH(ROW()-17,Datos!$W$2:$W$1000,0),0)</f>
        <v>0</v>
      </c>
    </row>
    <row r="221" spans="1:10" ht="82" customHeight="1" x14ac:dyDescent="0.35">
      <c r="A221" s="4" t="str">
        <f>IF($J221=0,"",IF(INDEX(Datos!$A$2:$A$1000,$J221)="","",INDEX(Datos!$A$2:$A$1000,$J221)))</f>
        <v/>
      </c>
      <c r="B221" s="5" t="str">
        <f>IF($J221=0,"",IF(INDEX(Datos!$E$2:$E$1000,$J221)="","",INDEX(Datos!$E$2:$E$1000,$J221)))</f>
        <v/>
      </c>
      <c r="C221" s="5" t="str">
        <f>IF($J221=0,"",IF(INDEX(Datos!$I$2:$I$1000,$J221)="","",INDEX(Datos!$I$2:$I$1000,$J221)))</f>
        <v/>
      </c>
      <c r="D221" s="6" t="str">
        <f>IF($J221=0,"",IF(INDEX(Datos!$F$2:$F$1000,$J221)="","",INDEX(Datos!$F$2:$F$1000,$J221)))</f>
        <v/>
      </c>
      <c r="E221" s="7" t="str">
        <f>IF($J221=0,"",IF(INDEX(Datos!$H$2:$H$1000,$J221)="","",INDEX(Datos!$H$2:$H$1000,$J221)))</f>
        <v/>
      </c>
      <c r="F221" s="6" t="str">
        <f>IF($J221=0,"",IF(INDEX(Datos!$N$2:$N$1000,$J221)="","",INDEX(Datos!$N$2:$N$1000,$J221)))</f>
        <v/>
      </c>
      <c r="G221" s="8" t="str">
        <f>IF($J221=0,"",IF(INDEX(Datos!$M$2:$M$1000,$J221)="","",INDEX(Datos!$M$2:$M$1000,$J221)))</f>
        <v/>
      </c>
      <c r="H221" s="6" t="str">
        <f>IF($J221=0,"",INDEX(Datos!$J$2:$J$1000,$J221)&amp;IF(INDEX(Datos!$Q$2:$Q$1000,$J221)="",""," | "&amp;INDEX(Datos!$Q$2:$Q$1000,$J221)))</f>
        <v/>
      </c>
      <c r="J221">
        <f>IFERROR(MATCH(ROW()-17,Datos!$W$2:$W$1000,0),0)</f>
        <v>0</v>
      </c>
    </row>
    <row r="222" spans="1:10" ht="82" customHeight="1" x14ac:dyDescent="0.35">
      <c r="A222" s="4" t="str">
        <f>IF($J222=0,"",IF(INDEX(Datos!$A$2:$A$1000,$J222)="","",INDEX(Datos!$A$2:$A$1000,$J222)))</f>
        <v/>
      </c>
      <c r="B222" s="5" t="str">
        <f>IF($J222=0,"",IF(INDEX(Datos!$E$2:$E$1000,$J222)="","",INDEX(Datos!$E$2:$E$1000,$J222)))</f>
        <v/>
      </c>
      <c r="C222" s="5" t="str">
        <f>IF($J222=0,"",IF(INDEX(Datos!$I$2:$I$1000,$J222)="","",INDEX(Datos!$I$2:$I$1000,$J222)))</f>
        <v/>
      </c>
      <c r="D222" s="6" t="str">
        <f>IF($J222=0,"",IF(INDEX(Datos!$F$2:$F$1000,$J222)="","",INDEX(Datos!$F$2:$F$1000,$J222)))</f>
        <v/>
      </c>
      <c r="E222" s="7" t="str">
        <f>IF($J222=0,"",IF(INDEX(Datos!$H$2:$H$1000,$J222)="","",INDEX(Datos!$H$2:$H$1000,$J222)))</f>
        <v/>
      </c>
      <c r="F222" s="6" t="str">
        <f>IF($J222=0,"",IF(INDEX(Datos!$N$2:$N$1000,$J222)="","",INDEX(Datos!$N$2:$N$1000,$J222)))</f>
        <v/>
      </c>
      <c r="G222" s="8" t="str">
        <f>IF($J222=0,"",IF(INDEX(Datos!$M$2:$M$1000,$J222)="","",INDEX(Datos!$M$2:$M$1000,$J222)))</f>
        <v/>
      </c>
      <c r="H222" s="6" t="str">
        <f>IF($J222=0,"",INDEX(Datos!$J$2:$J$1000,$J222)&amp;IF(INDEX(Datos!$Q$2:$Q$1000,$J222)="",""," | "&amp;INDEX(Datos!$Q$2:$Q$1000,$J222)))</f>
        <v/>
      </c>
      <c r="J222">
        <f>IFERROR(MATCH(ROW()-17,Datos!$W$2:$W$1000,0),0)</f>
        <v>0</v>
      </c>
    </row>
    <row r="223" spans="1:10" ht="82" customHeight="1" x14ac:dyDescent="0.35">
      <c r="A223" s="4" t="str">
        <f>IF($J223=0,"",IF(INDEX(Datos!$A$2:$A$1000,$J223)="","",INDEX(Datos!$A$2:$A$1000,$J223)))</f>
        <v/>
      </c>
      <c r="B223" s="5" t="str">
        <f>IF($J223=0,"",IF(INDEX(Datos!$E$2:$E$1000,$J223)="","",INDEX(Datos!$E$2:$E$1000,$J223)))</f>
        <v/>
      </c>
      <c r="C223" s="5" t="str">
        <f>IF($J223=0,"",IF(INDEX(Datos!$I$2:$I$1000,$J223)="","",INDEX(Datos!$I$2:$I$1000,$J223)))</f>
        <v/>
      </c>
      <c r="D223" s="6" t="str">
        <f>IF($J223=0,"",IF(INDEX(Datos!$F$2:$F$1000,$J223)="","",INDEX(Datos!$F$2:$F$1000,$J223)))</f>
        <v/>
      </c>
      <c r="E223" s="7" t="str">
        <f>IF($J223=0,"",IF(INDEX(Datos!$H$2:$H$1000,$J223)="","",INDEX(Datos!$H$2:$H$1000,$J223)))</f>
        <v/>
      </c>
      <c r="F223" s="6" t="str">
        <f>IF($J223=0,"",IF(INDEX(Datos!$N$2:$N$1000,$J223)="","",INDEX(Datos!$N$2:$N$1000,$J223)))</f>
        <v/>
      </c>
      <c r="G223" s="8" t="str">
        <f>IF($J223=0,"",IF(INDEX(Datos!$M$2:$M$1000,$J223)="","",INDEX(Datos!$M$2:$M$1000,$J223)))</f>
        <v/>
      </c>
      <c r="H223" s="6" t="str">
        <f>IF($J223=0,"",INDEX(Datos!$J$2:$J$1000,$J223)&amp;IF(INDEX(Datos!$Q$2:$Q$1000,$J223)="",""," | "&amp;INDEX(Datos!$Q$2:$Q$1000,$J223)))</f>
        <v/>
      </c>
      <c r="J223">
        <f>IFERROR(MATCH(ROW()-17,Datos!$W$2:$W$1000,0),0)</f>
        <v>0</v>
      </c>
    </row>
    <row r="224" spans="1:10" ht="82" customHeight="1" x14ac:dyDescent="0.35">
      <c r="A224" s="4" t="str">
        <f>IF($J224=0,"",IF(INDEX(Datos!$A$2:$A$1000,$J224)="","",INDEX(Datos!$A$2:$A$1000,$J224)))</f>
        <v/>
      </c>
      <c r="B224" s="5" t="str">
        <f>IF($J224=0,"",IF(INDEX(Datos!$E$2:$E$1000,$J224)="","",INDEX(Datos!$E$2:$E$1000,$J224)))</f>
        <v/>
      </c>
      <c r="C224" s="5" t="str">
        <f>IF($J224=0,"",IF(INDEX(Datos!$I$2:$I$1000,$J224)="","",INDEX(Datos!$I$2:$I$1000,$J224)))</f>
        <v/>
      </c>
      <c r="D224" s="6" t="str">
        <f>IF($J224=0,"",IF(INDEX(Datos!$F$2:$F$1000,$J224)="","",INDEX(Datos!$F$2:$F$1000,$J224)))</f>
        <v/>
      </c>
      <c r="E224" s="7" t="str">
        <f>IF($J224=0,"",IF(INDEX(Datos!$H$2:$H$1000,$J224)="","",INDEX(Datos!$H$2:$H$1000,$J224)))</f>
        <v/>
      </c>
      <c r="F224" s="6" t="str">
        <f>IF($J224=0,"",IF(INDEX(Datos!$N$2:$N$1000,$J224)="","",INDEX(Datos!$N$2:$N$1000,$J224)))</f>
        <v/>
      </c>
      <c r="G224" s="8" t="str">
        <f>IF($J224=0,"",IF(INDEX(Datos!$M$2:$M$1000,$J224)="","",INDEX(Datos!$M$2:$M$1000,$J224)))</f>
        <v/>
      </c>
      <c r="H224" s="6" t="str">
        <f>IF($J224=0,"",INDEX(Datos!$J$2:$J$1000,$J224)&amp;IF(INDEX(Datos!$Q$2:$Q$1000,$J224)="",""," | "&amp;INDEX(Datos!$Q$2:$Q$1000,$J224)))</f>
        <v/>
      </c>
      <c r="J224">
        <f>IFERROR(MATCH(ROW()-17,Datos!$W$2:$W$1000,0),0)</f>
        <v>0</v>
      </c>
    </row>
    <row r="225" spans="1:10" ht="82" customHeight="1" x14ac:dyDescent="0.35">
      <c r="A225" s="4" t="str">
        <f>IF($J225=0,"",IF(INDEX(Datos!$A$2:$A$1000,$J225)="","",INDEX(Datos!$A$2:$A$1000,$J225)))</f>
        <v/>
      </c>
      <c r="B225" s="5" t="str">
        <f>IF($J225=0,"",IF(INDEX(Datos!$E$2:$E$1000,$J225)="","",INDEX(Datos!$E$2:$E$1000,$J225)))</f>
        <v/>
      </c>
      <c r="C225" s="5" t="str">
        <f>IF($J225=0,"",IF(INDEX(Datos!$I$2:$I$1000,$J225)="","",INDEX(Datos!$I$2:$I$1000,$J225)))</f>
        <v/>
      </c>
      <c r="D225" s="6" t="str">
        <f>IF($J225=0,"",IF(INDEX(Datos!$F$2:$F$1000,$J225)="","",INDEX(Datos!$F$2:$F$1000,$J225)))</f>
        <v/>
      </c>
      <c r="E225" s="7" t="str">
        <f>IF($J225=0,"",IF(INDEX(Datos!$H$2:$H$1000,$J225)="","",INDEX(Datos!$H$2:$H$1000,$J225)))</f>
        <v/>
      </c>
      <c r="F225" s="6" t="str">
        <f>IF($J225=0,"",IF(INDEX(Datos!$N$2:$N$1000,$J225)="","",INDEX(Datos!$N$2:$N$1000,$J225)))</f>
        <v/>
      </c>
      <c r="G225" s="8" t="str">
        <f>IF($J225=0,"",IF(INDEX(Datos!$M$2:$M$1000,$J225)="","",INDEX(Datos!$M$2:$M$1000,$J225)))</f>
        <v/>
      </c>
      <c r="H225" s="6" t="str">
        <f>IF($J225=0,"",INDEX(Datos!$J$2:$J$1000,$J225)&amp;IF(INDEX(Datos!$Q$2:$Q$1000,$J225)="",""," | "&amp;INDEX(Datos!$Q$2:$Q$1000,$J225)))</f>
        <v/>
      </c>
      <c r="J225">
        <f>IFERROR(MATCH(ROW()-17,Datos!$W$2:$W$1000,0),0)</f>
        <v>0</v>
      </c>
    </row>
    <row r="226" spans="1:10" ht="82" customHeight="1" x14ac:dyDescent="0.35">
      <c r="A226" s="4" t="str">
        <f>IF($J226=0,"",IF(INDEX(Datos!$A$2:$A$1000,$J226)="","",INDEX(Datos!$A$2:$A$1000,$J226)))</f>
        <v/>
      </c>
      <c r="B226" s="5" t="str">
        <f>IF($J226=0,"",IF(INDEX(Datos!$E$2:$E$1000,$J226)="","",INDEX(Datos!$E$2:$E$1000,$J226)))</f>
        <v/>
      </c>
      <c r="C226" s="5" t="str">
        <f>IF($J226=0,"",IF(INDEX(Datos!$I$2:$I$1000,$J226)="","",INDEX(Datos!$I$2:$I$1000,$J226)))</f>
        <v/>
      </c>
      <c r="D226" s="6" t="str">
        <f>IF($J226=0,"",IF(INDEX(Datos!$F$2:$F$1000,$J226)="","",INDEX(Datos!$F$2:$F$1000,$J226)))</f>
        <v/>
      </c>
      <c r="E226" s="7" t="str">
        <f>IF($J226=0,"",IF(INDEX(Datos!$H$2:$H$1000,$J226)="","",INDEX(Datos!$H$2:$H$1000,$J226)))</f>
        <v/>
      </c>
      <c r="F226" s="6" t="str">
        <f>IF($J226=0,"",IF(INDEX(Datos!$N$2:$N$1000,$J226)="","",INDEX(Datos!$N$2:$N$1000,$J226)))</f>
        <v/>
      </c>
      <c r="G226" s="8" t="str">
        <f>IF($J226=0,"",IF(INDEX(Datos!$M$2:$M$1000,$J226)="","",INDEX(Datos!$M$2:$M$1000,$J226)))</f>
        <v/>
      </c>
      <c r="H226" s="6" t="str">
        <f>IF($J226=0,"",INDEX(Datos!$J$2:$J$1000,$J226)&amp;IF(INDEX(Datos!$Q$2:$Q$1000,$J226)="",""," | "&amp;INDEX(Datos!$Q$2:$Q$1000,$J226)))</f>
        <v/>
      </c>
      <c r="J226">
        <f>IFERROR(MATCH(ROW()-17,Datos!$W$2:$W$1000,0),0)</f>
        <v>0</v>
      </c>
    </row>
    <row r="227" spans="1:10" ht="82" customHeight="1" x14ac:dyDescent="0.35">
      <c r="A227" s="4" t="str">
        <f>IF($J227=0,"",IF(INDEX(Datos!$A$2:$A$1000,$J227)="","",INDEX(Datos!$A$2:$A$1000,$J227)))</f>
        <v/>
      </c>
      <c r="B227" s="5" t="str">
        <f>IF($J227=0,"",IF(INDEX(Datos!$E$2:$E$1000,$J227)="","",INDEX(Datos!$E$2:$E$1000,$J227)))</f>
        <v/>
      </c>
      <c r="C227" s="5" t="str">
        <f>IF($J227=0,"",IF(INDEX(Datos!$I$2:$I$1000,$J227)="","",INDEX(Datos!$I$2:$I$1000,$J227)))</f>
        <v/>
      </c>
      <c r="D227" s="6" t="str">
        <f>IF($J227=0,"",IF(INDEX(Datos!$F$2:$F$1000,$J227)="","",INDEX(Datos!$F$2:$F$1000,$J227)))</f>
        <v/>
      </c>
      <c r="E227" s="7" t="str">
        <f>IF($J227=0,"",IF(INDEX(Datos!$H$2:$H$1000,$J227)="","",INDEX(Datos!$H$2:$H$1000,$J227)))</f>
        <v/>
      </c>
      <c r="F227" s="6" t="str">
        <f>IF($J227=0,"",IF(INDEX(Datos!$N$2:$N$1000,$J227)="","",INDEX(Datos!$N$2:$N$1000,$J227)))</f>
        <v/>
      </c>
      <c r="G227" s="8" t="str">
        <f>IF($J227=0,"",IF(INDEX(Datos!$M$2:$M$1000,$J227)="","",INDEX(Datos!$M$2:$M$1000,$J227)))</f>
        <v/>
      </c>
      <c r="H227" s="6" t="str">
        <f>IF($J227=0,"",INDEX(Datos!$J$2:$J$1000,$J227)&amp;IF(INDEX(Datos!$Q$2:$Q$1000,$J227)="",""," | "&amp;INDEX(Datos!$Q$2:$Q$1000,$J227)))</f>
        <v/>
      </c>
      <c r="J227">
        <f>IFERROR(MATCH(ROW()-17,Datos!$W$2:$W$1000,0),0)</f>
        <v>0</v>
      </c>
    </row>
    <row r="228" spans="1:10" ht="82" customHeight="1" x14ac:dyDescent="0.35">
      <c r="A228" s="4" t="str">
        <f>IF($J228=0,"",IF(INDEX(Datos!$A$2:$A$1000,$J228)="","",INDEX(Datos!$A$2:$A$1000,$J228)))</f>
        <v/>
      </c>
      <c r="B228" s="5" t="str">
        <f>IF($J228=0,"",IF(INDEX(Datos!$E$2:$E$1000,$J228)="","",INDEX(Datos!$E$2:$E$1000,$J228)))</f>
        <v/>
      </c>
      <c r="C228" s="5" t="str">
        <f>IF($J228=0,"",IF(INDEX(Datos!$I$2:$I$1000,$J228)="","",INDEX(Datos!$I$2:$I$1000,$J228)))</f>
        <v/>
      </c>
      <c r="D228" s="6" t="str">
        <f>IF($J228=0,"",IF(INDEX(Datos!$F$2:$F$1000,$J228)="","",INDEX(Datos!$F$2:$F$1000,$J228)))</f>
        <v/>
      </c>
      <c r="E228" s="7" t="str">
        <f>IF($J228=0,"",IF(INDEX(Datos!$H$2:$H$1000,$J228)="","",INDEX(Datos!$H$2:$H$1000,$J228)))</f>
        <v/>
      </c>
      <c r="F228" s="6" t="str">
        <f>IF($J228=0,"",IF(INDEX(Datos!$N$2:$N$1000,$J228)="","",INDEX(Datos!$N$2:$N$1000,$J228)))</f>
        <v/>
      </c>
      <c r="G228" s="8" t="str">
        <f>IF($J228=0,"",IF(INDEX(Datos!$M$2:$M$1000,$J228)="","",INDEX(Datos!$M$2:$M$1000,$J228)))</f>
        <v/>
      </c>
      <c r="H228" s="6" t="str">
        <f>IF($J228=0,"",INDEX(Datos!$J$2:$J$1000,$J228)&amp;IF(INDEX(Datos!$Q$2:$Q$1000,$J228)="",""," | "&amp;INDEX(Datos!$Q$2:$Q$1000,$J228)))</f>
        <v/>
      </c>
      <c r="J228">
        <f>IFERROR(MATCH(ROW()-17,Datos!$W$2:$W$1000,0),0)</f>
        <v>0</v>
      </c>
    </row>
    <row r="229" spans="1:10" ht="82" customHeight="1" x14ac:dyDescent="0.35">
      <c r="A229" s="4" t="str">
        <f>IF($J229=0,"",IF(INDEX(Datos!$A$2:$A$1000,$J229)="","",INDEX(Datos!$A$2:$A$1000,$J229)))</f>
        <v/>
      </c>
      <c r="B229" s="5" t="str">
        <f>IF($J229=0,"",IF(INDEX(Datos!$E$2:$E$1000,$J229)="","",INDEX(Datos!$E$2:$E$1000,$J229)))</f>
        <v/>
      </c>
      <c r="C229" s="5" t="str">
        <f>IF($J229=0,"",IF(INDEX(Datos!$I$2:$I$1000,$J229)="","",INDEX(Datos!$I$2:$I$1000,$J229)))</f>
        <v/>
      </c>
      <c r="D229" s="6" t="str">
        <f>IF($J229=0,"",IF(INDEX(Datos!$F$2:$F$1000,$J229)="","",INDEX(Datos!$F$2:$F$1000,$J229)))</f>
        <v/>
      </c>
      <c r="E229" s="7" t="str">
        <f>IF($J229=0,"",IF(INDEX(Datos!$H$2:$H$1000,$J229)="","",INDEX(Datos!$H$2:$H$1000,$J229)))</f>
        <v/>
      </c>
      <c r="F229" s="6" t="str">
        <f>IF($J229=0,"",IF(INDEX(Datos!$N$2:$N$1000,$J229)="","",INDEX(Datos!$N$2:$N$1000,$J229)))</f>
        <v/>
      </c>
      <c r="G229" s="8" t="str">
        <f>IF($J229=0,"",IF(INDEX(Datos!$M$2:$M$1000,$J229)="","",INDEX(Datos!$M$2:$M$1000,$J229)))</f>
        <v/>
      </c>
      <c r="H229" s="6" t="str">
        <f>IF($J229=0,"",INDEX(Datos!$J$2:$J$1000,$J229)&amp;IF(INDEX(Datos!$Q$2:$Q$1000,$J229)="",""," | "&amp;INDEX(Datos!$Q$2:$Q$1000,$J229)))</f>
        <v/>
      </c>
      <c r="J229">
        <f>IFERROR(MATCH(ROW()-17,Datos!$W$2:$W$1000,0),0)</f>
        <v>0</v>
      </c>
    </row>
    <row r="230" spans="1:10" ht="82" customHeight="1" x14ac:dyDescent="0.35">
      <c r="A230" s="4" t="str">
        <f>IF($J230=0,"",IF(INDEX(Datos!$A$2:$A$1000,$J230)="","",INDEX(Datos!$A$2:$A$1000,$J230)))</f>
        <v/>
      </c>
      <c r="B230" s="5" t="str">
        <f>IF($J230=0,"",IF(INDEX(Datos!$E$2:$E$1000,$J230)="","",INDEX(Datos!$E$2:$E$1000,$J230)))</f>
        <v/>
      </c>
      <c r="C230" s="5" t="str">
        <f>IF($J230=0,"",IF(INDEX(Datos!$I$2:$I$1000,$J230)="","",INDEX(Datos!$I$2:$I$1000,$J230)))</f>
        <v/>
      </c>
      <c r="D230" s="6" t="str">
        <f>IF($J230=0,"",IF(INDEX(Datos!$F$2:$F$1000,$J230)="","",INDEX(Datos!$F$2:$F$1000,$J230)))</f>
        <v/>
      </c>
      <c r="E230" s="7" t="str">
        <f>IF($J230=0,"",IF(INDEX(Datos!$H$2:$H$1000,$J230)="","",INDEX(Datos!$H$2:$H$1000,$J230)))</f>
        <v/>
      </c>
      <c r="F230" s="6" t="str">
        <f>IF($J230=0,"",IF(INDEX(Datos!$N$2:$N$1000,$J230)="","",INDEX(Datos!$N$2:$N$1000,$J230)))</f>
        <v/>
      </c>
      <c r="G230" s="8" t="str">
        <f>IF($J230=0,"",IF(INDEX(Datos!$M$2:$M$1000,$J230)="","",INDEX(Datos!$M$2:$M$1000,$J230)))</f>
        <v/>
      </c>
      <c r="H230" s="6" t="str">
        <f>IF($J230=0,"",INDEX(Datos!$J$2:$J$1000,$J230)&amp;IF(INDEX(Datos!$Q$2:$Q$1000,$J230)="",""," | "&amp;INDEX(Datos!$Q$2:$Q$1000,$J230)))</f>
        <v/>
      </c>
      <c r="J230">
        <f>IFERROR(MATCH(ROW()-17,Datos!$W$2:$W$1000,0),0)</f>
        <v>0</v>
      </c>
    </row>
    <row r="231" spans="1:10" ht="82" customHeight="1" x14ac:dyDescent="0.35">
      <c r="A231" s="4" t="str">
        <f>IF($J231=0,"",IF(INDEX(Datos!$A$2:$A$1000,$J231)="","",INDEX(Datos!$A$2:$A$1000,$J231)))</f>
        <v/>
      </c>
      <c r="B231" s="5" t="str">
        <f>IF($J231=0,"",IF(INDEX(Datos!$E$2:$E$1000,$J231)="","",INDEX(Datos!$E$2:$E$1000,$J231)))</f>
        <v/>
      </c>
      <c r="C231" s="5" t="str">
        <f>IF($J231=0,"",IF(INDEX(Datos!$I$2:$I$1000,$J231)="","",INDEX(Datos!$I$2:$I$1000,$J231)))</f>
        <v/>
      </c>
      <c r="D231" s="6" t="str">
        <f>IF($J231=0,"",IF(INDEX(Datos!$F$2:$F$1000,$J231)="","",INDEX(Datos!$F$2:$F$1000,$J231)))</f>
        <v/>
      </c>
      <c r="E231" s="7" t="str">
        <f>IF($J231=0,"",IF(INDEX(Datos!$H$2:$H$1000,$J231)="","",INDEX(Datos!$H$2:$H$1000,$J231)))</f>
        <v/>
      </c>
      <c r="F231" s="6" t="str">
        <f>IF($J231=0,"",IF(INDEX(Datos!$N$2:$N$1000,$J231)="","",INDEX(Datos!$N$2:$N$1000,$J231)))</f>
        <v/>
      </c>
      <c r="G231" s="8" t="str">
        <f>IF($J231=0,"",IF(INDEX(Datos!$M$2:$M$1000,$J231)="","",INDEX(Datos!$M$2:$M$1000,$J231)))</f>
        <v/>
      </c>
      <c r="H231" s="6" t="str">
        <f>IF($J231=0,"",INDEX(Datos!$J$2:$J$1000,$J231)&amp;IF(INDEX(Datos!$Q$2:$Q$1000,$J231)="",""," | "&amp;INDEX(Datos!$Q$2:$Q$1000,$J231)))</f>
        <v/>
      </c>
      <c r="J231">
        <f>IFERROR(MATCH(ROW()-17,Datos!$W$2:$W$1000,0),0)</f>
        <v>0</v>
      </c>
    </row>
    <row r="232" spans="1:10" ht="82" customHeight="1" x14ac:dyDescent="0.35">
      <c r="A232" s="4" t="str">
        <f>IF($J232=0,"",IF(INDEX(Datos!$A$2:$A$1000,$J232)="","",INDEX(Datos!$A$2:$A$1000,$J232)))</f>
        <v/>
      </c>
      <c r="B232" s="5" t="str">
        <f>IF($J232=0,"",IF(INDEX(Datos!$E$2:$E$1000,$J232)="","",INDEX(Datos!$E$2:$E$1000,$J232)))</f>
        <v/>
      </c>
      <c r="C232" s="5" t="str">
        <f>IF($J232=0,"",IF(INDEX(Datos!$I$2:$I$1000,$J232)="","",INDEX(Datos!$I$2:$I$1000,$J232)))</f>
        <v/>
      </c>
      <c r="D232" s="6" t="str">
        <f>IF($J232=0,"",IF(INDEX(Datos!$F$2:$F$1000,$J232)="","",INDEX(Datos!$F$2:$F$1000,$J232)))</f>
        <v/>
      </c>
      <c r="E232" s="7" t="str">
        <f>IF($J232=0,"",IF(INDEX(Datos!$H$2:$H$1000,$J232)="","",INDEX(Datos!$H$2:$H$1000,$J232)))</f>
        <v/>
      </c>
      <c r="F232" s="6" t="str">
        <f>IF($J232=0,"",IF(INDEX(Datos!$N$2:$N$1000,$J232)="","",INDEX(Datos!$N$2:$N$1000,$J232)))</f>
        <v/>
      </c>
      <c r="G232" s="8" t="str">
        <f>IF($J232=0,"",IF(INDEX(Datos!$M$2:$M$1000,$J232)="","",INDEX(Datos!$M$2:$M$1000,$J232)))</f>
        <v/>
      </c>
      <c r="H232" s="6" t="str">
        <f>IF($J232=0,"",INDEX(Datos!$J$2:$J$1000,$J232)&amp;IF(INDEX(Datos!$Q$2:$Q$1000,$J232)="",""," | "&amp;INDEX(Datos!$Q$2:$Q$1000,$J232)))</f>
        <v/>
      </c>
      <c r="J232">
        <f>IFERROR(MATCH(ROW()-17,Datos!$W$2:$W$1000,0),0)</f>
        <v>0</v>
      </c>
    </row>
    <row r="233" spans="1:10" ht="82" customHeight="1" x14ac:dyDescent="0.35">
      <c r="A233" s="4" t="str">
        <f>IF($J233=0,"",IF(INDEX(Datos!$A$2:$A$1000,$J233)="","",INDEX(Datos!$A$2:$A$1000,$J233)))</f>
        <v/>
      </c>
      <c r="B233" s="5" t="str">
        <f>IF($J233=0,"",IF(INDEX(Datos!$E$2:$E$1000,$J233)="","",INDEX(Datos!$E$2:$E$1000,$J233)))</f>
        <v/>
      </c>
      <c r="C233" s="5" t="str">
        <f>IF($J233=0,"",IF(INDEX(Datos!$I$2:$I$1000,$J233)="","",INDEX(Datos!$I$2:$I$1000,$J233)))</f>
        <v/>
      </c>
      <c r="D233" s="6" t="str">
        <f>IF($J233=0,"",IF(INDEX(Datos!$F$2:$F$1000,$J233)="","",INDEX(Datos!$F$2:$F$1000,$J233)))</f>
        <v/>
      </c>
      <c r="E233" s="7" t="str">
        <f>IF($J233=0,"",IF(INDEX(Datos!$H$2:$H$1000,$J233)="","",INDEX(Datos!$H$2:$H$1000,$J233)))</f>
        <v/>
      </c>
      <c r="F233" s="6" t="str">
        <f>IF($J233=0,"",IF(INDEX(Datos!$N$2:$N$1000,$J233)="","",INDEX(Datos!$N$2:$N$1000,$J233)))</f>
        <v/>
      </c>
      <c r="G233" s="8" t="str">
        <f>IF($J233=0,"",IF(INDEX(Datos!$M$2:$M$1000,$J233)="","",INDEX(Datos!$M$2:$M$1000,$J233)))</f>
        <v/>
      </c>
      <c r="H233" s="6" t="str">
        <f>IF($J233=0,"",INDEX(Datos!$J$2:$J$1000,$J233)&amp;IF(INDEX(Datos!$Q$2:$Q$1000,$J233)="",""," | "&amp;INDEX(Datos!$Q$2:$Q$1000,$J233)))</f>
        <v/>
      </c>
      <c r="J233">
        <f>IFERROR(MATCH(ROW()-17,Datos!$W$2:$W$1000,0),0)</f>
        <v>0</v>
      </c>
    </row>
    <row r="234" spans="1:10" ht="82" customHeight="1" x14ac:dyDescent="0.35">
      <c r="A234" s="4" t="str">
        <f>IF($J234=0,"",IF(INDEX(Datos!$A$2:$A$1000,$J234)="","",INDEX(Datos!$A$2:$A$1000,$J234)))</f>
        <v/>
      </c>
      <c r="B234" s="5" t="str">
        <f>IF($J234=0,"",IF(INDEX(Datos!$E$2:$E$1000,$J234)="","",INDEX(Datos!$E$2:$E$1000,$J234)))</f>
        <v/>
      </c>
      <c r="C234" s="5" t="str">
        <f>IF($J234=0,"",IF(INDEX(Datos!$I$2:$I$1000,$J234)="","",INDEX(Datos!$I$2:$I$1000,$J234)))</f>
        <v/>
      </c>
      <c r="D234" s="6" t="str">
        <f>IF($J234=0,"",IF(INDEX(Datos!$F$2:$F$1000,$J234)="","",INDEX(Datos!$F$2:$F$1000,$J234)))</f>
        <v/>
      </c>
      <c r="E234" s="7" t="str">
        <f>IF($J234=0,"",IF(INDEX(Datos!$H$2:$H$1000,$J234)="","",INDEX(Datos!$H$2:$H$1000,$J234)))</f>
        <v/>
      </c>
      <c r="F234" s="6" t="str">
        <f>IF($J234=0,"",IF(INDEX(Datos!$N$2:$N$1000,$J234)="","",INDEX(Datos!$N$2:$N$1000,$J234)))</f>
        <v/>
      </c>
      <c r="G234" s="8" t="str">
        <f>IF($J234=0,"",IF(INDEX(Datos!$M$2:$M$1000,$J234)="","",INDEX(Datos!$M$2:$M$1000,$J234)))</f>
        <v/>
      </c>
      <c r="H234" s="6" t="str">
        <f>IF($J234=0,"",INDEX(Datos!$J$2:$J$1000,$J234)&amp;IF(INDEX(Datos!$Q$2:$Q$1000,$J234)="",""," | "&amp;INDEX(Datos!$Q$2:$Q$1000,$J234)))</f>
        <v/>
      </c>
      <c r="J234">
        <f>IFERROR(MATCH(ROW()-17,Datos!$W$2:$W$1000,0),0)</f>
        <v>0</v>
      </c>
    </row>
    <row r="235" spans="1:10" ht="82" customHeight="1" x14ac:dyDescent="0.35">
      <c r="A235" s="4" t="str">
        <f>IF($J235=0,"",IF(INDEX(Datos!$A$2:$A$1000,$J235)="","",INDEX(Datos!$A$2:$A$1000,$J235)))</f>
        <v/>
      </c>
      <c r="B235" s="5" t="str">
        <f>IF($J235=0,"",IF(INDEX(Datos!$E$2:$E$1000,$J235)="","",INDEX(Datos!$E$2:$E$1000,$J235)))</f>
        <v/>
      </c>
      <c r="C235" s="5" t="str">
        <f>IF($J235=0,"",IF(INDEX(Datos!$I$2:$I$1000,$J235)="","",INDEX(Datos!$I$2:$I$1000,$J235)))</f>
        <v/>
      </c>
      <c r="D235" s="6" t="str">
        <f>IF($J235=0,"",IF(INDEX(Datos!$F$2:$F$1000,$J235)="","",INDEX(Datos!$F$2:$F$1000,$J235)))</f>
        <v/>
      </c>
      <c r="E235" s="7" t="str">
        <f>IF($J235=0,"",IF(INDEX(Datos!$H$2:$H$1000,$J235)="","",INDEX(Datos!$H$2:$H$1000,$J235)))</f>
        <v/>
      </c>
      <c r="F235" s="6" t="str">
        <f>IF($J235=0,"",IF(INDEX(Datos!$N$2:$N$1000,$J235)="","",INDEX(Datos!$N$2:$N$1000,$J235)))</f>
        <v/>
      </c>
      <c r="G235" s="8" t="str">
        <f>IF($J235=0,"",IF(INDEX(Datos!$M$2:$M$1000,$J235)="","",INDEX(Datos!$M$2:$M$1000,$J235)))</f>
        <v/>
      </c>
      <c r="H235" s="6" t="str">
        <f>IF($J235=0,"",INDEX(Datos!$J$2:$J$1000,$J235)&amp;IF(INDEX(Datos!$Q$2:$Q$1000,$J235)="",""," | "&amp;INDEX(Datos!$Q$2:$Q$1000,$J235)))</f>
        <v/>
      </c>
      <c r="J235">
        <f>IFERROR(MATCH(ROW()-17,Datos!$W$2:$W$1000,0),0)</f>
        <v>0</v>
      </c>
    </row>
    <row r="236" spans="1:10" ht="82" customHeight="1" x14ac:dyDescent="0.35">
      <c r="A236" s="4" t="str">
        <f>IF($J236=0,"",IF(INDEX(Datos!$A$2:$A$1000,$J236)="","",INDEX(Datos!$A$2:$A$1000,$J236)))</f>
        <v/>
      </c>
      <c r="B236" s="5" t="str">
        <f>IF($J236=0,"",IF(INDEX(Datos!$E$2:$E$1000,$J236)="","",INDEX(Datos!$E$2:$E$1000,$J236)))</f>
        <v/>
      </c>
      <c r="C236" s="5" t="str">
        <f>IF($J236=0,"",IF(INDEX(Datos!$I$2:$I$1000,$J236)="","",INDEX(Datos!$I$2:$I$1000,$J236)))</f>
        <v/>
      </c>
      <c r="D236" s="6" t="str">
        <f>IF($J236=0,"",IF(INDEX(Datos!$F$2:$F$1000,$J236)="","",INDEX(Datos!$F$2:$F$1000,$J236)))</f>
        <v/>
      </c>
      <c r="E236" s="7" t="str">
        <f>IF($J236=0,"",IF(INDEX(Datos!$H$2:$H$1000,$J236)="","",INDEX(Datos!$H$2:$H$1000,$J236)))</f>
        <v/>
      </c>
      <c r="F236" s="6" t="str">
        <f>IF($J236=0,"",IF(INDEX(Datos!$N$2:$N$1000,$J236)="","",INDEX(Datos!$N$2:$N$1000,$J236)))</f>
        <v/>
      </c>
      <c r="G236" s="8" t="str">
        <f>IF($J236=0,"",IF(INDEX(Datos!$M$2:$M$1000,$J236)="","",INDEX(Datos!$M$2:$M$1000,$J236)))</f>
        <v/>
      </c>
      <c r="H236" s="6" t="str">
        <f>IF($J236=0,"",INDEX(Datos!$J$2:$J$1000,$J236)&amp;IF(INDEX(Datos!$Q$2:$Q$1000,$J236)="",""," | "&amp;INDEX(Datos!$Q$2:$Q$1000,$J236)))</f>
        <v/>
      </c>
      <c r="J236">
        <f>IFERROR(MATCH(ROW()-17,Datos!$W$2:$W$1000,0),0)</f>
        <v>0</v>
      </c>
    </row>
    <row r="237" spans="1:10" ht="82" customHeight="1" x14ac:dyDescent="0.35">
      <c r="A237" s="4" t="str">
        <f>IF($J237=0,"",IF(INDEX(Datos!$A$2:$A$1000,$J237)="","",INDEX(Datos!$A$2:$A$1000,$J237)))</f>
        <v/>
      </c>
      <c r="B237" s="5" t="str">
        <f>IF($J237=0,"",IF(INDEX(Datos!$E$2:$E$1000,$J237)="","",INDEX(Datos!$E$2:$E$1000,$J237)))</f>
        <v/>
      </c>
      <c r="C237" s="5" t="str">
        <f>IF($J237=0,"",IF(INDEX(Datos!$I$2:$I$1000,$J237)="","",INDEX(Datos!$I$2:$I$1000,$J237)))</f>
        <v/>
      </c>
      <c r="D237" s="6" t="str">
        <f>IF($J237=0,"",IF(INDEX(Datos!$F$2:$F$1000,$J237)="","",INDEX(Datos!$F$2:$F$1000,$J237)))</f>
        <v/>
      </c>
      <c r="E237" s="7" t="str">
        <f>IF($J237=0,"",IF(INDEX(Datos!$H$2:$H$1000,$J237)="","",INDEX(Datos!$H$2:$H$1000,$J237)))</f>
        <v/>
      </c>
      <c r="F237" s="6" t="str">
        <f>IF($J237=0,"",IF(INDEX(Datos!$N$2:$N$1000,$J237)="","",INDEX(Datos!$N$2:$N$1000,$J237)))</f>
        <v/>
      </c>
      <c r="G237" s="8" t="str">
        <f>IF($J237=0,"",IF(INDEX(Datos!$M$2:$M$1000,$J237)="","",INDEX(Datos!$M$2:$M$1000,$J237)))</f>
        <v/>
      </c>
      <c r="H237" s="6" t="str">
        <f>IF($J237=0,"",INDEX(Datos!$J$2:$J$1000,$J237)&amp;IF(INDEX(Datos!$Q$2:$Q$1000,$J237)="",""," | "&amp;INDEX(Datos!$Q$2:$Q$1000,$J237)))</f>
        <v/>
      </c>
      <c r="J237">
        <f>IFERROR(MATCH(ROW()-17,Datos!$W$2:$W$1000,0),0)</f>
        <v>0</v>
      </c>
    </row>
    <row r="238" spans="1:10" ht="82" customHeight="1" x14ac:dyDescent="0.35">
      <c r="A238" s="4" t="str">
        <f>IF($J238=0,"",IF(INDEX(Datos!$A$2:$A$1000,$J238)="","",INDEX(Datos!$A$2:$A$1000,$J238)))</f>
        <v/>
      </c>
      <c r="B238" s="5" t="str">
        <f>IF($J238=0,"",IF(INDEX(Datos!$E$2:$E$1000,$J238)="","",INDEX(Datos!$E$2:$E$1000,$J238)))</f>
        <v/>
      </c>
      <c r="C238" s="5" t="str">
        <f>IF($J238=0,"",IF(INDEX(Datos!$I$2:$I$1000,$J238)="","",INDEX(Datos!$I$2:$I$1000,$J238)))</f>
        <v/>
      </c>
      <c r="D238" s="6" t="str">
        <f>IF($J238=0,"",IF(INDEX(Datos!$F$2:$F$1000,$J238)="","",INDEX(Datos!$F$2:$F$1000,$J238)))</f>
        <v/>
      </c>
      <c r="E238" s="7" t="str">
        <f>IF($J238=0,"",IF(INDEX(Datos!$H$2:$H$1000,$J238)="","",INDEX(Datos!$H$2:$H$1000,$J238)))</f>
        <v/>
      </c>
      <c r="F238" s="6" t="str">
        <f>IF($J238=0,"",IF(INDEX(Datos!$N$2:$N$1000,$J238)="","",INDEX(Datos!$N$2:$N$1000,$J238)))</f>
        <v/>
      </c>
      <c r="G238" s="8" t="str">
        <f>IF($J238=0,"",IF(INDEX(Datos!$M$2:$M$1000,$J238)="","",INDEX(Datos!$M$2:$M$1000,$J238)))</f>
        <v/>
      </c>
      <c r="H238" s="6" t="str">
        <f>IF($J238=0,"",INDEX(Datos!$J$2:$J$1000,$J238)&amp;IF(INDEX(Datos!$Q$2:$Q$1000,$J238)="",""," | "&amp;INDEX(Datos!$Q$2:$Q$1000,$J238)))</f>
        <v/>
      </c>
      <c r="J238">
        <f>IFERROR(MATCH(ROW()-17,Datos!$W$2:$W$1000,0),0)</f>
        <v>0</v>
      </c>
    </row>
    <row r="239" spans="1:10" ht="82" customHeight="1" x14ac:dyDescent="0.35">
      <c r="A239" s="4" t="str">
        <f>IF($J239=0,"",IF(INDEX(Datos!$A$2:$A$1000,$J239)="","",INDEX(Datos!$A$2:$A$1000,$J239)))</f>
        <v/>
      </c>
      <c r="B239" s="5" t="str">
        <f>IF($J239=0,"",IF(INDEX(Datos!$E$2:$E$1000,$J239)="","",INDEX(Datos!$E$2:$E$1000,$J239)))</f>
        <v/>
      </c>
      <c r="C239" s="5" t="str">
        <f>IF($J239=0,"",IF(INDEX(Datos!$I$2:$I$1000,$J239)="","",INDEX(Datos!$I$2:$I$1000,$J239)))</f>
        <v/>
      </c>
      <c r="D239" s="6" t="str">
        <f>IF($J239=0,"",IF(INDEX(Datos!$F$2:$F$1000,$J239)="","",INDEX(Datos!$F$2:$F$1000,$J239)))</f>
        <v/>
      </c>
      <c r="E239" s="7" t="str">
        <f>IF($J239=0,"",IF(INDEX(Datos!$H$2:$H$1000,$J239)="","",INDEX(Datos!$H$2:$H$1000,$J239)))</f>
        <v/>
      </c>
      <c r="F239" s="6" t="str">
        <f>IF($J239=0,"",IF(INDEX(Datos!$N$2:$N$1000,$J239)="","",INDEX(Datos!$N$2:$N$1000,$J239)))</f>
        <v/>
      </c>
      <c r="G239" s="8" t="str">
        <f>IF($J239=0,"",IF(INDEX(Datos!$M$2:$M$1000,$J239)="","",INDEX(Datos!$M$2:$M$1000,$J239)))</f>
        <v/>
      </c>
      <c r="H239" s="6" t="str">
        <f>IF($J239=0,"",INDEX(Datos!$J$2:$J$1000,$J239)&amp;IF(INDEX(Datos!$Q$2:$Q$1000,$J239)="",""," | "&amp;INDEX(Datos!$Q$2:$Q$1000,$J239)))</f>
        <v/>
      </c>
      <c r="J239">
        <f>IFERROR(MATCH(ROW()-17,Datos!$W$2:$W$1000,0),0)</f>
        <v>0</v>
      </c>
    </row>
    <row r="240" spans="1:10" ht="82" customHeight="1" x14ac:dyDescent="0.35">
      <c r="A240" s="4" t="str">
        <f>IF($J240=0,"",IF(INDEX(Datos!$A$2:$A$1000,$J240)="","",INDEX(Datos!$A$2:$A$1000,$J240)))</f>
        <v/>
      </c>
      <c r="B240" s="5" t="str">
        <f>IF($J240=0,"",IF(INDEX(Datos!$E$2:$E$1000,$J240)="","",INDEX(Datos!$E$2:$E$1000,$J240)))</f>
        <v/>
      </c>
      <c r="C240" s="5" t="str">
        <f>IF($J240=0,"",IF(INDEX(Datos!$I$2:$I$1000,$J240)="","",INDEX(Datos!$I$2:$I$1000,$J240)))</f>
        <v/>
      </c>
      <c r="D240" s="6" t="str">
        <f>IF($J240=0,"",IF(INDEX(Datos!$F$2:$F$1000,$J240)="","",INDEX(Datos!$F$2:$F$1000,$J240)))</f>
        <v/>
      </c>
      <c r="E240" s="7" t="str">
        <f>IF($J240=0,"",IF(INDEX(Datos!$H$2:$H$1000,$J240)="","",INDEX(Datos!$H$2:$H$1000,$J240)))</f>
        <v/>
      </c>
      <c r="F240" s="6" t="str">
        <f>IF($J240=0,"",IF(INDEX(Datos!$N$2:$N$1000,$J240)="","",INDEX(Datos!$N$2:$N$1000,$J240)))</f>
        <v/>
      </c>
      <c r="G240" s="8" t="str">
        <f>IF($J240=0,"",IF(INDEX(Datos!$M$2:$M$1000,$J240)="","",INDEX(Datos!$M$2:$M$1000,$J240)))</f>
        <v/>
      </c>
      <c r="H240" s="6" t="str">
        <f>IF($J240=0,"",INDEX(Datos!$J$2:$J$1000,$J240)&amp;IF(INDEX(Datos!$Q$2:$Q$1000,$J240)="",""," | "&amp;INDEX(Datos!$Q$2:$Q$1000,$J240)))</f>
        <v/>
      </c>
      <c r="J240">
        <f>IFERROR(MATCH(ROW()-17,Datos!$W$2:$W$1000,0),0)</f>
        <v>0</v>
      </c>
    </row>
    <row r="241" spans="1:10" ht="82" customHeight="1" x14ac:dyDescent="0.35">
      <c r="A241" s="4" t="str">
        <f>IF($J241=0,"",IF(INDEX(Datos!$A$2:$A$1000,$J241)="","",INDEX(Datos!$A$2:$A$1000,$J241)))</f>
        <v/>
      </c>
      <c r="B241" s="5" t="str">
        <f>IF($J241=0,"",IF(INDEX(Datos!$E$2:$E$1000,$J241)="","",INDEX(Datos!$E$2:$E$1000,$J241)))</f>
        <v/>
      </c>
      <c r="C241" s="5" t="str">
        <f>IF($J241=0,"",IF(INDEX(Datos!$I$2:$I$1000,$J241)="","",INDEX(Datos!$I$2:$I$1000,$J241)))</f>
        <v/>
      </c>
      <c r="D241" s="6" t="str">
        <f>IF($J241=0,"",IF(INDEX(Datos!$F$2:$F$1000,$J241)="","",INDEX(Datos!$F$2:$F$1000,$J241)))</f>
        <v/>
      </c>
      <c r="E241" s="7" t="str">
        <f>IF($J241=0,"",IF(INDEX(Datos!$H$2:$H$1000,$J241)="","",INDEX(Datos!$H$2:$H$1000,$J241)))</f>
        <v/>
      </c>
      <c r="F241" s="6" t="str">
        <f>IF($J241=0,"",IF(INDEX(Datos!$N$2:$N$1000,$J241)="","",INDEX(Datos!$N$2:$N$1000,$J241)))</f>
        <v/>
      </c>
      <c r="G241" s="8" t="str">
        <f>IF($J241=0,"",IF(INDEX(Datos!$M$2:$M$1000,$J241)="","",INDEX(Datos!$M$2:$M$1000,$J241)))</f>
        <v/>
      </c>
      <c r="H241" s="6" t="str">
        <f>IF($J241=0,"",INDEX(Datos!$J$2:$J$1000,$J241)&amp;IF(INDEX(Datos!$Q$2:$Q$1000,$J241)="",""," | "&amp;INDEX(Datos!$Q$2:$Q$1000,$J241)))</f>
        <v/>
      </c>
      <c r="J241">
        <f>IFERROR(MATCH(ROW()-17,Datos!$W$2:$W$1000,0),0)</f>
        <v>0</v>
      </c>
    </row>
    <row r="242" spans="1:10" ht="82" customHeight="1" x14ac:dyDescent="0.35">
      <c r="A242" s="4" t="str">
        <f>IF($J242=0,"",IF(INDEX(Datos!$A$2:$A$1000,$J242)="","",INDEX(Datos!$A$2:$A$1000,$J242)))</f>
        <v/>
      </c>
      <c r="B242" s="5" t="str">
        <f>IF($J242=0,"",IF(INDEX(Datos!$E$2:$E$1000,$J242)="","",INDEX(Datos!$E$2:$E$1000,$J242)))</f>
        <v/>
      </c>
      <c r="C242" s="5" t="str">
        <f>IF($J242=0,"",IF(INDEX(Datos!$I$2:$I$1000,$J242)="","",INDEX(Datos!$I$2:$I$1000,$J242)))</f>
        <v/>
      </c>
      <c r="D242" s="6" t="str">
        <f>IF($J242=0,"",IF(INDEX(Datos!$F$2:$F$1000,$J242)="","",INDEX(Datos!$F$2:$F$1000,$J242)))</f>
        <v/>
      </c>
      <c r="E242" s="7" t="str">
        <f>IF($J242=0,"",IF(INDEX(Datos!$H$2:$H$1000,$J242)="","",INDEX(Datos!$H$2:$H$1000,$J242)))</f>
        <v/>
      </c>
      <c r="F242" s="6" t="str">
        <f>IF($J242=0,"",IF(INDEX(Datos!$N$2:$N$1000,$J242)="","",INDEX(Datos!$N$2:$N$1000,$J242)))</f>
        <v/>
      </c>
      <c r="G242" s="8" t="str">
        <f>IF($J242=0,"",IF(INDEX(Datos!$M$2:$M$1000,$J242)="","",INDEX(Datos!$M$2:$M$1000,$J242)))</f>
        <v/>
      </c>
      <c r="H242" s="6" t="str">
        <f>IF($J242=0,"",INDEX(Datos!$J$2:$J$1000,$J242)&amp;IF(INDEX(Datos!$Q$2:$Q$1000,$J242)="",""," | "&amp;INDEX(Datos!$Q$2:$Q$1000,$J242)))</f>
        <v/>
      </c>
      <c r="J242">
        <f>IFERROR(MATCH(ROW()-17,Datos!$W$2:$W$1000,0),0)</f>
        <v>0</v>
      </c>
    </row>
    <row r="243" spans="1:10" ht="82" customHeight="1" x14ac:dyDescent="0.35">
      <c r="A243" s="4" t="str">
        <f>IF($J243=0,"",IF(INDEX(Datos!$A$2:$A$1000,$J243)="","",INDEX(Datos!$A$2:$A$1000,$J243)))</f>
        <v/>
      </c>
      <c r="B243" s="5" t="str">
        <f>IF($J243=0,"",IF(INDEX(Datos!$E$2:$E$1000,$J243)="","",INDEX(Datos!$E$2:$E$1000,$J243)))</f>
        <v/>
      </c>
      <c r="C243" s="5" t="str">
        <f>IF($J243=0,"",IF(INDEX(Datos!$I$2:$I$1000,$J243)="","",INDEX(Datos!$I$2:$I$1000,$J243)))</f>
        <v/>
      </c>
      <c r="D243" s="6" t="str">
        <f>IF($J243=0,"",IF(INDEX(Datos!$F$2:$F$1000,$J243)="","",INDEX(Datos!$F$2:$F$1000,$J243)))</f>
        <v/>
      </c>
      <c r="E243" s="7" t="str">
        <f>IF($J243=0,"",IF(INDEX(Datos!$H$2:$H$1000,$J243)="","",INDEX(Datos!$H$2:$H$1000,$J243)))</f>
        <v/>
      </c>
      <c r="F243" s="6" t="str">
        <f>IF($J243=0,"",IF(INDEX(Datos!$N$2:$N$1000,$J243)="","",INDEX(Datos!$N$2:$N$1000,$J243)))</f>
        <v/>
      </c>
      <c r="G243" s="8" t="str">
        <f>IF($J243=0,"",IF(INDEX(Datos!$M$2:$M$1000,$J243)="","",INDEX(Datos!$M$2:$M$1000,$J243)))</f>
        <v/>
      </c>
      <c r="H243" s="6" t="str">
        <f>IF($J243=0,"",INDEX(Datos!$J$2:$J$1000,$J243)&amp;IF(INDEX(Datos!$Q$2:$Q$1000,$J243)="",""," | "&amp;INDEX(Datos!$Q$2:$Q$1000,$J243)))</f>
        <v/>
      </c>
      <c r="J243">
        <f>IFERROR(MATCH(ROW()-17,Datos!$W$2:$W$1000,0),0)</f>
        <v>0</v>
      </c>
    </row>
    <row r="244" spans="1:10" ht="82" customHeight="1" x14ac:dyDescent="0.35">
      <c r="A244" s="4" t="str">
        <f>IF($J244=0,"",IF(INDEX(Datos!$A$2:$A$1000,$J244)="","",INDEX(Datos!$A$2:$A$1000,$J244)))</f>
        <v/>
      </c>
      <c r="B244" s="5" t="str">
        <f>IF($J244=0,"",IF(INDEX(Datos!$E$2:$E$1000,$J244)="","",INDEX(Datos!$E$2:$E$1000,$J244)))</f>
        <v/>
      </c>
      <c r="C244" s="5" t="str">
        <f>IF($J244=0,"",IF(INDEX(Datos!$I$2:$I$1000,$J244)="","",INDEX(Datos!$I$2:$I$1000,$J244)))</f>
        <v/>
      </c>
      <c r="D244" s="6" t="str">
        <f>IF($J244=0,"",IF(INDEX(Datos!$F$2:$F$1000,$J244)="","",INDEX(Datos!$F$2:$F$1000,$J244)))</f>
        <v/>
      </c>
      <c r="E244" s="7" t="str">
        <f>IF($J244=0,"",IF(INDEX(Datos!$H$2:$H$1000,$J244)="","",INDEX(Datos!$H$2:$H$1000,$J244)))</f>
        <v/>
      </c>
      <c r="F244" s="6" t="str">
        <f>IF($J244=0,"",IF(INDEX(Datos!$N$2:$N$1000,$J244)="","",INDEX(Datos!$N$2:$N$1000,$J244)))</f>
        <v/>
      </c>
      <c r="G244" s="8" t="str">
        <f>IF($J244=0,"",IF(INDEX(Datos!$M$2:$M$1000,$J244)="","",INDEX(Datos!$M$2:$M$1000,$J244)))</f>
        <v/>
      </c>
      <c r="H244" s="6" t="str">
        <f>IF($J244=0,"",INDEX(Datos!$J$2:$J$1000,$J244)&amp;IF(INDEX(Datos!$Q$2:$Q$1000,$J244)="",""," | "&amp;INDEX(Datos!$Q$2:$Q$1000,$J244)))</f>
        <v/>
      </c>
      <c r="J244">
        <f>IFERROR(MATCH(ROW()-17,Datos!$W$2:$W$1000,0),0)</f>
        <v>0</v>
      </c>
    </row>
    <row r="245" spans="1:10" ht="82" customHeight="1" x14ac:dyDescent="0.35">
      <c r="A245" s="4" t="str">
        <f>IF($J245=0,"",IF(INDEX(Datos!$A$2:$A$1000,$J245)="","",INDEX(Datos!$A$2:$A$1000,$J245)))</f>
        <v/>
      </c>
      <c r="B245" s="5" t="str">
        <f>IF($J245=0,"",IF(INDEX(Datos!$E$2:$E$1000,$J245)="","",INDEX(Datos!$E$2:$E$1000,$J245)))</f>
        <v/>
      </c>
      <c r="C245" s="5" t="str">
        <f>IF($J245=0,"",IF(INDEX(Datos!$I$2:$I$1000,$J245)="","",INDEX(Datos!$I$2:$I$1000,$J245)))</f>
        <v/>
      </c>
      <c r="D245" s="6" t="str">
        <f>IF($J245=0,"",IF(INDEX(Datos!$F$2:$F$1000,$J245)="","",INDEX(Datos!$F$2:$F$1000,$J245)))</f>
        <v/>
      </c>
      <c r="E245" s="7" t="str">
        <f>IF($J245=0,"",IF(INDEX(Datos!$H$2:$H$1000,$J245)="","",INDEX(Datos!$H$2:$H$1000,$J245)))</f>
        <v/>
      </c>
      <c r="F245" s="6" t="str">
        <f>IF($J245=0,"",IF(INDEX(Datos!$N$2:$N$1000,$J245)="","",INDEX(Datos!$N$2:$N$1000,$J245)))</f>
        <v/>
      </c>
      <c r="G245" s="8" t="str">
        <f>IF($J245=0,"",IF(INDEX(Datos!$M$2:$M$1000,$J245)="","",INDEX(Datos!$M$2:$M$1000,$J245)))</f>
        <v/>
      </c>
      <c r="H245" s="6" t="str">
        <f>IF($J245=0,"",INDEX(Datos!$J$2:$J$1000,$J245)&amp;IF(INDEX(Datos!$Q$2:$Q$1000,$J245)="",""," | "&amp;INDEX(Datos!$Q$2:$Q$1000,$J245)))</f>
        <v/>
      </c>
      <c r="J245">
        <f>IFERROR(MATCH(ROW()-17,Datos!$W$2:$W$1000,0),0)</f>
        <v>0</v>
      </c>
    </row>
    <row r="246" spans="1:10" ht="82" customHeight="1" x14ac:dyDescent="0.35">
      <c r="A246" s="4" t="str">
        <f>IF($J246=0,"",IF(INDEX(Datos!$A$2:$A$1000,$J246)="","",INDEX(Datos!$A$2:$A$1000,$J246)))</f>
        <v/>
      </c>
      <c r="B246" s="5" t="str">
        <f>IF($J246=0,"",IF(INDEX(Datos!$E$2:$E$1000,$J246)="","",INDEX(Datos!$E$2:$E$1000,$J246)))</f>
        <v/>
      </c>
      <c r="C246" s="5" t="str">
        <f>IF($J246=0,"",IF(INDEX(Datos!$I$2:$I$1000,$J246)="","",INDEX(Datos!$I$2:$I$1000,$J246)))</f>
        <v/>
      </c>
      <c r="D246" s="6" t="str">
        <f>IF($J246=0,"",IF(INDEX(Datos!$F$2:$F$1000,$J246)="","",INDEX(Datos!$F$2:$F$1000,$J246)))</f>
        <v/>
      </c>
      <c r="E246" s="7" t="str">
        <f>IF($J246=0,"",IF(INDEX(Datos!$H$2:$H$1000,$J246)="","",INDEX(Datos!$H$2:$H$1000,$J246)))</f>
        <v/>
      </c>
      <c r="F246" s="6" t="str">
        <f>IF($J246=0,"",IF(INDEX(Datos!$N$2:$N$1000,$J246)="","",INDEX(Datos!$N$2:$N$1000,$J246)))</f>
        <v/>
      </c>
      <c r="G246" s="8" t="str">
        <f>IF($J246=0,"",IF(INDEX(Datos!$M$2:$M$1000,$J246)="","",INDEX(Datos!$M$2:$M$1000,$J246)))</f>
        <v/>
      </c>
      <c r="H246" s="6" t="str">
        <f>IF($J246=0,"",INDEX(Datos!$J$2:$J$1000,$J246)&amp;IF(INDEX(Datos!$Q$2:$Q$1000,$J246)="",""," | "&amp;INDEX(Datos!$Q$2:$Q$1000,$J246)))</f>
        <v/>
      </c>
      <c r="J246">
        <f>IFERROR(MATCH(ROW()-17,Datos!$W$2:$W$1000,0),0)</f>
        <v>0</v>
      </c>
    </row>
    <row r="247" spans="1:10" ht="82" customHeight="1" x14ac:dyDescent="0.35">
      <c r="A247" s="4" t="str">
        <f>IF($J247=0,"",IF(INDEX(Datos!$A$2:$A$1000,$J247)="","",INDEX(Datos!$A$2:$A$1000,$J247)))</f>
        <v/>
      </c>
      <c r="B247" s="5" t="str">
        <f>IF($J247=0,"",IF(INDEX(Datos!$E$2:$E$1000,$J247)="","",INDEX(Datos!$E$2:$E$1000,$J247)))</f>
        <v/>
      </c>
      <c r="C247" s="5" t="str">
        <f>IF($J247=0,"",IF(INDEX(Datos!$I$2:$I$1000,$J247)="","",INDEX(Datos!$I$2:$I$1000,$J247)))</f>
        <v/>
      </c>
      <c r="D247" s="6" t="str">
        <f>IF($J247=0,"",IF(INDEX(Datos!$F$2:$F$1000,$J247)="","",INDEX(Datos!$F$2:$F$1000,$J247)))</f>
        <v/>
      </c>
      <c r="E247" s="7" t="str">
        <f>IF($J247=0,"",IF(INDEX(Datos!$H$2:$H$1000,$J247)="","",INDEX(Datos!$H$2:$H$1000,$J247)))</f>
        <v/>
      </c>
      <c r="F247" s="6" t="str">
        <f>IF($J247=0,"",IF(INDEX(Datos!$N$2:$N$1000,$J247)="","",INDEX(Datos!$N$2:$N$1000,$J247)))</f>
        <v/>
      </c>
      <c r="G247" s="8" t="str">
        <f>IF($J247=0,"",IF(INDEX(Datos!$M$2:$M$1000,$J247)="","",INDEX(Datos!$M$2:$M$1000,$J247)))</f>
        <v/>
      </c>
      <c r="H247" s="6" t="str">
        <f>IF($J247=0,"",INDEX(Datos!$J$2:$J$1000,$J247)&amp;IF(INDEX(Datos!$Q$2:$Q$1000,$J247)="",""," | "&amp;INDEX(Datos!$Q$2:$Q$1000,$J247)))</f>
        <v/>
      </c>
      <c r="J247">
        <f>IFERROR(MATCH(ROW()-17,Datos!$W$2:$W$1000,0),0)</f>
        <v>0</v>
      </c>
    </row>
    <row r="248" spans="1:10" ht="82" customHeight="1" x14ac:dyDescent="0.35">
      <c r="A248" s="4" t="str">
        <f>IF($J248=0,"",IF(INDEX(Datos!$A$2:$A$1000,$J248)="","",INDEX(Datos!$A$2:$A$1000,$J248)))</f>
        <v/>
      </c>
      <c r="B248" s="5" t="str">
        <f>IF($J248=0,"",IF(INDEX(Datos!$E$2:$E$1000,$J248)="","",INDEX(Datos!$E$2:$E$1000,$J248)))</f>
        <v/>
      </c>
      <c r="C248" s="5" t="str">
        <f>IF($J248=0,"",IF(INDEX(Datos!$I$2:$I$1000,$J248)="","",INDEX(Datos!$I$2:$I$1000,$J248)))</f>
        <v/>
      </c>
      <c r="D248" s="6" t="str">
        <f>IF($J248=0,"",IF(INDEX(Datos!$F$2:$F$1000,$J248)="","",INDEX(Datos!$F$2:$F$1000,$J248)))</f>
        <v/>
      </c>
      <c r="E248" s="7" t="str">
        <f>IF($J248=0,"",IF(INDEX(Datos!$H$2:$H$1000,$J248)="","",INDEX(Datos!$H$2:$H$1000,$J248)))</f>
        <v/>
      </c>
      <c r="F248" s="6" t="str">
        <f>IF($J248=0,"",IF(INDEX(Datos!$N$2:$N$1000,$J248)="","",INDEX(Datos!$N$2:$N$1000,$J248)))</f>
        <v/>
      </c>
      <c r="G248" s="8" t="str">
        <f>IF($J248=0,"",IF(INDEX(Datos!$M$2:$M$1000,$J248)="","",INDEX(Datos!$M$2:$M$1000,$J248)))</f>
        <v/>
      </c>
      <c r="H248" s="6" t="str">
        <f>IF($J248=0,"",INDEX(Datos!$J$2:$J$1000,$J248)&amp;IF(INDEX(Datos!$Q$2:$Q$1000,$J248)="",""," | "&amp;INDEX(Datos!$Q$2:$Q$1000,$J248)))</f>
        <v/>
      </c>
      <c r="J248">
        <f>IFERROR(MATCH(ROW()-17,Datos!$W$2:$W$1000,0),0)</f>
        <v>0</v>
      </c>
    </row>
    <row r="249" spans="1:10" ht="82" customHeight="1" x14ac:dyDescent="0.35">
      <c r="A249" s="4" t="str">
        <f>IF($J249=0,"",IF(INDEX(Datos!$A$2:$A$1000,$J249)="","",INDEX(Datos!$A$2:$A$1000,$J249)))</f>
        <v/>
      </c>
      <c r="B249" s="5" t="str">
        <f>IF($J249=0,"",IF(INDEX(Datos!$E$2:$E$1000,$J249)="","",INDEX(Datos!$E$2:$E$1000,$J249)))</f>
        <v/>
      </c>
      <c r="C249" s="5" t="str">
        <f>IF($J249=0,"",IF(INDEX(Datos!$I$2:$I$1000,$J249)="","",INDEX(Datos!$I$2:$I$1000,$J249)))</f>
        <v/>
      </c>
      <c r="D249" s="6" t="str">
        <f>IF($J249=0,"",IF(INDEX(Datos!$F$2:$F$1000,$J249)="","",INDEX(Datos!$F$2:$F$1000,$J249)))</f>
        <v/>
      </c>
      <c r="E249" s="7" t="str">
        <f>IF($J249=0,"",IF(INDEX(Datos!$H$2:$H$1000,$J249)="","",INDEX(Datos!$H$2:$H$1000,$J249)))</f>
        <v/>
      </c>
      <c r="F249" s="6" t="str">
        <f>IF($J249=0,"",IF(INDEX(Datos!$N$2:$N$1000,$J249)="","",INDEX(Datos!$N$2:$N$1000,$J249)))</f>
        <v/>
      </c>
      <c r="G249" s="8" t="str">
        <f>IF($J249=0,"",IF(INDEX(Datos!$M$2:$M$1000,$J249)="","",INDEX(Datos!$M$2:$M$1000,$J249)))</f>
        <v/>
      </c>
      <c r="H249" s="6" t="str">
        <f>IF($J249=0,"",INDEX(Datos!$J$2:$J$1000,$J249)&amp;IF(INDEX(Datos!$Q$2:$Q$1000,$J249)="",""," | "&amp;INDEX(Datos!$Q$2:$Q$1000,$J249)))</f>
        <v/>
      </c>
      <c r="J249">
        <f>IFERROR(MATCH(ROW()-17,Datos!$W$2:$W$1000,0),0)</f>
        <v>0</v>
      </c>
    </row>
    <row r="250" spans="1:10" ht="82" customHeight="1" x14ac:dyDescent="0.35">
      <c r="A250" s="4" t="str">
        <f>IF($J250=0,"",IF(INDEX(Datos!$A$2:$A$1000,$J250)="","",INDEX(Datos!$A$2:$A$1000,$J250)))</f>
        <v/>
      </c>
      <c r="B250" s="5" t="str">
        <f>IF($J250=0,"",IF(INDEX(Datos!$E$2:$E$1000,$J250)="","",INDEX(Datos!$E$2:$E$1000,$J250)))</f>
        <v/>
      </c>
      <c r="C250" s="5" t="str">
        <f>IF($J250=0,"",IF(INDEX(Datos!$I$2:$I$1000,$J250)="","",INDEX(Datos!$I$2:$I$1000,$J250)))</f>
        <v/>
      </c>
      <c r="D250" s="6" t="str">
        <f>IF($J250=0,"",IF(INDEX(Datos!$F$2:$F$1000,$J250)="","",INDEX(Datos!$F$2:$F$1000,$J250)))</f>
        <v/>
      </c>
      <c r="E250" s="7" t="str">
        <f>IF($J250=0,"",IF(INDEX(Datos!$H$2:$H$1000,$J250)="","",INDEX(Datos!$H$2:$H$1000,$J250)))</f>
        <v/>
      </c>
      <c r="F250" s="6" t="str">
        <f>IF($J250=0,"",IF(INDEX(Datos!$N$2:$N$1000,$J250)="","",INDEX(Datos!$N$2:$N$1000,$J250)))</f>
        <v/>
      </c>
      <c r="G250" s="8" t="str">
        <f>IF($J250=0,"",IF(INDEX(Datos!$M$2:$M$1000,$J250)="","",INDEX(Datos!$M$2:$M$1000,$J250)))</f>
        <v/>
      </c>
      <c r="H250" s="6" t="str">
        <f>IF($J250=0,"",INDEX(Datos!$J$2:$J$1000,$J250)&amp;IF(INDEX(Datos!$Q$2:$Q$1000,$J250)="",""," | "&amp;INDEX(Datos!$Q$2:$Q$1000,$J250)))</f>
        <v/>
      </c>
      <c r="J250">
        <f>IFERROR(MATCH(ROW()-17,Datos!$W$2:$W$1000,0),0)</f>
        <v>0</v>
      </c>
    </row>
    <row r="251" spans="1:10" ht="82" customHeight="1" x14ac:dyDescent="0.35">
      <c r="A251" s="4" t="str">
        <f>IF($J251=0,"",IF(INDEX(Datos!$A$2:$A$1000,$J251)="","",INDEX(Datos!$A$2:$A$1000,$J251)))</f>
        <v/>
      </c>
      <c r="B251" s="5" t="str">
        <f>IF($J251=0,"",IF(INDEX(Datos!$E$2:$E$1000,$J251)="","",INDEX(Datos!$E$2:$E$1000,$J251)))</f>
        <v/>
      </c>
      <c r="C251" s="5" t="str">
        <f>IF($J251=0,"",IF(INDEX(Datos!$I$2:$I$1000,$J251)="","",INDEX(Datos!$I$2:$I$1000,$J251)))</f>
        <v/>
      </c>
      <c r="D251" s="6" t="str">
        <f>IF($J251=0,"",IF(INDEX(Datos!$F$2:$F$1000,$J251)="","",INDEX(Datos!$F$2:$F$1000,$J251)))</f>
        <v/>
      </c>
      <c r="E251" s="7" t="str">
        <f>IF($J251=0,"",IF(INDEX(Datos!$H$2:$H$1000,$J251)="","",INDEX(Datos!$H$2:$H$1000,$J251)))</f>
        <v/>
      </c>
      <c r="F251" s="6" t="str">
        <f>IF($J251=0,"",IF(INDEX(Datos!$N$2:$N$1000,$J251)="","",INDEX(Datos!$N$2:$N$1000,$J251)))</f>
        <v/>
      </c>
      <c r="G251" s="8" t="str">
        <f>IF($J251=0,"",IF(INDEX(Datos!$M$2:$M$1000,$J251)="","",INDEX(Datos!$M$2:$M$1000,$J251)))</f>
        <v/>
      </c>
      <c r="H251" s="6" t="str">
        <f>IF($J251=0,"",INDEX(Datos!$J$2:$J$1000,$J251)&amp;IF(INDEX(Datos!$Q$2:$Q$1000,$J251)="",""," | "&amp;INDEX(Datos!$Q$2:$Q$1000,$J251)))</f>
        <v/>
      </c>
      <c r="J251">
        <f>IFERROR(MATCH(ROW()-17,Datos!$W$2:$W$1000,0),0)</f>
        <v>0</v>
      </c>
    </row>
    <row r="252" spans="1:10" ht="82" customHeight="1" x14ac:dyDescent="0.35">
      <c r="A252" s="4" t="str">
        <f>IF($J252=0,"",IF(INDEX(Datos!$A$2:$A$1000,$J252)="","",INDEX(Datos!$A$2:$A$1000,$J252)))</f>
        <v/>
      </c>
      <c r="B252" s="5" t="str">
        <f>IF($J252=0,"",IF(INDEX(Datos!$E$2:$E$1000,$J252)="","",INDEX(Datos!$E$2:$E$1000,$J252)))</f>
        <v/>
      </c>
      <c r="C252" s="5" t="str">
        <f>IF($J252=0,"",IF(INDEX(Datos!$I$2:$I$1000,$J252)="","",INDEX(Datos!$I$2:$I$1000,$J252)))</f>
        <v/>
      </c>
      <c r="D252" s="6" t="str">
        <f>IF($J252=0,"",IF(INDEX(Datos!$F$2:$F$1000,$J252)="","",INDEX(Datos!$F$2:$F$1000,$J252)))</f>
        <v/>
      </c>
      <c r="E252" s="7" t="str">
        <f>IF($J252=0,"",IF(INDEX(Datos!$H$2:$H$1000,$J252)="","",INDEX(Datos!$H$2:$H$1000,$J252)))</f>
        <v/>
      </c>
      <c r="F252" s="6" t="str">
        <f>IF($J252=0,"",IF(INDEX(Datos!$N$2:$N$1000,$J252)="","",INDEX(Datos!$N$2:$N$1000,$J252)))</f>
        <v/>
      </c>
      <c r="G252" s="8" t="str">
        <f>IF($J252=0,"",IF(INDEX(Datos!$M$2:$M$1000,$J252)="","",INDEX(Datos!$M$2:$M$1000,$J252)))</f>
        <v/>
      </c>
      <c r="H252" s="6" t="str">
        <f>IF($J252=0,"",INDEX(Datos!$J$2:$J$1000,$J252)&amp;IF(INDEX(Datos!$Q$2:$Q$1000,$J252)="",""," | "&amp;INDEX(Datos!$Q$2:$Q$1000,$J252)))</f>
        <v/>
      </c>
      <c r="J252">
        <f>IFERROR(MATCH(ROW()-17,Datos!$W$2:$W$1000,0),0)</f>
        <v>0</v>
      </c>
    </row>
    <row r="253" spans="1:10" ht="82" customHeight="1" x14ac:dyDescent="0.35">
      <c r="A253" s="4" t="str">
        <f>IF($J253=0,"",IF(INDEX(Datos!$A$2:$A$1000,$J253)="","",INDEX(Datos!$A$2:$A$1000,$J253)))</f>
        <v/>
      </c>
      <c r="B253" s="5" t="str">
        <f>IF($J253=0,"",IF(INDEX(Datos!$E$2:$E$1000,$J253)="","",INDEX(Datos!$E$2:$E$1000,$J253)))</f>
        <v/>
      </c>
      <c r="C253" s="5" t="str">
        <f>IF($J253=0,"",IF(INDEX(Datos!$I$2:$I$1000,$J253)="","",INDEX(Datos!$I$2:$I$1000,$J253)))</f>
        <v/>
      </c>
      <c r="D253" s="6" t="str">
        <f>IF($J253=0,"",IF(INDEX(Datos!$F$2:$F$1000,$J253)="","",INDEX(Datos!$F$2:$F$1000,$J253)))</f>
        <v/>
      </c>
      <c r="E253" s="7" t="str">
        <f>IF($J253=0,"",IF(INDEX(Datos!$H$2:$H$1000,$J253)="","",INDEX(Datos!$H$2:$H$1000,$J253)))</f>
        <v/>
      </c>
      <c r="F253" s="6" t="str">
        <f>IF($J253=0,"",IF(INDEX(Datos!$N$2:$N$1000,$J253)="","",INDEX(Datos!$N$2:$N$1000,$J253)))</f>
        <v/>
      </c>
      <c r="G253" s="8" t="str">
        <f>IF($J253=0,"",IF(INDEX(Datos!$M$2:$M$1000,$J253)="","",INDEX(Datos!$M$2:$M$1000,$J253)))</f>
        <v/>
      </c>
      <c r="H253" s="6" t="str">
        <f>IF($J253=0,"",INDEX(Datos!$J$2:$J$1000,$J253)&amp;IF(INDEX(Datos!$Q$2:$Q$1000,$J253)="",""," | "&amp;INDEX(Datos!$Q$2:$Q$1000,$J253)))</f>
        <v/>
      </c>
      <c r="J253">
        <f>IFERROR(MATCH(ROW()-17,Datos!$W$2:$W$1000,0),0)</f>
        <v>0</v>
      </c>
    </row>
    <row r="254" spans="1:10" ht="82" customHeight="1" x14ac:dyDescent="0.35">
      <c r="A254" s="4" t="str">
        <f>IF($J254=0,"",IF(INDEX(Datos!$A$2:$A$1000,$J254)="","",INDEX(Datos!$A$2:$A$1000,$J254)))</f>
        <v/>
      </c>
      <c r="B254" s="5" t="str">
        <f>IF($J254=0,"",IF(INDEX(Datos!$E$2:$E$1000,$J254)="","",INDEX(Datos!$E$2:$E$1000,$J254)))</f>
        <v/>
      </c>
      <c r="C254" s="5" t="str">
        <f>IF($J254=0,"",IF(INDEX(Datos!$I$2:$I$1000,$J254)="","",INDEX(Datos!$I$2:$I$1000,$J254)))</f>
        <v/>
      </c>
      <c r="D254" s="6" t="str">
        <f>IF($J254=0,"",IF(INDEX(Datos!$F$2:$F$1000,$J254)="","",INDEX(Datos!$F$2:$F$1000,$J254)))</f>
        <v/>
      </c>
      <c r="E254" s="7" t="str">
        <f>IF($J254=0,"",IF(INDEX(Datos!$H$2:$H$1000,$J254)="","",INDEX(Datos!$H$2:$H$1000,$J254)))</f>
        <v/>
      </c>
      <c r="F254" s="6" t="str">
        <f>IF($J254=0,"",IF(INDEX(Datos!$N$2:$N$1000,$J254)="","",INDEX(Datos!$N$2:$N$1000,$J254)))</f>
        <v/>
      </c>
      <c r="G254" s="8" t="str">
        <f>IF($J254=0,"",IF(INDEX(Datos!$M$2:$M$1000,$J254)="","",INDEX(Datos!$M$2:$M$1000,$J254)))</f>
        <v/>
      </c>
      <c r="H254" s="6" t="str">
        <f>IF($J254=0,"",INDEX(Datos!$J$2:$J$1000,$J254)&amp;IF(INDEX(Datos!$Q$2:$Q$1000,$J254)="",""," | "&amp;INDEX(Datos!$Q$2:$Q$1000,$J254)))</f>
        <v/>
      </c>
      <c r="J254">
        <f>IFERROR(MATCH(ROW()-17,Datos!$W$2:$W$1000,0),0)</f>
        <v>0</v>
      </c>
    </row>
    <row r="255" spans="1:10" ht="82" customHeight="1" x14ac:dyDescent="0.35">
      <c r="A255" s="4" t="str">
        <f>IF($J255=0,"",IF(INDEX(Datos!$A$2:$A$1000,$J255)="","",INDEX(Datos!$A$2:$A$1000,$J255)))</f>
        <v/>
      </c>
      <c r="B255" s="5" t="str">
        <f>IF($J255=0,"",IF(INDEX(Datos!$E$2:$E$1000,$J255)="","",INDEX(Datos!$E$2:$E$1000,$J255)))</f>
        <v/>
      </c>
      <c r="C255" s="5" t="str">
        <f>IF($J255=0,"",IF(INDEX(Datos!$I$2:$I$1000,$J255)="","",INDEX(Datos!$I$2:$I$1000,$J255)))</f>
        <v/>
      </c>
      <c r="D255" s="6" t="str">
        <f>IF($J255=0,"",IF(INDEX(Datos!$F$2:$F$1000,$J255)="","",INDEX(Datos!$F$2:$F$1000,$J255)))</f>
        <v/>
      </c>
      <c r="E255" s="7" t="str">
        <f>IF($J255=0,"",IF(INDEX(Datos!$H$2:$H$1000,$J255)="","",INDEX(Datos!$H$2:$H$1000,$J255)))</f>
        <v/>
      </c>
      <c r="F255" s="6" t="str">
        <f>IF($J255=0,"",IF(INDEX(Datos!$N$2:$N$1000,$J255)="","",INDEX(Datos!$N$2:$N$1000,$J255)))</f>
        <v/>
      </c>
      <c r="G255" s="8" t="str">
        <f>IF($J255=0,"",IF(INDEX(Datos!$M$2:$M$1000,$J255)="","",INDEX(Datos!$M$2:$M$1000,$J255)))</f>
        <v/>
      </c>
      <c r="H255" s="6" t="str">
        <f>IF($J255=0,"",INDEX(Datos!$J$2:$J$1000,$J255)&amp;IF(INDEX(Datos!$Q$2:$Q$1000,$J255)="",""," | "&amp;INDEX(Datos!$Q$2:$Q$1000,$J255)))</f>
        <v/>
      </c>
      <c r="J255">
        <f>IFERROR(MATCH(ROW()-17,Datos!$W$2:$W$1000,0),0)</f>
        <v>0</v>
      </c>
    </row>
    <row r="256" spans="1:10" ht="82" customHeight="1" x14ac:dyDescent="0.35">
      <c r="A256" s="4" t="str">
        <f>IF($J256=0,"",IF(INDEX(Datos!$A$2:$A$1000,$J256)="","",INDEX(Datos!$A$2:$A$1000,$J256)))</f>
        <v/>
      </c>
      <c r="B256" s="5" t="str">
        <f>IF($J256=0,"",IF(INDEX(Datos!$E$2:$E$1000,$J256)="","",INDEX(Datos!$E$2:$E$1000,$J256)))</f>
        <v/>
      </c>
      <c r="C256" s="5" t="str">
        <f>IF($J256=0,"",IF(INDEX(Datos!$I$2:$I$1000,$J256)="","",INDEX(Datos!$I$2:$I$1000,$J256)))</f>
        <v/>
      </c>
      <c r="D256" s="6" t="str">
        <f>IF($J256=0,"",IF(INDEX(Datos!$F$2:$F$1000,$J256)="","",INDEX(Datos!$F$2:$F$1000,$J256)))</f>
        <v/>
      </c>
      <c r="E256" s="7" t="str">
        <f>IF($J256=0,"",IF(INDEX(Datos!$H$2:$H$1000,$J256)="","",INDEX(Datos!$H$2:$H$1000,$J256)))</f>
        <v/>
      </c>
      <c r="F256" s="6" t="str">
        <f>IF($J256=0,"",IF(INDEX(Datos!$N$2:$N$1000,$J256)="","",INDEX(Datos!$N$2:$N$1000,$J256)))</f>
        <v/>
      </c>
      <c r="G256" s="8" t="str">
        <f>IF($J256=0,"",IF(INDEX(Datos!$M$2:$M$1000,$J256)="","",INDEX(Datos!$M$2:$M$1000,$J256)))</f>
        <v/>
      </c>
      <c r="H256" s="6" t="str">
        <f>IF($J256=0,"",INDEX(Datos!$J$2:$J$1000,$J256)&amp;IF(INDEX(Datos!$Q$2:$Q$1000,$J256)="",""," | "&amp;INDEX(Datos!$Q$2:$Q$1000,$J256)))</f>
        <v/>
      </c>
      <c r="J256">
        <f>IFERROR(MATCH(ROW()-17,Datos!$W$2:$W$1000,0),0)</f>
        <v>0</v>
      </c>
    </row>
    <row r="257" spans="1:10" ht="82" customHeight="1" x14ac:dyDescent="0.35">
      <c r="A257" s="4" t="str">
        <f>IF($J257=0,"",IF(INDEX(Datos!$A$2:$A$1000,$J257)="","",INDEX(Datos!$A$2:$A$1000,$J257)))</f>
        <v/>
      </c>
      <c r="B257" s="5" t="str">
        <f>IF($J257=0,"",IF(INDEX(Datos!$E$2:$E$1000,$J257)="","",INDEX(Datos!$E$2:$E$1000,$J257)))</f>
        <v/>
      </c>
      <c r="C257" s="5" t="str">
        <f>IF($J257=0,"",IF(INDEX(Datos!$I$2:$I$1000,$J257)="","",INDEX(Datos!$I$2:$I$1000,$J257)))</f>
        <v/>
      </c>
      <c r="D257" s="6" t="str">
        <f>IF($J257=0,"",IF(INDEX(Datos!$F$2:$F$1000,$J257)="","",INDEX(Datos!$F$2:$F$1000,$J257)))</f>
        <v/>
      </c>
      <c r="E257" s="7" t="str">
        <f>IF($J257=0,"",IF(INDEX(Datos!$H$2:$H$1000,$J257)="","",INDEX(Datos!$H$2:$H$1000,$J257)))</f>
        <v/>
      </c>
      <c r="F257" s="6" t="str">
        <f>IF($J257=0,"",IF(INDEX(Datos!$N$2:$N$1000,$J257)="","",INDEX(Datos!$N$2:$N$1000,$J257)))</f>
        <v/>
      </c>
      <c r="G257" s="8" t="str">
        <f>IF($J257=0,"",IF(INDEX(Datos!$M$2:$M$1000,$J257)="","",INDEX(Datos!$M$2:$M$1000,$J257)))</f>
        <v/>
      </c>
      <c r="H257" s="6" t="str">
        <f>IF($J257=0,"",INDEX(Datos!$J$2:$J$1000,$J257)&amp;IF(INDEX(Datos!$Q$2:$Q$1000,$J257)="",""," | "&amp;INDEX(Datos!$Q$2:$Q$1000,$J257)))</f>
        <v/>
      </c>
      <c r="J257">
        <f>IFERROR(MATCH(ROW()-17,Datos!$W$2:$W$1000,0),0)</f>
        <v>0</v>
      </c>
    </row>
    <row r="258" spans="1:10" ht="82" customHeight="1" x14ac:dyDescent="0.35">
      <c r="A258" s="4" t="str">
        <f>IF($J258=0,"",IF(INDEX(Datos!$A$2:$A$1000,$J258)="","",INDEX(Datos!$A$2:$A$1000,$J258)))</f>
        <v/>
      </c>
      <c r="B258" s="5" t="str">
        <f>IF($J258=0,"",IF(INDEX(Datos!$E$2:$E$1000,$J258)="","",INDEX(Datos!$E$2:$E$1000,$J258)))</f>
        <v/>
      </c>
      <c r="C258" s="5" t="str">
        <f>IF($J258=0,"",IF(INDEX(Datos!$I$2:$I$1000,$J258)="","",INDEX(Datos!$I$2:$I$1000,$J258)))</f>
        <v/>
      </c>
      <c r="D258" s="6" t="str">
        <f>IF($J258=0,"",IF(INDEX(Datos!$F$2:$F$1000,$J258)="","",INDEX(Datos!$F$2:$F$1000,$J258)))</f>
        <v/>
      </c>
      <c r="E258" s="7" t="str">
        <f>IF($J258=0,"",IF(INDEX(Datos!$H$2:$H$1000,$J258)="","",INDEX(Datos!$H$2:$H$1000,$J258)))</f>
        <v/>
      </c>
      <c r="F258" s="6" t="str">
        <f>IF($J258=0,"",IF(INDEX(Datos!$N$2:$N$1000,$J258)="","",INDEX(Datos!$N$2:$N$1000,$J258)))</f>
        <v/>
      </c>
      <c r="G258" s="8" t="str">
        <f>IF($J258=0,"",IF(INDEX(Datos!$M$2:$M$1000,$J258)="","",INDEX(Datos!$M$2:$M$1000,$J258)))</f>
        <v/>
      </c>
      <c r="H258" s="6" t="str">
        <f>IF($J258=0,"",INDEX(Datos!$J$2:$J$1000,$J258)&amp;IF(INDEX(Datos!$Q$2:$Q$1000,$J258)="",""," | "&amp;INDEX(Datos!$Q$2:$Q$1000,$J258)))</f>
        <v/>
      </c>
      <c r="J258">
        <f>IFERROR(MATCH(ROW()-17,Datos!$W$2:$W$1000,0),0)</f>
        <v>0</v>
      </c>
    </row>
    <row r="259" spans="1:10" ht="82" customHeight="1" x14ac:dyDescent="0.35">
      <c r="A259" s="4" t="str">
        <f>IF($J259=0,"",IF(INDEX(Datos!$A$2:$A$1000,$J259)="","",INDEX(Datos!$A$2:$A$1000,$J259)))</f>
        <v/>
      </c>
      <c r="B259" s="5" t="str">
        <f>IF($J259=0,"",IF(INDEX(Datos!$E$2:$E$1000,$J259)="","",INDEX(Datos!$E$2:$E$1000,$J259)))</f>
        <v/>
      </c>
      <c r="C259" s="5" t="str">
        <f>IF($J259=0,"",IF(INDEX(Datos!$I$2:$I$1000,$J259)="","",INDEX(Datos!$I$2:$I$1000,$J259)))</f>
        <v/>
      </c>
      <c r="D259" s="6" t="str">
        <f>IF($J259=0,"",IF(INDEX(Datos!$F$2:$F$1000,$J259)="","",INDEX(Datos!$F$2:$F$1000,$J259)))</f>
        <v/>
      </c>
      <c r="E259" s="7" t="str">
        <f>IF($J259=0,"",IF(INDEX(Datos!$H$2:$H$1000,$J259)="","",INDEX(Datos!$H$2:$H$1000,$J259)))</f>
        <v/>
      </c>
      <c r="F259" s="6" t="str">
        <f>IF($J259=0,"",IF(INDEX(Datos!$N$2:$N$1000,$J259)="","",INDEX(Datos!$N$2:$N$1000,$J259)))</f>
        <v/>
      </c>
      <c r="G259" s="8" t="str">
        <f>IF($J259=0,"",IF(INDEX(Datos!$M$2:$M$1000,$J259)="","",INDEX(Datos!$M$2:$M$1000,$J259)))</f>
        <v/>
      </c>
      <c r="H259" s="6" t="str">
        <f>IF($J259=0,"",INDEX(Datos!$J$2:$J$1000,$J259)&amp;IF(INDEX(Datos!$Q$2:$Q$1000,$J259)="",""," | "&amp;INDEX(Datos!$Q$2:$Q$1000,$J259)))</f>
        <v/>
      </c>
      <c r="J259">
        <f>IFERROR(MATCH(ROW()-17,Datos!$W$2:$W$1000,0),0)</f>
        <v>0</v>
      </c>
    </row>
    <row r="260" spans="1:10" ht="82" customHeight="1" x14ac:dyDescent="0.35">
      <c r="A260" s="4" t="str">
        <f>IF($J260=0,"",IF(INDEX(Datos!$A$2:$A$1000,$J260)="","",INDEX(Datos!$A$2:$A$1000,$J260)))</f>
        <v/>
      </c>
      <c r="B260" s="5" t="str">
        <f>IF($J260=0,"",IF(INDEX(Datos!$E$2:$E$1000,$J260)="","",INDEX(Datos!$E$2:$E$1000,$J260)))</f>
        <v/>
      </c>
      <c r="C260" s="5" t="str">
        <f>IF($J260=0,"",IF(INDEX(Datos!$I$2:$I$1000,$J260)="","",INDEX(Datos!$I$2:$I$1000,$J260)))</f>
        <v/>
      </c>
      <c r="D260" s="6" t="str">
        <f>IF($J260=0,"",IF(INDEX(Datos!$F$2:$F$1000,$J260)="","",INDEX(Datos!$F$2:$F$1000,$J260)))</f>
        <v/>
      </c>
      <c r="E260" s="7" t="str">
        <f>IF($J260=0,"",IF(INDEX(Datos!$H$2:$H$1000,$J260)="","",INDEX(Datos!$H$2:$H$1000,$J260)))</f>
        <v/>
      </c>
      <c r="F260" s="6" t="str">
        <f>IF($J260=0,"",IF(INDEX(Datos!$N$2:$N$1000,$J260)="","",INDEX(Datos!$N$2:$N$1000,$J260)))</f>
        <v/>
      </c>
      <c r="G260" s="8" t="str">
        <f>IF($J260=0,"",IF(INDEX(Datos!$M$2:$M$1000,$J260)="","",INDEX(Datos!$M$2:$M$1000,$J260)))</f>
        <v/>
      </c>
      <c r="H260" s="6" t="str">
        <f>IF($J260=0,"",INDEX(Datos!$J$2:$J$1000,$J260)&amp;IF(INDEX(Datos!$Q$2:$Q$1000,$J260)="",""," | "&amp;INDEX(Datos!$Q$2:$Q$1000,$J260)))</f>
        <v/>
      </c>
      <c r="J260">
        <f>IFERROR(MATCH(ROW()-17,Datos!$W$2:$W$1000,0),0)</f>
        <v>0</v>
      </c>
    </row>
    <row r="261" spans="1:10" ht="82" customHeight="1" x14ac:dyDescent="0.35">
      <c r="A261" s="4" t="str">
        <f>IF($J261=0,"",IF(INDEX(Datos!$A$2:$A$1000,$J261)="","",INDEX(Datos!$A$2:$A$1000,$J261)))</f>
        <v/>
      </c>
      <c r="B261" s="5" t="str">
        <f>IF($J261=0,"",IF(INDEX(Datos!$E$2:$E$1000,$J261)="","",INDEX(Datos!$E$2:$E$1000,$J261)))</f>
        <v/>
      </c>
      <c r="C261" s="5" t="str">
        <f>IF($J261=0,"",IF(INDEX(Datos!$I$2:$I$1000,$J261)="","",INDEX(Datos!$I$2:$I$1000,$J261)))</f>
        <v/>
      </c>
      <c r="D261" s="6" t="str">
        <f>IF($J261=0,"",IF(INDEX(Datos!$F$2:$F$1000,$J261)="","",INDEX(Datos!$F$2:$F$1000,$J261)))</f>
        <v/>
      </c>
      <c r="E261" s="7" t="str">
        <f>IF($J261=0,"",IF(INDEX(Datos!$H$2:$H$1000,$J261)="","",INDEX(Datos!$H$2:$H$1000,$J261)))</f>
        <v/>
      </c>
      <c r="F261" s="6" t="str">
        <f>IF($J261=0,"",IF(INDEX(Datos!$N$2:$N$1000,$J261)="","",INDEX(Datos!$N$2:$N$1000,$J261)))</f>
        <v/>
      </c>
      <c r="G261" s="8" t="str">
        <f>IF($J261=0,"",IF(INDEX(Datos!$M$2:$M$1000,$J261)="","",INDEX(Datos!$M$2:$M$1000,$J261)))</f>
        <v/>
      </c>
      <c r="H261" s="6" t="str">
        <f>IF($J261=0,"",INDEX(Datos!$J$2:$J$1000,$J261)&amp;IF(INDEX(Datos!$Q$2:$Q$1000,$J261)="",""," | "&amp;INDEX(Datos!$Q$2:$Q$1000,$J261)))</f>
        <v/>
      </c>
      <c r="J261">
        <f>IFERROR(MATCH(ROW()-17,Datos!$W$2:$W$1000,0),0)</f>
        <v>0</v>
      </c>
    </row>
    <row r="262" spans="1:10" ht="82" customHeight="1" x14ac:dyDescent="0.35">
      <c r="A262" s="4" t="str">
        <f>IF($J262=0,"",IF(INDEX(Datos!$A$2:$A$1000,$J262)="","",INDEX(Datos!$A$2:$A$1000,$J262)))</f>
        <v/>
      </c>
      <c r="B262" s="5" t="str">
        <f>IF($J262=0,"",IF(INDEX(Datos!$E$2:$E$1000,$J262)="","",INDEX(Datos!$E$2:$E$1000,$J262)))</f>
        <v/>
      </c>
      <c r="C262" s="5" t="str">
        <f>IF($J262=0,"",IF(INDEX(Datos!$I$2:$I$1000,$J262)="","",INDEX(Datos!$I$2:$I$1000,$J262)))</f>
        <v/>
      </c>
      <c r="D262" s="6" t="str">
        <f>IF($J262=0,"",IF(INDEX(Datos!$F$2:$F$1000,$J262)="","",INDEX(Datos!$F$2:$F$1000,$J262)))</f>
        <v/>
      </c>
      <c r="E262" s="7" t="str">
        <f>IF($J262=0,"",IF(INDEX(Datos!$H$2:$H$1000,$J262)="","",INDEX(Datos!$H$2:$H$1000,$J262)))</f>
        <v/>
      </c>
      <c r="F262" s="6" t="str">
        <f>IF($J262=0,"",IF(INDEX(Datos!$N$2:$N$1000,$J262)="","",INDEX(Datos!$N$2:$N$1000,$J262)))</f>
        <v/>
      </c>
      <c r="G262" s="8" t="str">
        <f>IF($J262=0,"",IF(INDEX(Datos!$M$2:$M$1000,$J262)="","",INDEX(Datos!$M$2:$M$1000,$J262)))</f>
        <v/>
      </c>
      <c r="H262" s="6" t="str">
        <f>IF($J262=0,"",INDEX(Datos!$J$2:$J$1000,$J262)&amp;IF(INDEX(Datos!$Q$2:$Q$1000,$J262)="",""," | "&amp;INDEX(Datos!$Q$2:$Q$1000,$J262)))</f>
        <v/>
      </c>
      <c r="J262">
        <f>IFERROR(MATCH(ROW()-17,Datos!$W$2:$W$1000,0),0)</f>
        <v>0</v>
      </c>
    </row>
    <row r="263" spans="1:10" ht="82" customHeight="1" x14ac:dyDescent="0.35">
      <c r="A263" s="4" t="str">
        <f>IF($J263=0,"",IF(INDEX(Datos!$A$2:$A$1000,$J263)="","",INDEX(Datos!$A$2:$A$1000,$J263)))</f>
        <v/>
      </c>
      <c r="B263" s="5" t="str">
        <f>IF($J263=0,"",IF(INDEX(Datos!$E$2:$E$1000,$J263)="","",INDEX(Datos!$E$2:$E$1000,$J263)))</f>
        <v/>
      </c>
      <c r="C263" s="5" t="str">
        <f>IF($J263=0,"",IF(INDEX(Datos!$I$2:$I$1000,$J263)="","",INDEX(Datos!$I$2:$I$1000,$J263)))</f>
        <v/>
      </c>
      <c r="D263" s="6" t="str">
        <f>IF($J263=0,"",IF(INDEX(Datos!$F$2:$F$1000,$J263)="","",INDEX(Datos!$F$2:$F$1000,$J263)))</f>
        <v/>
      </c>
      <c r="E263" s="7" t="str">
        <f>IF($J263=0,"",IF(INDEX(Datos!$H$2:$H$1000,$J263)="","",INDEX(Datos!$H$2:$H$1000,$J263)))</f>
        <v/>
      </c>
      <c r="F263" s="6" t="str">
        <f>IF($J263=0,"",IF(INDEX(Datos!$N$2:$N$1000,$J263)="","",INDEX(Datos!$N$2:$N$1000,$J263)))</f>
        <v/>
      </c>
      <c r="G263" s="8" t="str">
        <f>IF($J263=0,"",IF(INDEX(Datos!$M$2:$M$1000,$J263)="","",INDEX(Datos!$M$2:$M$1000,$J263)))</f>
        <v/>
      </c>
      <c r="H263" s="6" t="str">
        <f>IF($J263=0,"",INDEX(Datos!$J$2:$J$1000,$J263)&amp;IF(INDEX(Datos!$Q$2:$Q$1000,$J263)="",""," | "&amp;INDEX(Datos!$Q$2:$Q$1000,$J263)))</f>
        <v/>
      </c>
      <c r="J263">
        <f>IFERROR(MATCH(ROW()-17,Datos!$W$2:$W$1000,0),0)</f>
        <v>0</v>
      </c>
    </row>
    <row r="264" spans="1:10" ht="82" customHeight="1" x14ac:dyDescent="0.35">
      <c r="A264" s="4" t="str">
        <f>IF($J264=0,"",IF(INDEX(Datos!$A$2:$A$1000,$J264)="","",INDEX(Datos!$A$2:$A$1000,$J264)))</f>
        <v/>
      </c>
      <c r="B264" s="5" t="str">
        <f>IF($J264=0,"",IF(INDEX(Datos!$E$2:$E$1000,$J264)="","",INDEX(Datos!$E$2:$E$1000,$J264)))</f>
        <v/>
      </c>
      <c r="C264" s="5" t="str">
        <f>IF($J264=0,"",IF(INDEX(Datos!$I$2:$I$1000,$J264)="","",INDEX(Datos!$I$2:$I$1000,$J264)))</f>
        <v/>
      </c>
      <c r="D264" s="6" t="str">
        <f>IF($J264=0,"",IF(INDEX(Datos!$F$2:$F$1000,$J264)="","",INDEX(Datos!$F$2:$F$1000,$J264)))</f>
        <v/>
      </c>
      <c r="E264" s="7" t="str">
        <f>IF($J264=0,"",IF(INDEX(Datos!$H$2:$H$1000,$J264)="","",INDEX(Datos!$H$2:$H$1000,$J264)))</f>
        <v/>
      </c>
      <c r="F264" s="6" t="str">
        <f>IF($J264=0,"",IF(INDEX(Datos!$N$2:$N$1000,$J264)="","",INDEX(Datos!$N$2:$N$1000,$J264)))</f>
        <v/>
      </c>
      <c r="G264" s="8" t="str">
        <f>IF($J264=0,"",IF(INDEX(Datos!$M$2:$M$1000,$J264)="","",INDEX(Datos!$M$2:$M$1000,$J264)))</f>
        <v/>
      </c>
      <c r="H264" s="6" t="str">
        <f>IF($J264=0,"",INDEX(Datos!$J$2:$J$1000,$J264)&amp;IF(INDEX(Datos!$Q$2:$Q$1000,$J264)="",""," | "&amp;INDEX(Datos!$Q$2:$Q$1000,$J264)))</f>
        <v/>
      </c>
      <c r="J264">
        <f>IFERROR(MATCH(ROW()-17,Datos!$W$2:$W$1000,0),0)</f>
        <v>0</v>
      </c>
    </row>
    <row r="265" spans="1:10" ht="82" customHeight="1" x14ac:dyDescent="0.35">
      <c r="A265" s="4" t="str">
        <f>IF($J265=0,"",IF(INDEX(Datos!$A$2:$A$1000,$J265)="","",INDEX(Datos!$A$2:$A$1000,$J265)))</f>
        <v/>
      </c>
      <c r="B265" s="5" t="str">
        <f>IF($J265=0,"",IF(INDEX(Datos!$E$2:$E$1000,$J265)="","",INDEX(Datos!$E$2:$E$1000,$J265)))</f>
        <v/>
      </c>
      <c r="C265" s="5" t="str">
        <f>IF($J265=0,"",IF(INDEX(Datos!$I$2:$I$1000,$J265)="","",INDEX(Datos!$I$2:$I$1000,$J265)))</f>
        <v/>
      </c>
      <c r="D265" s="6" t="str">
        <f>IF($J265=0,"",IF(INDEX(Datos!$F$2:$F$1000,$J265)="","",INDEX(Datos!$F$2:$F$1000,$J265)))</f>
        <v/>
      </c>
      <c r="E265" s="7" t="str">
        <f>IF($J265=0,"",IF(INDEX(Datos!$H$2:$H$1000,$J265)="","",INDEX(Datos!$H$2:$H$1000,$J265)))</f>
        <v/>
      </c>
      <c r="F265" s="6" t="str">
        <f>IF($J265=0,"",IF(INDEX(Datos!$N$2:$N$1000,$J265)="","",INDEX(Datos!$N$2:$N$1000,$J265)))</f>
        <v/>
      </c>
      <c r="G265" s="8" t="str">
        <f>IF($J265=0,"",IF(INDEX(Datos!$M$2:$M$1000,$J265)="","",INDEX(Datos!$M$2:$M$1000,$J265)))</f>
        <v/>
      </c>
      <c r="H265" s="6" t="str">
        <f>IF($J265=0,"",INDEX(Datos!$J$2:$J$1000,$J265)&amp;IF(INDEX(Datos!$Q$2:$Q$1000,$J265)="",""," | "&amp;INDEX(Datos!$Q$2:$Q$1000,$J265)))</f>
        <v/>
      </c>
      <c r="J265">
        <f>IFERROR(MATCH(ROW()-17,Datos!$W$2:$W$1000,0),0)</f>
        <v>0</v>
      </c>
    </row>
    <row r="266" spans="1:10" ht="82" customHeight="1" x14ac:dyDescent="0.35">
      <c r="A266" s="4" t="str">
        <f>IF($J266=0,"",IF(INDEX(Datos!$A$2:$A$1000,$J266)="","",INDEX(Datos!$A$2:$A$1000,$J266)))</f>
        <v/>
      </c>
      <c r="B266" s="5" t="str">
        <f>IF($J266=0,"",IF(INDEX(Datos!$E$2:$E$1000,$J266)="","",INDEX(Datos!$E$2:$E$1000,$J266)))</f>
        <v/>
      </c>
      <c r="C266" s="5" t="str">
        <f>IF($J266=0,"",IF(INDEX(Datos!$I$2:$I$1000,$J266)="","",INDEX(Datos!$I$2:$I$1000,$J266)))</f>
        <v/>
      </c>
      <c r="D266" s="6" t="str">
        <f>IF($J266=0,"",IF(INDEX(Datos!$F$2:$F$1000,$J266)="","",INDEX(Datos!$F$2:$F$1000,$J266)))</f>
        <v/>
      </c>
      <c r="E266" s="7" t="str">
        <f>IF($J266=0,"",IF(INDEX(Datos!$H$2:$H$1000,$J266)="","",INDEX(Datos!$H$2:$H$1000,$J266)))</f>
        <v/>
      </c>
      <c r="F266" s="6" t="str">
        <f>IF($J266=0,"",IF(INDEX(Datos!$N$2:$N$1000,$J266)="","",INDEX(Datos!$N$2:$N$1000,$J266)))</f>
        <v/>
      </c>
      <c r="G266" s="8" t="str">
        <f>IF($J266=0,"",IF(INDEX(Datos!$M$2:$M$1000,$J266)="","",INDEX(Datos!$M$2:$M$1000,$J266)))</f>
        <v/>
      </c>
      <c r="H266" s="6" t="str">
        <f>IF($J266=0,"",INDEX(Datos!$J$2:$J$1000,$J266)&amp;IF(INDEX(Datos!$Q$2:$Q$1000,$J266)="",""," | "&amp;INDEX(Datos!$Q$2:$Q$1000,$J266)))</f>
        <v/>
      </c>
      <c r="J266">
        <f>IFERROR(MATCH(ROW()-17,Datos!$W$2:$W$1000,0),0)</f>
        <v>0</v>
      </c>
    </row>
    <row r="267" spans="1:10" ht="82" customHeight="1" x14ac:dyDescent="0.35">
      <c r="A267" s="4" t="str">
        <f>IF($J267=0,"",IF(INDEX(Datos!$A$2:$A$1000,$J267)="","",INDEX(Datos!$A$2:$A$1000,$J267)))</f>
        <v/>
      </c>
      <c r="B267" s="5" t="str">
        <f>IF($J267=0,"",IF(INDEX(Datos!$E$2:$E$1000,$J267)="","",INDEX(Datos!$E$2:$E$1000,$J267)))</f>
        <v/>
      </c>
      <c r="C267" s="5" t="str">
        <f>IF($J267=0,"",IF(INDEX(Datos!$I$2:$I$1000,$J267)="","",INDEX(Datos!$I$2:$I$1000,$J267)))</f>
        <v/>
      </c>
      <c r="D267" s="6" t="str">
        <f>IF($J267=0,"",IF(INDEX(Datos!$F$2:$F$1000,$J267)="","",INDEX(Datos!$F$2:$F$1000,$J267)))</f>
        <v/>
      </c>
      <c r="E267" s="7" t="str">
        <f>IF($J267=0,"",IF(INDEX(Datos!$H$2:$H$1000,$J267)="","",INDEX(Datos!$H$2:$H$1000,$J267)))</f>
        <v/>
      </c>
      <c r="F267" s="6" t="str">
        <f>IF($J267=0,"",IF(INDEX(Datos!$N$2:$N$1000,$J267)="","",INDEX(Datos!$N$2:$N$1000,$J267)))</f>
        <v/>
      </c>
      <c r="G267" s="8" t="str">
        <f>IF($J267=0,"",IF(INDEX(Datos!$M$2:$M$1000,$J267)="","",INDEX(Datos!$M$2:$M$1000,$J267)))</f>
        <v/>
      </c>
      <c r="H267" s="6" t="str">
        <f>IF($J267=0,"",INDEX(Datos!$J$2:$J$1000,$J267)&amp;IF(INDEX(Datos!$Q$2:$Q$1000,$J267)="",""," | "&amp;INDEX(Datos!$Q$2:$Q$1000,$J267)))</f>
        <v/>
      </c>
      <c r="J267">
        <f>IFERROR(MATCH(ROW()-17,Datos!$W$2:$W$1000,0),0)</f>
        <v>0</v>
      </c>
    </row>
    <row r="268" spans="1:10" ht="82" customHeight="1" x14ac:dyDescent="0.35">
      <c r="A268" s="4" t="str">
        <f>IF($J268=0,"",IF(INDEX(Datos!$A$2:$A$1000,$J268)="","",INDEX(Datos!$A$2:$A$1000,$J268)))</f>
        <v/>
      </c>
      <c r="B268" s="5" t="str">
        <f>IF($J268=0,"",IF(INDEX(Datos!$E$2:$E$1000,$J268)="","",INDEX(Datos!$E$2:$E$1000,$J268)))</f>
        <v/>
      </c>
      <c r="C268" s="5" t="str">
        <f>IF($J268=0,"",IF(INDEX(Datos!$I$2:$I$1000,$J268)="","",INDEX(Datos!$I$2:$I$1000,$J268)))</f>
        <v/>
      </c>
      <c r="D268" s="6" t="str">
        <f>IF($J268=0,"",IF(INDEX(Datos!$F$2:$F$1000,$J268)="","",INDEX(Datos!$F$2:$F$1000,$J268)))</f>
        <v/>
      </c>
      <c r="E268" s="7" t="str">
        <f>IF($J268=0,"",IF(INDEX(Datos!$H$2:$H$1000,$J268)="","",INDEX(Datos!$H$2:$H$1000,$J268)))</f>
        <v/>
      </c>
      <c r="F268" s="6" t="str">
        <f>IF($J268=0,"",IF(INDEX(Datos!$N$2:$N$1000,$J268)="","",INDEX(Datos!$N$2:$N$1000,$J268)))</f>
        <v/>
      </c>
      <c r="G268" s="8" t="str">
        <f>IF($J268=0,"",IF(INDEX(Datos!$M$2:$M$1000,$J268)="","",INDEX(Datos!$M$2:$M$1000,$J268)))</f>
        <v/>
      </c>
      <c r="H268" s="6" t="str">
        <f>IF($J268=0,"",INDEX(Datos!$J$2:$J$1000,$J268)&amp;IF(INDEX(Datos!$Q$2:$Q$1000,$J268)="",""," | "&amp;INDEX(Datos!$Q$2:$Q$1000,$J268)))</f>
        <v/>
      </c>
      <c r="J268">
        <f>IFERROR(MATCH(ROW()-17,Datos!$W$2:$W$1000,0),0)</f>
        <v>0</v>
      </c>
    </row>
    <row r="269" spans="1:10" ht="82" customHeight="1" x14ac:dyDescent="0.35">
      <c r="A269" s="4" t="str">
        <f>IF($J269=0,"",IF(INDEX(Datos!$A$2:$A$1000,$J269)="","",INDEX(Datos!$A$2:$A$1000,$J269)))</f>
        <v/>
      </c>
      <c r="B269" s="5" t="str">
        <f>IF($J269=0,"",IF(INDEX(Datos!$E$2:$E$1000,$J269)="","",INDEX(Datos!$E$2:$E$1000,$J269)))</f>
        <v/>
      </c>
      <c r="C269" s="5" t="str">
        <f>IF($J269=0,"",IF(INDEX(Datos!$I$2:$I$1000,$J269)="","",INDEX(Datos!$I$2:$I$1000,$J269)))</f>
        <v/>
      </c>
      <c r="D269" s="6" t="str">
        <f>IF($J269=0,"",IF(INDEX(Datos!$F$2:$F$1000,$J269)="","",INDEX(Datos!$F$2:$F$1000,$J269)))</f>
        <v/>
      </c>
      <c r="E269" s="7" t="str">
        <f>IF($J269=0,"",IF(INDEX(Datos!$H$2:$H$1000,$J269)="","",INDEX(Datos!$H$2:$H$1000,$J269)))</f>
        <v/>
      </c>
      <c r="F269" s="6" t="str">
        <f>IF($J269=0,"",IF(INDEX(Datos!$N$2:$N$1000,$J269)="","",INDEX(Datos!$N$2:$N$1000,$J269)))</f>
        <v/>
      </c>
      <c r="G269" s="8" t="str">
        <f>IF($J269=0,"",IF(INDEX(Datos!$M$2:$M$1000,$J269)="","",INDEX(Datos!$M$2:$M$1000,$J269)))</f>
        <v/>
      </c>
      <c r="H269" s="6" t="str">
        <f>IF($J269=0,"",INDEX(Datos!$J$2:$J$1000,$J269)&amp;IF(INDEX(Datos!$Q$2:$Q$1000,$J269)="",""," | "&amp;INDEX(Datos!$Q$2:$Q$1000,$J269)))</f>
        <v/>
      </c>
      <c r="J269">
        <f>IFERROR(MATCH(ROW()-17,Datos!$W$2:$W$1000,0),0)</f>
        <v>0</v>
      </c>
    </row>
    <row r="270" spans="1:10" ht="82" customHeight="1" x14ac:dyDescent="0.35">
      <c r="A270" s="4" t="str">
        <f>IF($J270=0,"",IF(INDEX(Datos!$A$2:$A$1000,$J270)="","",INDEX(Datos!$A$2:$A$1000,$J270)))</f>
        <v/>
      </c>
      <c r="B270" s="5" t="str">
        <f>IF($J270=0,"",IF(INDEX(Datos!$E$2:$E$1000,$J270)="","",INDEX(Datos!$E$2:$E$1000,$J270)))</f>
        <v/>
      </c>
      <c r="C270" s="5" t="str">
        <f>IF($J270=0,"",IF(INDEX(Datos!$I$2:$I$1000,$J270)="","",INDEX(Datos!$I$2:$I$1000,$J270)))</f>
        <v/>
      </c>
      <c r="D270" s="6" t="str">
        <f>IF($J270=0,"",IF(INDEX(Datos!$F$2:$F$1000,$J270)="","",INDEX(Datos!$F$2:$F$1000,$J270)))</f>
        <v/>
      </c>
      <c r="E270" s="7" t="str">
        <f>IF($J270=0,"",IF(INDEX(Datos!$H$2:$H$1000,$J270)="","",INDEX(Datos!$H$2:$H$1000,$J270)))</f>
        <v/>
      </c>
      <c r="F270" s="6" t="str">
        <f>IF($J270=0,"",IF(INDEX(Datos!$N$2:$N$1000,$J270)="","",INDEX(Datos!$N$2:$N$1000,$J270)))</f>
        <v/>
      </c>
      <c r="G270" s="8" t="str">
        <f>IF($J270=0,"",IF(INDEX(Datos!$M$2:$M$1000,$J270)="","",INDEX(Datos!$M$2:$M$1000,$J270)))</f>
        <v/>
      </c>
      <c r="H270" s="6" t="str">
        <f>IF($J270=0,"",INDEX(Datos!$J$2:$J$1000,$J270)&amp;IF(INDEX(Datos!$Q$2:$Q$1000,$J270)="",""," | "&amp;INDEX(Datos!$Q$2:$Q$1000,$J270)))</f>
        <v/>
      </c>
      <c r="J270">
        <f>IFERROR(MATCH(ROW()-17,Datos!$W$2:$W$1000,0),0)</f>
        <v>0</v>
      </c>
    </row>
    <row r="271" spans="1:10" ht="82" customHeight="1" x14ac:dyDescent="0.35">
      <c r="A271" s="4" t="str">
        <f>IF($J271=0,"",IF(INDEX(Datos!$A$2:$A$1000,$J271)="","",INDEX(Datos!$A$2:$A$1000,$J271)))</f>
        <v/>
      </c>
      <c r="B271" s="5" t="str">
        <f>IF($J271=0,"",IF(INDEX(Datos!$E$2:$E$1000,$J271)="","",INDEX(Datos!$E$2:$E$1000,$J271)))</f>
        <v/>
      </c>
      <c r="C271" s="5" t="str">
        <f>IF($J271=0,"",IF(INDEX(Datos!$I$2:$I$1000,$J271)="","",INDEX(Datos!$I$2:$I$1000,$J271)))</f>
        <v/>
      </c>
      <c r="D271" s="6" t="str">
        <f>IF($J271=0,"",IF(INDEX(Datos!$F$2:$F$1000,$J271)="","",INDEX(Datos!$F$2:$F$1000,$J271)))</f>
        <v/>
      </c>
      <c r="E271" s="7" t="str">
        <f>IF($J271=0,"",IF(INDEX(Datos!$H$2:$H$1000,$J271)="","",INDEX(Datos!$H$2:$H$1000,$J271)))</f>
        <v/>
      </c>
      <c r="F271" s="6" t="str">
        <f>IF($J271=0,"",IF(INDEX(Datos!$N$2:$N$1000,$J271)="","",INDEX(Datos!$N$2:$N$1000,$J271)))</f>
        <v/>
      </c>
      <c r="G271" s="8" t="str">
        <f>IF($J271=0,"",IF(INDEX(Datos!$M$2:$M$1000,$J271)="","",INDEX(Datos!$M$2:$M$1000,$J271)))</f>
        <v/>
      </c>
      <c r="H271" s="6" t="str">
        <f>IF($J271=0,"",INDEX(Datos!$J$2:$J$1000,$J271)&amp;IF(INDEX(Datos!$Q$2:$Q$1000,$J271)="",""," | "&amp;INDEX(Datos!$Q$2:$Q$1000,$J271)))</f>
        <v/>
      </c>
      <c r="J271">
        <f>IFERROR(MATCH(ROW()-17,Datos!$W$2:$W$1000,0),0)</f>
        <v>0</v>
      </c>
    </row>
    <row r="272" spans="1:10" ht="82" customHeight="1" x14ac:dyDescent="0.35">
      <c r="A272" s="4" t="str">
        <f>IF($J272=0,"",IF(INDEX(Datos!$A$2:$A$1000,$J272)="","",INDEX(Datos!$A$2:$A$1000,$J272)))</f>
        <v/>
      </c>
      <c r="B272" s="5" t="str">
        <f>IF($J272=0,"",IF(INDEX(Datos!$E$2:$E$1000,$J272)="","",INDEX(Datos!$E$2:$E$1000,$J272)))</f>
        <v/>
      </c>
      <c r="C272" s="5" t="str">
        <f>IF($J272=0,"",IF(INDEX(Datos!$I$2:$I$1000,$J272)="","",INDEX(Datos!$I$2:$I$1000,$J272)))</f>
        <v/>
      </c>
      <c r="D272" s="6" t="str">
        <f>IF($J272=0,"",IF(INDEX(Datos!$F$2:$F$1000,$J272)="","",INDEX(Datos!$F$2:$F$1000,$J272)))</f>
        <v/>
      </c>
      <c r="E272" s="7" t="str">
        <f>IF($J272=0,"",IF(INDEX(Datos!$H$2:$H$1000,$J272)="","",INDEX(Datos!$H$2:$H$1000,$J272)))</f>
        <v/>
      </c>
      <c r="F272" s="6" t="str">
        <f>IF($J272=0,"",IF(INDEX(Datos!$N$2:$N$1000,$J272)="","",INDEX(Datos!$N$2:$N$1000,$J272)))</f>
        <v/>
      </c>
      <c r="G272" s="8" t="str">
        <f>IF($J272=0,"",IF(INDEX(Datos!$M$2:$M$1000,$J272)="","",INDEX(Datos!$M$2:$M$1000,$J272)))</f>
        <v/>
      </c>
      <c r="H272" s="6" t="str">
        <f>IF($J272=0,"",INDEX(Datos!$J$2:$J$1000,$J272)&amp;IF(INDEX(Datos!$Q$2:$Q$1000,$J272)="",""," | "&amp;INDEX(Datos!$Q$2:$Q$1000,$J272)))</f>
        <v/>
      </c>
      <c r="J272">
        <f>IFERROR(MATCH(ROW()-17,Datos!$W$2:$W$1000,0),0)</f>
        <v>0</v>
      </c>
    </row>
    <row r="273" spans="1:10" ht="82" customHeight="1" x14ac:dyDescent="0.35">
      <c r="A273" s="4" t="str">
        <f>IF($J273=0,"",IF(INDEX(Datos!$A$2:$A$1000,$J273)="","",INDEX(Datos!$A$2:$A$1000,$J273)))</f>
        <v/>
      </c>
      <c r="B273" s="5" t="str">
        <f>IF($J273=0,"",IF(INDEX(Datos!$E$2:$E$1000,$J273)="","",INDEX(Datos!$E$2:$E$1000,$J273)))</f>
        <v/>
      </c>
      <c r="C273" s="5" t="str">
        <f>IF($J273=0,"",IF(INDEX(Datos!$I$2:$I$1000,$J273)="","",INDEX(Datos!$I$2:$I$1000,$J273)))</f>
        <v/>
      </c>
      <c r="D273" s="6" t="str">
        <f>IF($J273=0,"",IF(INDEX(Datos!$F$2:$F$1000,$J273)="","",INDEX(Datos!$F$2:$F$1000,$J273)))</f>
        <v/>
      </c>
      <c r="E273" s="7" t="str">
        <f>IF($J273=0,"",IF(INDEX(Datos!$H$2:$H$1000,$J273)="","",INDEX(Datos!$H$2:$H$1000,$J273)))</f>
        <v/>
      </c>
      <c r="F273" s="6" t="str">
        <f>IF($J273=0,"",IF(INDEX(Datos!$N$2:$N$1000,$J273)="","",INDEX(Datos!$N$2:$N$1000,$J273)))</f>
        <v/>
      </c>
      <c r="G273" s="8" t="str">
        <f>IF($J273=0,"",IF(INDEX(Datos!$M$2:$M$1000,$J273)="","",INDEX(Datos!$M$2:$M$1000,$J273)))</f>
        <v/>
      </c>
      <c r="H273" s="6" t="str">
        <f>IF($J273=0,"",INDEX(Datos!$J$2:$J$1000,$J273)&amp;IF(INDEX(Datos!$Q$2:$Q$1000,$J273)="",""," | "&amp;INDEX(Datos!$Q$2:$Q$1000,$J273)))</f>
        <v/>
      </c>
      <c r="J273">
        <f>IFERROR(MATCH(ROW()-17,Datos!$W$2:$W$1000,0),0)</f>
        <v>0</v>
      </c>
    </row>
    <row r="274" spans="1:10" ht="82" customHeight="1" x14ac:dyDescent="0.35">
      <c r="A274" s="4" t="str">
        <f>IF($J274=0,"",IF(INDEX(Datos!$A$2:$A$1000,$J274)="","",INDEX(Datos!$A$2:$A$1000,$J274)))</f>
        <v/>
      </c>
      <c r="B274" s="5" t="str">
        <f>IF($J274=0,"",IF(INDEX(Datos!$E$2:$E$1000,$J274)="","",INDEX(Datos!$E$2:$E$1000,$J274)))</f>
        <v/>
      </c>
      <c r="C274" s="5" t="str">
        <f>IF($J274=0,"",IF(INDEX(Datos!$I$2:$I$1000,$J274)="","",INDEX(Datos!$I$2:$I$1000,$J274)))</f>
        <v/>
      </c>
      <c r="D274" s="6" t="str">
        <f>IF($J274=0,"",IF(INDEX(Datos!$F$2:$F$1000,$J274)="","",INDEX(Datos!$F$2:$F$1000,$J274)))</f>
        <v/>
      </c>
      <c r="E274" s="7" t="str">
        <f>IF($J274=0,"",IF(INDEX(Datos!$H$2:$H$1000,$J274)="","",INDEX(Datos!$H$2:$H$1000,$J274)))</f>
        <v/>
      </c>
      <c r="F274" s="6" t="str">
        <f>IF($J274=0,"",IF(INDEX(Datos!$N$2:$N$1000,$J274)="","",INDEX(Datos!$N$2:$N$1000,$J274)))</f>
        <v/>
      </c>
      <c r="G274" s="8" t="str">
        <f>IF($J274=0,"",IF(INDEX(Datos!$M$2:$M$1000,$J274)="","",INDEX(Datos!$M$2:$M$1000,$J274)))</f>
        <v/>
      </c>
      <c r="H274" s="6" t="str">
        <f>IF($J274=0,"",INDEX(Datos!$J$2:$J$1000,$J274)&amp;IF(INDEX(Datos!$Q$2:$Q$1000,$J274)="",""," | "&amp;INDEX(Datos!$Q$2:$Q$1000,$J274)))</f>
        <v/>
      </c>
      <c r="J274">
        <f>IFERROR(MATCH(ROW()-17,Datos!$W$2:$W$1000,0),0)</f>
        <v>0</v>
      </c>
    </row>
    <row r="275" spans="1:10" ht="82" customHeight="1" x14ac:dyDescent="0.35">
      <c r="A275" s="4" t="str">
        <f>IF($J275=0,"",IF(INDEX(Datos!$A$2:$A$1000,$J275)="","",INDEX(Datos!$A$2:$A$1000,$J275)))</f>
        <v/>
      </c>
      <c r="B275" s="5" t="str">
        <f>IF($J275=0,"",IF(INDEX(Datos!$E$2:$E$1000,$J275)="","",INDEX(Datos!$E$2:$E$1000,$J275)))</f>
        <v/>
      </c>
      <c r="C275" s="5" t="str">
        <f>IF($J275=0,"",IF(INDEX(Datos!$I$2:$I$1000,$J275)="","",INDEX(Datos!$I$2:$I$1000,$J275)))</f>
        <v/>
      </c>
      <c r="D275" s="6" t="str">
        <f>IF($J275=0,"",IF(INDEX(Datos!$F$2:$F$1000,$J275)="","",INDEX(Datos!$F$2:$F$1000,$J275)))</f>
        <v/>
      </c>
      <c r="E275" s="7" t="str">
        <f>IF($J275=0,"",IF(INDEX(Datos!$H$2:$H$1000,$J275)="","",INDEX(Datos!$H$2:$H$1000,$J275)))</f>
        <v/>
      </c>
      <c r="F275" s="6" t="str">
        <f>IF($J275=0,"",IF(INDEX(Datos!$N$2:$N$1000,$J275)="","",INDEX(Datos!$N$2:$N$1000,$J275)))</f>
        <v/>
      </c>
      <c r="G275" s="8" t="str">
        <f>IF($J275=0,"",IF(INDEX(Datos!$M$2:$M$1000,$J275)="","",INDEX(Datos!$M$2:$M$1000,$J275)))</f>
        <v/>
      </c>
      <c r="H275" s="6" t="str">
        <f>IF($J275=0,"",INDEX(Datos!$J$2:$J$1000,$J275)&amp;IF(INDEX(Datos!$Q$2:$Q$1000,$J275)="",""," | "&amp;INDEX(Datos!$Q$2:$Q$1000,$J275)))</f>
        <v/>
      </c>
      <c r="J275">
        <f>IFERROR(MATCH(ROW()-17,Datos!$W$2:$W$1000,0),0)</f>
        <v>0</v>
      </c>
    </row>
    <row r="276" spans="1:10" ht="82" customHeight="1" x14ac:dyDescent="0.35">
      <c r="A276" s="4" t="str">
        <f>IF($J276=0,"",IF(INDEX(Datos!$A$2:$A$1000,$J276)="","",INDEX(Datos!$A$2:$A$1000,$J276)))</f>
        <v/>
      </c>
      <c r="B276" s="5" t="str">
        <f>IF($J276=0,"",IF(INDEX(Datos!$E$2:$E$1000,$J276)="","",INDEX(Datos!$E$2:$E$1000,$J276)))</f>
        <v/>
      </c>
      <c r="C276" s="5" t="str">
        <f>IF($J276=0,"",IF(INDEX(Datos!$I$2:$I$1000,$J276)="","",INDEX(Datos!$I$2:$I$1000,$J276)))</f>
        <v/>
      </c>
      <c r="D276" s="6" t="str">
        <f>IF($J276=0,"",IF(INDEX(Datos!$F$2:$F$1000,$J276)="","",INDEX(Datos!$F$2:$F$1000,$J276)))</f>
        <v/>
      </c>
      <c r="E276" s="7" t="str">
        <f>IF($J276=0,"",IF(INDEX(Datos!$H$2:$H$1000,$J276)="","",INDEX(Datos!$H$2:$H$1000,$J276)))</f>
        <v/>
      </c>
      <c r="F276" s="6" t="str">
        <f>IF($J276=0,"",IF(INDEX(Datos!$N$2:$N$1000,$J276)="","",INDEX(Datos!$N$2:$N$1000,$J276)))</f>
        <v/>
      </c>
      <c r="G276" s="8" t="str">
        <f>IF($J276=0,"",IF(INDEX(Datos!$M$2:$M$1000,$J276)="","",INDEX(Datos!$M$2:$M$1000,$J276)))</f>
        <v/>
      </c>
      <c r="H276" s="6" t="str">
        <f>IF($J276=0,"",INDEX(Datos!$J$2:$J$1000,$J276)&amp;IF(INDEX(Datos!$Q$2:$Q$1000,$J276)="",""," | "&amp;INDEX(Datos!$Q$2:$Q$1000,$J276)))</f>
        <v/>
      </c>
      <c r="J276">
        <f>IFERROR(MATCH(ROW()-17,Datos!$W$2:$W$1000,0),0)</f>
        <v>0</v>
      </c>
    </row>
    <row r="277" spans="1:10" ht="82" customHeight="1" x14ac:dyDescent="0.35">
      <c r="A277" s="4" t="str">
        <f>IF($J277=0,"",IF(INDEX(Datos!$A$2:$A$1000,$J277)="","",INDEX(Datos!$A$2:$A$1000,$J277)))</f>
        <v/>
      </c>
      <c r="B277" s="5" t="str">
        <f>IF($J277=0,"",IF(INDEX(Datos!$E$2:$E$1000,$J277)="","",INDEX(Datos!$E$2:$E$1000,$J277)))</f>
        <v/>
      </c>
      <c r="C277" s="5" t="str">
        <f>IF($J277=0,"",IF(INDEX(Datos!$I$2:$I$1000,$J277)="","",INDEX(Datos!$I$2:$I$1000,$J277)))</f>
        <v/>
      </c>
      <c r="D277" s="6" t="str">
        <f>IF($J277=0,"",IF(INDEX(Datos!$F$2:$F$1000,$J277)="","",INDEX(Datos!$F$2:$F$1000,$J277)))</f>
        <v/>
      </c>
      <c r="E277" s="7" t="str">
        <f>IF($J277=0,"",IF(INDEX(Datos!$H$2:$H$1000,$J277)="","",INDEX(Datos!$H$2:$H$1000,$J277)))</f>
        <v/>
      </c>
      <c r="F277" s="6" t="str">
        <f>IF($J277=0,"",IF(INDEX(Datos!$N$2:$N$1000,$J277)="","",INDEX(Datos!$N$2:$N$1000,$J277)))</f>
        <v/>
      </c>
      <c r="G277" s="8" t="str">
        <f>IF($J277=0,"",IF(INDEX(Datos!$M$2:$M$1000,$J277)="","",INDEX(Datos!$M$2:$M$1000,$J277)))</f>
        <v/>
      </c>
      <c r="H277" s="6" t="str">
        <f>IF($J277=0,"",INDEX(Datos!$J$2:$J$1000,$J277)&amp;IF(INDEX(Datos!$Q$2:$Q$1000,$J277)="",""," | "&amp;INDEX(Datos!$Q$2:$Q$1000,$J277)))</f>
        <v/>
      </c>
      <c r="J277">
        <f>IFERROR(MATCH(ROW()-17,Datos!$W$2:$W$1000,0),0)</f>
        <v>0</v>
      </c>
    </row>
    <row r="278" spans="1:10" ht="82" customHeight="1" x14ac:dyDescent="0.35">
      <c r="A278" s="4" t="str">
        <f>IF($J278=0,"",IF(INDEX(Datos!$A$2:$A$1000,$J278)="","",INDEX(Datos!$A$2:$A$1000,$J278)))</f>
        <v/>
      </c>
      <c r="B278" s="5" t="str">
        <f>IF($J278=0,"",IF(INDEX(Datos!$E$2:$E$1000,$J278)="","",INDEX(Datos!$E$2:$E$1000,$J278)))</f>
        <v/>
      </c>
      <c r="C278" s="5" t="str">
        <f>IF($J278=0,"",IF(INDEX(Datos!$I$2:$I$1000,$J278)="","",INDEX(Datos!$I$2:$I$1000,$J278)))</f>
        <v/>
      </c>
      <c r="D278" s="6" t="str">
        <f>IF($J278=0,"",IF(INDEX(Datos!$F$2:$F$1000,$J278)="","",INDEX(Datos!$F$2:$F$1000,$J278)))</f>
        <v/>
      </c>
      <c r="E278" s="7" t="str">
        <f>IF($J278=0,"",IF(INDEX(Datos!$H$2:$H$1000,$J278)="","",INDEX(Datos!$H$2:$H$1000,$J278)))</f>
        <v/>
      </c>
      <c r="F278" s="6" t="str">
        <f>IF($J278=0,"",IF(INDEX(Datos!$N$2:$N$1000,$J278)="","",INDEX(Datos!$N$2:$N$1000,$J278)))</f>
        <v/>
      </c>
      <c r="G278" s="8" t="str">
        <f>IF($J278=0,"",IF(INDEX(Datos!$M$2:$M$1000,$J278)="","",INDEX(Datos!$M$2:$M$1000,$J278)))</f>
        <v/>
      </c>
      <c r="H278" s="6" t="str">
        <f>IF($J278=0,"",INDEX(Datos!$J$2:$J$1000,$J278)&amp;IF(INDEX(Datos!$Q$2:$Q$1000,$J278)="",""," | "&amp;INDEX(Datos!$Q$2:$Q$1000,$J278)))</f>
        <v/>
      </c>
      <c r="J278">
        <f>IFERROR(MATCH(ROW()-17,Datos!$W$2:$W$1000,0),0)</f>
        <v>0</v>
      </c>
    </row>
    <row r="279" spans="1:10" ht="82" customHeight="1" x14ac:dyDescent="0.35">
      <c r="A279" s="4" t="str">
        <f>IF($J279=0,"",IF(INDEX(Datos!$A$2:$A$1000,$J279)="","",INDEX(Datos!$A$2:$A$1000,$J279)))</f>
        <v/>
      </c>
      <c r="B279" s="5" t="str">
        <f>IF($J279=0,"",IF(INDEX(Datos!$E$2:$E$1000,$J279)="","",INDEX(Datos!$E$2:$E$1000,$J279)))</f>
        <v/>
      </c>
      <c r="C279" s="5" t="str">
        <f>IF($J279=0,"",IF(INDEX(Datos!$I$2:$I$1000,$J279)="","",INDEX(Datos!$I$2:$I$1000,$J279)))</f>
        <v/>
      </c>
      <c r="D279" s="6" t="str">
        <f>IF($J279=0,"",IF(INDEX(Datos!$F$2:$F$1000,$J279)="","",INDEX(Datos!$F$2:$F$1000,$J279)))</f>
        <v/>
      </c>
      <c r="E279" s="7" t="str">
        <f>IF($J279=0,"",IF(INDEX(Datos!$H$2:$H$1000,$J279)="","",INDEX(Datos!$H$2:$H$1000,$J279)))</f>
        <v/>
      </c>
      <c r="F279" s="6" t="str">
        <f>IF($J279=0,"",IF(INDEX(Datos!$N$2:$N$1000,$J279)="","",INDEX(Datos!$N$2:$N$1000,$J279)))</f>
        <v/>
      </c>
      <c r="G279" s="8" t="str">
        <f>IF($J279=0,"",IF(INDEX(Datos!$M$2:$M$1000,$J279)="","",INDEX(Datos!$M$2:$M$1000,$J279)))</f>
        <v/>
      </c>
      <c r="H279" s="6" t="str">
        <f>IF($J279=0,"",INDEX(Datos!$J$2:$J$1000,$J279)&amp;IF(INDEX(Datos!$Q$2:$Q$1000,$J279)="",""," | "&amp;INDEX(Datos!$Q$2:$Q$1000,$J279)))</f>
        <v/>
      </c>
      <c r="J279">
        <f>IFERROR(MATCH(ROW()-17,Datos!$W$2:$W$1000,0),0)</f>
        <v>0</v>
      </c>
    </row>
    <row r="280" spans="1:10" ht="82" customHeight="1" x14ac:dyDescent="0.35">
      <c r="A280" s="4" t="str">
        <f>IF($J280=0,"",IF(INDEX(Datos!$A$2:$A$1000,$J280)="","",INDEX(Datos!$A$2:$A$1000,$J280)))</f>
        <v/>
      </c>
      <c r="B280" s="5" t="str">
        <f>IF($J280=0,"",IF(INDEX(Datos!$E$2:$E$1000,$J280)="","",INDEX(Datos!$E$2:$E$1000,$J280)))</f>
        <v/>
      </c>
      <c r="C280" s="5" t="str">
        <f>IF($J280=0,"",IF(INDEX(Datos!$I$2:$I$1000,$J280)="","",INDEX(Datos!$I$2:$I$1000,$J280)))</f>
        <v/>
      </c>
      <c r="D280" s="6" t="str">
        <f>IF($J280=0,"",IF(INDEX(Datos!$F$2:$F$1000,$J280)="","",INDEX(Datos!$F$2:$F$1000,$J280)))</f>
        <v/>
      </c>
      <c r="E280" s="7" t="str">
        <f>IF($J280=0,"",IF(INDEX(Datos!$H$2:$H$1000,$J280)="","",INDEX(Datos!$H$2:$H$1000,$J280)))</f>
        <v/>
      </c>
      <c r="F280" s="6" t="str">
        <f>IF($J280=0,"",IF(INDEX(Datos!$N$2:$N$1000,$J280)="","",INDEX(Datos!$N$2:$N$1000,$J280)))</f>
        <v/>
      </c>
      <c r="G280" s="8" t="str">
        <f>IF($J280=0,"",IF(INDEX(Datos!$M$2:$M$1000,$J280)="","",INDEX(Datos!$M$2:$M$1000,$J280)))</f>
        <v/>
      </c>
      <c r="H280" s="6" t="str">
        <f>IF($J280=0,"",INDEX(Datos!$J$2:$J$1000,$J280)&amp;IF(INDEX(Datos!$Q$2:$Q$1000,$J280)="",""," | "&amp;INDEX(Datos!$Q$2:$Q$1000,$J280)))</f>
        <v/>
      </c>
      <c r="J280">
        <f>IFERROR(MATCH(ROW()-17,Datos!$W$2:$W$1000,0),0)</f>
        <v>0</v>
      </c>
    </row>
    <row r="281" spans="1:10" ht="82" customHeight="1" x14ac:dyDescent="0.35">
      <c r="A281" s="4" t="str">
        <f>IF($J281=0,"",IF(INDEX(Datos!$A$2:$A$1000,$J281)="","",INDEX(Datos!$A$2:$A$1000,$J281)))</f>
        <v/>
      </c>
      <c r="B281" s="5" t="str">
        <f>IF($J281=0,"",IF(INDEX(Datos!$E$2:$E$1000,$J281)="","",INDEX(Datos!$E$2:$E$1000,$J281)))</f>
        <v/>
      </c>
      <c r="C281" s="5" t="str">
        <f>IF($J281=0,"",IF(INDEX(Datos!$I$2:$I$1000,$J281)="","",INDEX(Datos!$I$2:$I$1000,$J281)))</f>
        <v/>
      </c>
      <c r="D281" s="6" t="str">
        <f>IF($J281=0,"",IF(INDEX(Datos!$F$2:$F$1000,$J281)="","",INDEX(Datos!$F$2:$F$1000,$J281)))</f>
        <v/>
      </c>
      <c r="E281" s="7" t="str">
        <f>IF($J281=0,"",IF(INDEX(Datos!$H$2:$H$1000,$J281)="","",INDEX(Datos!$H$2:$H$1000,$J281)))</f>
        <v/>
      </c>
      <c r="F281" s="6" t="str">
        <f>IF($J281=0,"",IF(INDEX(Datos!$N$2:$N$1000,$J281)="","",INDEX(Datos!$N$2:$N$1000,$J281)))</f>
        <v/>
      </c>
      <c r="G281" s="8" t="str">
        <f>IF($J281=0,"",IF(INDEX(Datos!$M$2:$M$1000,$J281)="","",INDEX(Datos!$M$2:$M$1000,$J281)))</f>
        <v/>
      </c>
      <c r="H281" s="6" t="str">
        <f>IF($J281=0,"",INDEX(Datos!$J$2:$J$1000,$J281)&amp;IF(INDEX(Datos!$Q$2:$Q$1000,$J281)="",""," | "&amp;INDEX(Datos!$Q$2:$Q$1000,$J281)))</f>
        <v/>
      </c>
      <c r="J281">
        <f>IFERROR(MATCH(ROW()-17,Datos!$W$2:$W$1000,0),0)</f>
        <v>0</v>
      </c>
    </row>
    <row r="282" spans="1:10" ht="82" customHeight="1" x14ac:dyDescent="0.35">
      <c r="A282" s="4" t="str">
        <f>IF($J282=0,"",IF(INDEX(Datos!$A$2:$A$1000,$J282)="","",INDEX(Datos!$A$2:$A$1000,$J282)))</f>
        <v/>
      </c>
      <c r="B282" s="5" t="str">
        <f>IF($J282=0,"",IF(INDEX(Datos!$E$2:$E$1000,$J282)="","",INDEX(Datos!$E$2:$E$1000,$J282)))</f>
        <v/>
      </c>
      <c r="C282" s="5" t="str">
        <f>IF($J282=0,"",IF(INDEX(Datos!$I$2:$I$1000,$J282)="","",INDEX(Datos!$I$2:$I$1000,$J282)))</f>
        <v/>
      </c>
      <c r="D282" s="6" t="str">
        <f>IF($J282=0,"",IF(INDEX(Datos!$F$2:$F$1000,$J282)="","",INDEX(Datos!$F$2:$F$1000,$J282)))</f>
        <v/>
      </c>
      <c r="E282" s="7" t="str">
        <f>IF($J282=0,"",IF(INDEX(Datos!$H$2:$H$1000,$J282)="","",INDEX(Datos!$H$2:$H$1000,$J282)))</f>
        <v/>
      </c>
      <c r="F282" s="6" t="str">
        <f>IF($J282=0,"",IF(INDEX(Datos!$N$2:$N$1000,$J282)="","",INDEX(Datos!$N$2:$N$1000,$J282)))</f>
        <v/>
      </c>
      <c r="G282" s="8" t="str">
        <f>IF($J282=0,"",IF(INDEX(Datos!$M$2:$M$1000,$J282)="","",INDEX(Datos!$M$2:$M$1000,$J282)))</f>
        <v/>
      </c>
      <c r="H282" s="6" t="str">
        <f>IF($J282=0,"",INDEX(Datos!$J$2:$J$1000,$J282)&amp;IF(INDEX(Datos!$Q$2:$Q$1000,$J282)="",""," | "&amp;INDEX(Datos!$Q$2:$Q$1000,$J282)))</f>
        <v/>
      </c>
      <c r="J282">
        <f>IFERROR(MATCH(ROW()-17,Datos!$W$2:$W$1000,0),0)</f>
        <v>0</v>
      </c>
    </row>
    <row r="283" spans="1:10" ht="82" customHeight="1" x14ac:dyDescent="0.35">
      <c r="A283" s="4" t="str">
        <f>IF($J283=0,"",IF(INDEX(Datos!$A$2:$A$1000,$J283)="","",INDEX(Datos!$A$2:$A$1000,$J283)))</f>
        <v/>
      </c>
      <c r="B283" s="5" t="str">
        <f>IF($J283=0,"",IF(INDEX(Datos!$E$2:$E$1000,$J283)="","",INDEX(Datos!$E$2:$E$1000,$J283)))</f>
        <v/>
      </c>
      <c r="C283" s="5" t="str">
        <f>IF($J283=0,"",IF(INDEX(Datos!$I$2:$I$1000,$J283)="","",INDEX(Datos!$I$2:$I$1000,$J283)))</f>
        <v/>
      </c>
      <c r="D283" s="6" t="str">
        <f>IF($J283=0,"",IF(INDEX(Datos!$F$2:$F$1000,$J283)="","",INDEX(Datos!$F$2:$F$1000,$J283)))</f>
        <v/>
      </c>
      <c r="E283" s="7" t="str">
        <f>IF($J283=0,"",IF(INDEX(Datos!$H$2:$H$1000,$J283)="","",INDEX(Datos!$H$2:$H$1000,$J283)))</f>
        <v/>
      </c>
      <c r="F283" s="6" t="str">
        <f>IF($J283=0,"",IF(INDEX(Datos!$N$2:$N$1000,$J283)="","",INDEX(Datos!$N$2:$N$1000,$J283)))</f>
        <v/>
      </c>
      <c r="G283" s="8" t="str">
        <f>IF($J283=0,"",IF(INDEX(Datos!$M$2:$M$1000,$J283)="","",INDEX(Datos!$M$2:$M$1000,$J283)))</f>
        <v/>
      </c>
      <c r="H283" s="6" t="str">
        <f>IF($J283=0,"",INDEX(Datos!$J$2:$J$1000,$J283)&amp;IF(INDEX(Datos!$Q$2:$Q$1000,$J283)="",""," | "&amp;INDEX(Datos!$Q$2:$Q$1000,$J283)))</f>
        <v/>
      </c>
      <c r="J283">
        <f>IFERROR(MATCH(ROW()-17,Datos!$W$2:$W$1000,0),0)</f>
        <v>0</v>
      </c>
    </row>
    <row r="284" spans="1:10" ht="82" customHeight="1" x14ac:dyDescent="0.35">
      <c r="A284" s="4" t="str">
        <f>IF($J284=0,"",IF(INDEX(Datos!$A$2:$A$1000,$J284)="","",INDEX(Datos!$A$2:$A$1000,$J284)))</f>
        <v/>
      </c>
      <c r="B284" s="5" t="str">
        <f>IF($J284=0,"",IF(INDEX(Datos!$E$2:$E$1000,$J284)="","",INDEX(Datos!$E$2:$E$1000,$J284)))</f>
        <v/>
      </c>
      <c r="C284" s="5" t="str">
        <f>IF($J284=0,"",IF(INDEX(Datos!$I$2:$I$1000,$J284)="","",INDEX(Datos!$I$2:$I$1000,$J284)))</f>
        <v/>
      </c>
      <c r="D284" s="6" t="str">
        <f>IF($J284=0,"",IF(INDEX(Datos!$F$2:$F$1000,$J284)="","",INDEX(Datos!$F$2:$F$1000,$J284)))</f>
        <v/>
      </c>
      <c r="E284" s="7" t="str">
        <f>IF($J284=0,"",IF(INDEX(Datos!$H$2:$H$1000,$J284)="","",INDEX(Datos!$H$2:$H$1000,$J284)))</f>
        <v/>
      </c>
      <c r="F284" s="6" t="str">
        <f>IF($J284=0,"",IF(INDEX(Datos!$N$2:$N$1000,$J284)="","",INDEX(Datos!$N$2:$N$1000,$J284)))</f>
        <v/>
      </c>
      <c r="G284" s="8" t="str">
        <f>IF($J284=0,"",IF(INDEX(Datos!$M$2:$M$1000,$J284)="","",INDEX(Datos!$M$2:$M$1000,$J284)))</f>
        <v/>
      </c>
      <c r="H284" s="6" t="str">
        <f>IF($J284=0,"",INDEX(Datos!$J$2:$J$1000,$J284)&amp;IF(INDEX(Datos!$Q$2:$Q$1000,$J284)="",""," | "&amp;INDEX(Datos!$Q$2:$Q$1000,$J284)))</f>
        <v/>
      </c>
      <c r="J284">
        <f>IFERROR(MATCH(ROW()-17,Datos!$W$2:$W$1000,0),0)</f>
        <v>0</v>
      </c>
    </row>
    <row r="285" spans="1:10" ht="82" customHeight="1" x14ac:dyDescent="0.35">
      <c r="A285" s="4" t="str">
        <f>IF($J285=0,"",IF(INDEX(Datos!$A$2:$A$1000,$J285)="","",INDEX(Datos!$A$2:$A$1000,$J285)))</f>
        <v/>
      </c>
      <c r="B285" s="5" t="str">
        <f>IF($J285=0,"",IF(INDEX(Datos!$E$2:$E$1000,$J285)="","",INDEX(Datos!$E$2:$E$1000,$J285)))</f>
        <v/>
      </c>
      <c r="C285" s="5" t="str">
        <f>IF($J285=0,"",IF(INDEX(Datos!$I$2:$I$1000,$J285)="","",INDEX(Datos!$I$2:$I$1000,$J285)))</f>
        <v/>
      </c>
      <c r="D285" s="6" t="str">
        <f>IF($J285=0,"",IF(INDEX(Datos!$F$2:$F$1000,$J285)="","",INDEX(Datos!$F$2:$F$1000,$J285)))</f>
        <v/>
      </c>
      <c r="E285" s="7" t="str">
        <f>IF($J285=0,"",IF(INDEX(Datos!$H$2:$H$1000,$J285)="","",INDEX(Datos!$H$2:$H$1000,$J285)))</f>
        <v/>
      </c>
      <c r="F285" s="6" t="str">
        <f>IF($J285=0,"",IF(INDEX(Datos!$N$2:$N$1000,$J285)="","",INDEX(Datos!$N$2:$N$1000,$J285)))</f>
        <v/>
      </c>
      <c r="G285" s="8" t="str">
        <f>IF($J285=0,"",IF(INDEX(Datos!$M$2:$M$1000,$J285)="","",INDEX(Datos!$M$2:$M$1000,$J285)))</f>
        <v/>
      </c>
      <c r="H285" s="6" t="str">
        <f>IF($J285=0,"",INDEX(Datos!$J$2:$J$1000,$J285)&amp;IF(INDEX(Datos!$Q$2:$Q$1000,$J285)="",""," | "&amp;INDEX(Datos!$Q$2:$Q$1000,$J285)))</f>
        <v/>
      </c>
      <c r="J285">
        <f>IFERROR(MATCH(ROW()-17,Datos!$W$2:$W$1000,0),0)</f>
        <v>0</v>
      </c>
    </row>
    <row r="286" spans="1:10" ht="82" customHeight="1" x14ac:dyDescent="0.35">
      <c r="A286" s="4" t="str">
        <f>IF($J286=0,"",IF(INDEX(Datos!$A$2:$A$1000,$J286)="","",INDEX(Datos!$A$2:$A$1000,$J286)))</f>
        <v/>
      </c>
      <c r="B286" s="5" t="str">
        <f>IF($J286=0,"",IF(INDEX(Datos!$E$2:$E$1000,$J286)="","",INDEX(Datos!$E$2:$E$1000,$J286)))</f>
        <v/>
      </c>
      <c r="C286" s="5" t="str">
        <f>IF($J286=0,"",IF(INDEX(Datos!$I$2:$I$1000,$J286)="","",INDEX(Datos!$I$2:$I$1000,$J286)))</f>
        <v/>
      </c>
      <c r="D286" s="6" t="str">
        <f>IF($J286=0,"",IF(INDEX(Datos!$F$2:$F$1000,$J286)="","",INDEX(Datos!$F$2:$F$1000,$J286)))</f>
        <v/>
      </c>
      <c r="E286" s="7" t="str">
        <f>IF($J286=0,"",IF(INDEX(Datos!$H$2:$H$1000,$J286)="","",INDEX(Datos!$H$2:$H$1000,$J286)))</f>
        <v/>
      </c>
      <c r="F286" s="6" t="str">
        <f>IF($J286=0,"",IF(INDEX(Datos!$N$2:$N$1000,$J286)="","",INDEX(Datos!$N$2:$N$1000,$J286)))</f>
        <v/>
      </c>
      <c r="G286" s="8" t="str">
        <f>IF($J286=0,"",IF(INDEX(Datos!$M$2:$M$1000,$J286)="","",INDEX(Datos!$M$2:$M$1000,$J286)))</f>
        <v/>
      </c>
      <c r="H286" s="6" t="str">
        <f>IF($J286=0,"",INDEX(Datos!$J$2:$J$1000,$J286)&amp;IF(INDEX(Datos!$Q$2:$Q$1000,$J286)="",""," | "&amp;INDEX(Datos!$Q$2:$Q$1000,$J286)))</f>
        <v/>
      </c>
      <c r="J286">
        <f>IFERROR(MATCH(ROW()-17,Datos!$W$2:$W$1000,0),0)</f>
        <v>0</v>
      </c>
    </row>
    <row r="287" spans="1:10" ht="82" customHeight="1" x14ac:dyDescent="0.35">
      <c r="A287" s="4" t="str">
        <f>IF($J287=0,"",IF(INDEX(Datos!$A$2:$A$1000,$J287)="","",INDEX(Datos!$A$2:$A$1000,$J287)))</f>
        <v/>
      </c>
      <c r="B287" s="5" t="str">
        <f>IF($J287=0,"",IF(INDEX(Datos!$E$2:$E$1000,$J287)="","",INDEX(Datos!$E$2:$E$1000,$J287)))</f>
        <v/>
      </c>
      <c r="C287" s="5" t="str">
        <f>IF($J287=0,"",IF(INDEX(Datos!$I$2:$I$1000,$J287)="","",INDEX(Datos!$I$2:$I$1000,$J287)))</f>
        <v/>
      </c>
      <c r="D287" s="6" t="str">
        <f>IF($J287=0,"",IF(INDEX(Datos!$F$2:$F$1000,$J287)="","",INDEX(Datos!$F$2:$F$1000,$J287)))</f>
        <v/>
      </c>
      <c r="E287" s="7" t="str">
        <f>IF($J287=0,"",IF(INDEX(Datos!$H$2:$H$1000,$J287)="","",INDEX(Datos!$H$2:$H$1000,$J287)))</f>
        <v/>
      </c>
      <c r="F287" s="6" t="str">
        <f>IF($J287=0,"",IF(INDEX(Datos!$N$2:$N$1000,$J287)="","",INDEX(Datos!$N$2:$N$1000,$J287)))</f>
        <v/>
      </c>
      <c r="G287" s="8" t="str">
        <f>IF($J287=0,"",IF(INDEX(Datos!$M$2:$M$1000,$J287)="","",INDEX(Datos!$M$2:$M$1000,$J287)))</f>
        <v/>
      </c>
      <c r="H287" s="6" t="str">
        <f>IF($J287=0,"",INDEX(Datos!$J$2:$J$1000,$J287)&amp;IF(INDEX(Datos!$Q$2:$Q$1000,$J287)="",""," | "&amp;INDEX(Datos!$Q$2:$Q$1000,$J287)))</f>
        <v/>
      </c>
      <c r="J287">
        <f>IFERROR(MATCH(ROW()-17,Datos!$W$2:$W$1000,0),0)</f>
        <v>0</v>
      </c>
    </row>
    <row r="288" spans="1:10" ht="82" customHeight="1" x14ac:dyDescent="0.35">
      <c r="A288" s="4" t="str">
        <f>IF($J288=0,"",IF(INDEX(Datos!$A$2:$A$1000,$J288)="","",INDEX(Datos!$A$2:$A$1000,$J288)))</f>
        <v/>
      </c>
      <c r="B288" s="5" t="str">
        <f>IF($J288=0,"",IF(INDEX(Datos!$E$2:$E$1000,$J288)="","",INDEX(Datos!$E$2:$E$1000,$J288)))</f>
        <v/>
      </c>
      <c r="C288" s="5" t="str">
        <f>IF($J288=0,"",IF(INDEX(Datos!$I$2:$I$1000,$J288)="","",INDEX(Datos!$I$2:$I$1000,$J288)))</f>
        <v/>
      </c>
      <c r="D288" s="6" t="str">
        <f>IF($J288=0,"",IF(INDEX(Datos!$F$2:$F$1000,$J288)="","",INDEX(Datos!$F$2:$F$1000,$J288)))</f>
        <v/>
      </c>
      <c r="E288" s="7" t="str">
        <f>IF($J288=0,"",IF(INDEX(Datos!$H$2:$H$1000,$J288)="","",INDEX(Datos!$H$2:$H$1000,$J288)))</f>
        <v/>
      </c>
      <c r="F288" s="6" t="str">
        <f>IF($J288=0,"",IF(INDEX(Datos!$N$2:$N$1000,$J288)="","",INDEX(Datos!$N$2:$N$1000,$J288)))</f>
        <v/>
      </c>
      <c r="G288" s="8" t="str">
        <f>IF($J288=0,"",IF(INDEX(Datos!$M$2:$M$1000,$J288)="","",INDEX(Datos!$M$2:$M$1000,$J288)))</f>
        <v/>
      </c>
      <c r="H288" s="6" t="str">
        <f>IF($J288=0,"",INDEX(Datos!$J$2:$J$1000,$J288)&amp;IF(INDEX(Datos!$Q$2:$Q$1000,$J288)="",""," | "&amp;INDEX(Datos!$Q$2:$Q$1000,$J288)))</f>
        <v/>
      </c>
      <c r="J288">
        <f>IFERROR(MATCH(ROW()-17,Datos!$W$2:$W$1000,0),0)</f>
        <v>0</v>
      </c>
    </row>
    <row r="289" spans="1:10" ht="82" customHeight="1" x14ac:dyDescent="0.35">
      <c r="A289" s="4" t="str">
        <f>IF($J289=0,"",IF(INDEX(Datos!$A$2:$A$1000,$J289)="","",INDEX(Datos!$A$2:$A$1000,$J289)))</f>
        <v/>
      </c>
      <c r="B289" s="5" t="str">
        <f>IF($J289=0,"",IF(INDEX(Datos!$E$2:$E$1000,$J289)="","",INDEX(Datos!$E$2:$E$1000,$J289)))</f>
        <v/>
      </c>
      <c r="C289" s="5" t="str">
        <f>IF($J289=0,"",IF(INDEX(Datos!$I$2:$I$1000,$J289)="","",INDEX(Datos!$I$2:$I$1000,$J289)))</f>
        <v/>
      </c>
      <c r="D289" s="6" t="str">
        <f>IF($J289=0,"",IF(INDEX(Datos!$F$2:$F$1000,$J289)="","",INDEX(Datos!$F$2:$F$1000,$J289)))</f>
        <v/>
      </c>
      <c r="E289" s="7" t="str">
        <f>IF($J289=0,"",IF(INDEX(Datos!$H$2:$H$1000,$J289)="","",INDEX(Datos!$H$2:$H$1000,$J289)))</f>
        <v/>
      </c>
      <c r="F289" s="6" t="str">
        <f>IF($J289=0,"",IF(INDEX(Datos!$N$2:$N$1000,$J289)="","",INDEX(Datos!$N$2:$N$1000,$J289)))</f>
        <v/>
      </c>
      <c r="G289" s="8" t="str">
        <f>IF($J289=0,"",IF(INDEX(Datos!$M$2:$M$1000,$J289)="","",INDEX(Datos!$M$2:$M$1000,$J289)))</f>
        <v/>
      </c>
      <c r="H289" s="6" t="str">
        <f>IF($J289=0,"",INDEX(Datos!$J$2:$J$1000,$J289)&amp;IF(INDEX(Datos!$Q$2:$Q$1000,$J289)="",""," | "&amp;INDEX(Datos!$Q$2:$Q$1000,$J289)))</f>
        <v/>
      </c>
      <c r="J289">
        <f>IFERROR(MATCH(ROW()-17,Datos!$W$2:$W$1000,0),0)</f>
        <v>0</v>
      </c>
    </row>
    <row r="290" spans="1:10" ht="82" customHeight="1" x14ac:dyDescent="0.35">
      <c r="A290" s="4" t="str">
        <f>IF($J290=0,"",IF(INDEX(Datos!$A$2:$A$1000,$J290)="","",INDEX(Datos!$A$2:$A$1000,$J290)))</f>
        <v/>
      </c>
      <c r="B290" s="5" t="str">
        <f>IF($J290=0,"",IF(INDEX(Datos!$E$2:$E$1000,$J290)="","",INDEX(Datos!$E$2:$E$1000,$J290)))</f>
        <v/>
      </c>
      <c r="C290" s="5" t="str">
        <f>IF($J290=0,"",IF(INDEX(Datos!$I$2:$I$1000,$J290)="","",INDEX(Datos!$I$2:$I$1000,$J290)))</f>
        <v/>
      </c>
      <c r="D290" s="6" t="str">
        <f>IF($J290=0,"",IF(INDEX(Datos!$F$2:$F$1000,$J290)="","",INDEX(Datos!$F$2:$F$1000,$J290)))</f>
        <v/>
      </c>
      <c r="E290" s="7" t="str">
        <f>IF($J290=0,"",IF(INDEX(Datos!$H$2:$H$1000,$J290)="","",INDEX(Datos!$H$2:$H$1000,$J290)))</f>
        <v/>
      </c>
      <c r="F290" s="6" t="str">
        <f>IF($J290=0,"",IF(INDEX(Datos!$N$2:$N$1000,$J290)="","",INDEX(Datos!$N$2:$N$1000,$J290)))</f>
        <v/>
      </c>
      <c r="G290" s="8" t="str">
        <f>IF($J290=0,"",IF(INDEX(Datos!$M$2:$M$1000,$J290)="","",INDEX(Datos!$M$2:$M$1000,$J290)))</f>
        <v/>
      </c>
      <c r="H290" s="6" t="str">
        <f>IF($J290=0,"",INDEX(Datos!$J$2:$J$1000,$J290)&amp;IF(INDEX(Datos!$Q$2:$Q$1000,$J290)="",""," | "&amp;INDEX(Datos!$Q$2:$Q$1000,$J290)))</f>
        <v/>
      </c>
      <c r="J290">
        <f>IFERROR(MATCH(ROW()-17,Datos!$W$2:$W$1000,0),0)</f>
        <v>0</v>
      </c>
    </row>
    <row r="291" spans="1:10" ht="82" customHeight="1" x14ac:dyDescent="0.35">
      <c r="A291" s="4" t="str">
        <f>IF($J291=0,"",IF(INDEX(Datos!$A$2:$A$1000,$J291)="","",INDEX(Datos!$A$2:$A$1000,$J291)))</f>
        <v/>
      </c>
      <c r="B291" s="5" t="str">
        <f>IF($J291=0,"",IF(INDEX(Datos!$E$2:$E$1000,$J291)="","",INDEX(Datos!$E$2:$E$1000,$J291)))</f>
        <v/>
      </c>
      <c r="C291" s="5" t="str">
        <f>IF($J291=0,"",IF(INDEX(Datos!$I$2:$I$1000,$J291)="","",INDEX(Datos!$I$2:$I$1000,$J291)))</f>
        <v/>
      </c>
      <c r="D291" s="6" t="str">
        <f>IF($J291=0,"",IF(INDEX(Datos!$F$2:$F$1000,$J291)="","",INDEX(Datos!$F$2:$F$1000,$J291)))</f>
        <v/>
      </c>
      <c r="E291" s="7" t="str">
        <f>IF($J291=0,"",IF(INDEX(Datos!$H$2:$H$1000,$J291)="","",INDEX(Datos!$H$2:$H$1000,$J291)))</f>
        <v/>
      </c>
      <c r="F291" s="6" t="str">
        <f>IF($J291=0,"",IF(INDEX(Datos!$N$2:$N$1000,$J291)="","",INDEX(Datos!$N$2:$N$1000,$J291)))</f>
        <v/>
      </c>
      <c r="G291" s="8" t="str">
        <f>IF($J291=0,"",IF(INDEX(Datos!$M$2:$M$1000,$J291)="","",INDEX(Datos!$M$2:$M$1000,$J291)))</f>
        <v/>
      </c>
      <c r="H291" s="6" t="str">
        <f>IF($J291=0,"",INDEX(Datos!$J$2:$J$1000,$J291)&amp;IF(INDEX(Datos!$Q$2:$Q$1000,$J291)="",""," | "&amp;INDEX(Datos!$Q$2:$Q$1000,$J291)))</f>
        <v/>
      </c>
      <c r="J291">
        <f>IFERROR(MATCH(ROW()-17,Datos!$W$2:$W$1000,0),0)</f>
        <v>0</v>
      </c>
    </row>
    <row r="292" spans="1:10" ht="82" customHeight="1" x14ac:dyDescent="0.35">
      <c r="A292" s="4" t="str">
        <f>IF($J292=0,"",IF(INDEX(Datos!$A$2:$A$1000,$J292)="","",INDEX(Datos!$A$2:$A$1000,$J292)))</f>
        <v/>
      </c>
      <c r="B292" s="5" t="str">
        <f>IF($J292=0,"",IF(INDEX(Datos!$E$2:$E$1000,$J292)="","",INDEX(Datos!$E$2:$E$1000,$J292)))</f>
        <v/>
      </c>
      <c r="C292" s="5" t="str">
        <f>IF($J292=0,"",IF(INDEX(Datos!$I$2:$I$1000,$J292)="","",INDEX(Datos!$I$2:$I$1000,$J292)))</f>
        <v/>
      </c>
      <c r="D292" s="6" t="str">
        <f>IF($J292=0,"",IF(INDEX(Datos!$F$2:$F$1000,$J292)="","",INDEX(Datos!$F$2:$F$1000,$J292)))</f>
        <v/>
      </c>
      <c r="E292" s="7" t="str">
        <f>IF($J292=0,"",IF(INDEX(Datos!$H$2:$H$1000,$J292)="","",INDEX(Datos!$H$2:$H$1000,$J292)))</f>
        <v/>
      </c>
      <c r="F292" s="6" t="str">
        <f>IF($J292=0,"",IF(INDEX(Datos!$N$2:$N$1000,$J292)="","",INDEX(Datos!$N$2:$N$1000,$J292)))</f>
        <v/>
      </c>
      <c r="G292" s="8" t="str">
        <f>IF($J292=0,"",IF(INDEX(Datos!$M$2:$M$1000,$J292)="","",INDEX(Datos!$M$2:$M$1000,$J292)))</f>
        <v/>
      </c>
      <c r="H292" s="6" t="str">
        <f>IF($J292=0,"",INDEX(Datos!$J$2:$J$1000,$J292)&amp;IF(INDEX(Datos!$Q$2:$Q$1000,$J292)="",""," | "&amp;INDEX(Datos!$Q$2:$Q$1000,$J292)))</f>
        <v/>
      </c>
      <c r="J292">
        <f>IFERROR(MATCH(ROW()-17,Datos!$W$2:$W$1000,0),0)</f>
        <v>0</v>
      </c>
    </row>
    <row r="293" spans="1:10" ht="82" customHeight="1" x14ac:dyDescent="0.35">
      <c r="A293" s="4" t="str">
        <f>IF($J293=0,"",IF(INDEX(Datos!$A$2:$A$1000,$J293)="","",INDEX(Datos!$A$2:$A$1000,$J293)))</f>
        <v/>
      </c>
      <c r="B293" s="5" t="str">
        <f>IF($J293=0,"",IF(INDEX(Datos!$E$2:$E$1000,$J293)="","",INDEX(Datos!$E$2:$E$1000,$J293)))</f>
        <v/>
      </c>
      <c r="C293" s="5" t="str">
        <f>IF($J293=0,"",IF(INDEX(Datos!$I$2:$I$1000,$J293)="","",INDEX(Datos!$I$2:$I$1000,$J293)))</f>
        <v/>
      </c>
      <c r="D293" s="6" t="str">
        <f>IF($J293=0,"",IF(INDEX(Datos!$F$2:$F$1000,$J293)="","",INDEX(Datos!$F$2:$F$1000,$J293)))</f>
        <v/>
      </c>
      <c r="E293" s="7" t="str">
        <f>IF($J293=0,"",IF(INDEX(Datos!$H$2:$H$1000,$J293)="","",INDEX(Datos!$H$2:$H$1000,$J293)))</f>
        <v/>
      </c>
      <c r="F293" s="6" t="str">
        <f>IF($J293=0,"",IF(INDEX(Datos!$N$2:$N$1000,$J293)="","",INDEX(Datos!$N$2:$N$1000,$J293)))</f>
        <v/>
      </c>
      <c r="G293" s="8" t="str">
        <f>IF($J293=0,"",IF(INDEX(Datos!$M$2:$M$1000,$J293)="","",INDEX(Datos!$M$2:$M$1000,$J293)))</f>
        <v/>
      </c>
      <c r="H293" s="6" t="str">
        <f>IF($J293=0,"",INDEX(Datos!$J$2:$J$1000,$J293)&amp;IF(INDEX(Datos!$Q$2:$Q$1000,$J293)="",""," | "&amp;INDEX(Datos!$Q$2:$Q$1000,$J293)))</f>
        <v/>
      </c>
      <c r="J293">
        <f>IFERROR(MATCH(ROW()-17,Datos!$W$2:$W$1000,0),0)</f>
        <v>0</v>
      </c>
    </row>
    <row r="294" spans="1:10" ht="82" customHeight="1" x14ac:dyDescent="0.35">
      <c r="A294" s="4" t="str">
        <f>IF($J294=0,"",IF(INDEX(Datos!$A$2:$A$1000,$J294)="","",INDEX(Datos!$A$2:$A$1000,$J294)))</f>
        <v/>
      </c>
      <c r="B294" s="5" t="str">
        <f>IF($J294=0,"",IF(INDEX(Datos!$E$2:$E$1000,$J294)="","",INDEX(Datos!$E$2:$E$1000,$J294)))</f>
        <v/>
      </c>
      <c r="C294" s="5" t="str">
        <f>IF($J294=0,"",IF(INDEX(Datos!$I$2:$I$1000,$J294)="","",INDEX(Datos!$I$2:$I$1000,$J294)))</f>
        <v/>
      </c>
      <c r="D294" s="6" t="str">
        <f>IF($J294=0,"",IF(INDEX(Datos!$F$2:$F$1000,$J294)="","",INDEX(Datos!$F$2:$F$1000,$J294)))</f>
        <v/>
      </c>
      <c r="E294" s="7" t="str">
        <f>IF($J294=0,"",IF(INDEX(Datos!$H$2:$H$1000,$J294)="","",INDEX(Datos!$H$2:$H$1000,$J294)))</f>
        <v/>
      </c>
      <c r="F294" s="6" t="str">
        <f>IF($J294=0,"",IF(INDEX(Datos!$N$2:$N$1000,$J294)="","",INDEX(Datos!$N$2:$N$1000,$J294)))</f>
        <v/>
      </c>
      <c r="G294" s="8" t="str">
        <f>IF($J294=0,"",IF(INDEX(Datos!$M$2:$M$1000,$J294)="","",INDEX(Datos!$M$2:$M$1000,$J294)))</f>
        <v/>
      </c>
      <c r="H294" s="6" t="str">
        <f>IF($J294=0,"",INDEX(Datos!$J$2:$J$1000,$J294)&amp;IF(INDEX(Datos!$Q$2:$Q$1000,$J294)="",""," | "&amp;INDEX(Datos!$Q$2:$Q$1000,$J294)))</f>
        <v/>
      </c>
      <c r="J294">
        <f>IFERROR(MATCH(ROW()-17,Datos!$W$2:$W$1000,0),0)</f>
        <v>0</v>
      </c>
    </row>
    <row r="295" spans="1:10" ht="82" customHeight="1" x14ac:dyDescent="0.35">
      <c r="A295" s="4" t="str">
        <f>IF($J295=0,"",IF(INDEX(Datos!$A$2:$A$1000,$J295)="","",INDEX(Datos!$A$2:$A$1000,$J295)))</f>
        <v/>
      </c>
      <c r="B295" s="5" t="str">
        <f>IF($J295=0,"",IF(INDEX(Datos!$E$2:$E$1000,$J295)="","",INDEX(Datos!$E$2:$E$1000,$J295)))</f>
        <v/>
      </c>
      <c r="C295" s="5" t="str">
        <f>IF($J295=0,"",IF(INDEX(Datos!$I$2:$I$1000,$J295)="","",INDEX(Datos!$I$2:$I$1000,$J295)))</f>
        <v/>
      </c>
      <c r="D295" s="6" t="str">
        <f>IF($J295=0,"",IF(INDEX(Datos!$F$2:$F$1000,$J295)="","",INDEX(Datos!$F$2:$F$1000,$J295)))</f>
        <v/>
      </c>
      <c r="E295" s="7" t="str">
        <f>IF($J295=0,"",IF(INDEX(Datos!$H$2:$H$1000,$J295)="","",INDEX(Datos!$H$2:$H$1000,$J295)))</f>
        <v/>
      </c>
      <c r="F295" s="6" t="str">
        <f>IF($J295=0,"",IF(INDEX(Datos!$N$2:$N$1000,$J295)="","",INDEX(Datos!$N$2:$N$1000,$J295)))</f>
        <v/>
      </c>
      <c r="G295" s="8" t="str">
        <f>IF($J295=0,"",IF(INDEX(Datos!$M$2:$M$1000,$J295)="","",INDEX(Datos!$M$2:$M$1000,$J295)))</f>
        <v/>
      </c>
      <c r="H295" s="6" t="str">
        <f>IF($J295=0,"",INDEX(Datos!$J$2:$J$1000,$J295)&amp;IF(INDEX(Datos!$Q$2:$Q$1000,$J295)="",""," | "&amp;INDEX(Datos!$Q$2:$Q$1000,$J295)))</f>
        <v/>
      </c>
      <c r="J295">
        <f>IFERROR(MATCH(ROW()-17,Datos!$W$2:$W$1000,0),0)</f>
        <v>0</v>
      </c>
    </row>
    <row r="296" spans="1:10" ht="82" customHeight="1" x14ac:dyDescent="0.35">
      <c r="A296" s="4" t="str">
        <f>IF($J296=0,"",IF(INDEX(Datos!$A$2:$A$1000,$J296)="","",INDEX(Datos!$A$2:$A$1000,$J296)))</f>
        <v/>
      </c>
      <c r="B296" s="5" t="str">
        <f>IF($J296=0,"",IF(INDEX(Datos!$E$2:$E$1000,$J296)="","",INDEX(Datos!$E$2:$E$1000,$J296)))</f>
        <v/>
      </c>
      <c r="C296" s="5" t="str">
        <f>IF($J296=0,"",IF(INDEX(Datos!$I$2:$I$1000,$J296)="","",INDEX(Datos!$I$2:$I$1000,$J296)))</f>
        <v/>
      </c>
      <c r="D296" s="6" t="str">
        <f>IF($J296=0,"",IF(INDEX(Datos!$F$2:$F$1000,$J296)="","",INDEX(Datos!$F$2:$F$1000,$J296)))</f>
        <v/>
      </c>
      <c r="E296" s="7" t="str">
        <f>IF($J296=0,"",IF(INDEX(Datos!$H$2:$H$1000,$J296)="","",INDEX(Datos!$H$2:$H$1000,$J296)))</f>
        <v/>
      </c>
      <c r="F296" s="6" t="str">
        <f>IF($J296=0,"",IF(INDEX(Datos!$N$2:$N$1000,$J296)="","",INDEX(Datos!$N$2:$N$1000,$J296)))</f>
        <v/>
      </c>
      <c r="G296" s="8" t="str">
        <f>IF($J296=0,"",IF(INDEX(Datos!$M$2:$M$1000,$J296)="","",INDEX(Datos!$M$2:$M$1000,$J296)))</f>
        <v/>
      </c>
      <c r="H296" s="6" t="str">
        <f>IF($J296=0,"",INDEX(Datos!$J$2:$J$1000,$J296)&amp;IF(INDEX(Datos!$Q$2:$Q$1000,$J296)="",""," | "&amp;INDEX(Datos!$Q$2:$Q$1000,$J296)))</f>
        <v/>
      </c>
      <c r="J296">
        <f>IFERROR(MATCH(ROW()-17,Datos!$W$2:$W$1000,0),0)</f>
        <v>0</v>
      </c>
    </row>
    <row r="297" spans="1:10" ht="82" customHeight="1" x14ac:dyDescent="0.35">
      <c r="A297" s="4" t="str">
        <f>IF($J297=0,"",IF(INDEX(Datos!$A$2:$A$1000,$J297)="","",INDEX(Datos!$A$2:$A$1000,$J297)))</f>
        <v/>
      </c>
      <c r="B297" s="5" t="str">
        <f>IF($J297=0,"",IF(INDEX(Datos!$E$2:$E$1000,$J297)="","",INDEX(Datos!$E$2:$E$1000,$J297)))</f>
        <v/>
      </c>
      <c r="C297" s="5" t="str">
        <f>IF($J297=0,"",IF(INDEX(Datos!$I$2:$I$1000,$J297)="","",INDEX(Datos!$I$2:$I$1000,$J297)))</f>
        <v/>
      </c>
      <c r="D297" s="6" t="str">
        <f>IF($J297=0,"",IF(INDEX(Datos!$F$2:$F$1000,$J297)="","",INDEX(Datos!$F$2:$F$1000,$J297)))</f>
        <v/>
      </c>
      <c r="E297" s="7" t="str">
        <f>IF($J297=0,"",IF(INDEX(Datos!$H$2:$H$1000,$J297)="","",INDEX(Datos!$H$2:$H$1000,$J297)))</f>
        <v/>
      </c>
      <c r="F297" s="6" t="str">
        <f>IF($J297=0,"",IF(INDEX(Datos!$N$2:$N$1000,$J297)="","",INDEX(Datos!$N$2:$N$1000,$J297)))</f>
        <v/>
      </c>
      <c r="G297" s="8" t="str">
        <f>IF($J297=0,"",IF(INDEX(Datos!$M$2:$M$1000,$J297)="","",INDEX(Datos!$M$2:$M$1000,$J297)))</f>
        <v/>
      </c>
      <c r="H297" s="6" t="str">
        <f>IF($J297=0,"",INDEX(Datos!$J$2:$J$1000,$J297)&amp;IF(INDEX(Datos!$Q$2:$Q$1000,$J297)="",""," | "&amp;INDEX(Datos!$Q$2:$Q$1000,$J297)))</f>
        <v/>
      </c>
      <c r="J297">
        <f>IFERROR(MATCH(ROW()-17,Datos!$W$2:$W$1000,0),0)</f>
        <v>0</v>
      </c>
    </row>
    <row r="298" spans="1:10" ht="82" customHeight="1" x14ac:dyDescent="0.35">
      <c r="A298" s="4" t="str">
        <f>IF($J298=0,"",IF(INDEX(Datos!$A$2:$A$1000,$J298)="","",INDEX(Datos!$A$2:$A$1000,$J298)))</f>
        <v/>
      </c>
      <c r="B298" s="5" t="str">
        <f>IF($J298=0,"",IF(INDEX(Datos!$E$2:$E$1000,$J298)="","",INDEX(Datos!$E$2:$E$1000,$J298)))</f>
        <v/>
      </c>
      <c r="C298" s="5" t="str">
        <f>IF($J298=0,"",IF(INDEX(Datos!$I$2:$I$1000,$J298)="","",INDEX(Datos!$I$2:$I$1000,$J298)))</f>
        <v/>
      </c>
      <c r="D298" s="6" t="str">
        <f>IF($J298=0,"",IF(INDEX(Datos!$F$2:$F$1000,$J298)="","",INDEX(Datos!$F$2:$F$1000,$J298)))</f>
        <v/>
      </c>
      <c r="E298" s="7" t="str">
        <f>IF($J298=0,"",IF(INDEX(Datos!$H$2:$H$1000,$J298)="","",INDEX(Datos!$H$2:$H$1000,$J298)))</f>
        <v/>
      </c>
      <c r="F298" s="6" t="str">
        <f>IF($J298=0,"",IF(INDEX(Datos!$N$2:$N$1000,$J298)="","",INDEX(Datos!$N$2:$N$1000,$J298)))</f>
        <v/>
      </c>
      <c r="G298" s="8" t="str">
        <f>IF($J298=0,"",IF(INDEX(Datos!$M$2:$M$1000,$J298)="","",INDEX(Datos!$M$2:$M$1000,$J298)))</f>
        <v/>
      </c>
      <c r="H298" s="6" t="str">
        <f>IF($J298=0,"",INDEX(Datos!$J$2:$J$1000,$J298)&amp;IF(INDEX(Datos!$Q$2:$Q$1000,$J298)="",""," | "&amp;INDEX(Datos!$Q$2:$Q$1000,$J298)))</f>
        <v/>
      </c>
      <c r="J298">
        <f>IFERROR(MATCH(ROW()-17,Datos!$W$2:$W$1000,0),0)</f>
        <v>0</v>
      </c>
    </row>
    <row r="299" spans="1:10" ht="82" customHeight="1" x14ac:dyDescent="0.35">
      <c r="A299" s="4" t="str">
        <f>IF($J299=0,"",IF(INDEX(Datos!$A$2:$A$1000,$J299)="","",INDEX(Datos!$A$2:$A$1000,$J299)))</f>
        <v/>
      </c>
      <c r="B299" s="5" t="str">
        <f>IF($J299=0,"",IF(INDEX(Datos!$E$2:$E$1000,$J299)="","",INDEX(Datos!$E$2:$E$1000,$J299)))</f>
        <v/>
      </c>
      <c r="C299" s="5" t="str">
        <f>IF($J299=0,"",IF(INDEX(Datos!$I$2:$I$1000,$J299)="","",INDEX(Datos!$I$2:$I$1000,$J299)))</f>
        <v/>
      </c>
      <c r="D299" s="6" t="str">
        <f>IF($J299=0,"",IF(INDEX(Datos!$F$2:$F$1000,$J299)="","",INDEX(Datos!$F$2:$F$1000,$J299)))</f>
        <v/>
      </c>
      <c r="E299" s="7" t="str">
        <f>IF($J299=0,"",IF(INDEX(Datos!$H$2:$H$1000,$J299)="","",INDEX(Datos!$H$2:$H$1000,$J299)))</f>
        <v/>
      </c>
      <c r="F299" s="6" t="str">
        <f>IF($J299=0,"",IF(INDEX(Datos!$N$2:$N$1000,$J299)="","",INDEX(Datos!$N$2:$N$1000,$J299)))</f>
        <v/>
      </c>
      <c r="G299" s="8" t="str">
        <f>IF($J299=0,"",IF(INDEX(Datos!$M$2:$M$1000,$J299)="","",INDEX(Datos!$M$2:$M$1000,$J299)))</f>
        <v/>
      </c>
      <c r="H299" s="6" t="str">
        <f>IF($J299=0,"",INDEX(Datos!$J$2:$J$1000,$J299)&amp;IF(INDEX(Datos!$Q$2:$Q$1000,$J299)="",""," | "&amp;INDEX(Datos!$Q$2:$Q$1000,$J299)))</f>
        <v/>
      </c>
      <c r="J299">
        <f>IFERROR(MATCH(ROW()-17,Datos!$W$2:$W$1000,0),0)</f>
        <v>0</v>
      </c>
    </row>
    <row r="300" spans="1:10" ht="82" customHeight="1" x14ac:dyDescent="0.35">
      <c r="A300" s="4" t="str">
        <f>IF($J300=0,"",IF(INDEX(Datos!$A$2:$A$1000,$J300)="","",INDEX(Datos!$A$2:$A$1000,$J300)))</f>
        <v/>
      </c>
      <c r="B300" s="5" t="str">
        <f>IF($J300=0,"",IF(INDEX(Datos!$E$2:$E$1000,$J300)="","",INDEX(Datos!$E$2:$E$1000,$J300)))</f>
        <v/>
      </c>
      <c r="C300" s="5" t="str">
        <f>IF($J300=0,"",IF(INDEX(Datos!$I$2:$I$1000,$J300)="","",INDEX(Datos!$I$2:$I$1000,$J300)))</f>
        <v/>
      </c>
      <c r="D300" s="6" t="str">
        <f>IF($J300=0,"",IF(INDEX(Datos!$F$2:$F$1000,$J300)="","",INDEX(Datos!$F$2:$F$1000,$J300)))</f>
        <v/>
      </c>
      <c r="E300" s="7" t="str">
        <f>IF($J300=0,"",IF(INDEX(Datos!$H$2:$H$1000,$J300)="","",INDEX(Datos!$H$2:$H$1000,$J300)))</f>
        <v/>
      </c>
      <c r="F300" s="6" t="str">
        <f>IF($J300=0,"",IF(INDEX(Datos!$N$2:$N$1000,$J300)="","",INDEX(Datos!$N$2:$N$1000,$J300)))</f>
        <v/>
      </c>
      <c r="G300" s="8" t="str">
        <f>IF($J300=0,"",IF(INDEX(Datos!$M$2:$M$1000,$J300)="","",INDEX(Datos!$M$2:$M$1000,$J300)))</f>
        <v/>
      </c>
      <c r="H300" s="6" t="str">
        <f>IF($J300=0,"",INDEX(Datos!$J$2:$J$1000,$J300)&amp;IF(INDEX(Datos!$Q$2:$Q$1000,$J300)="",""," | "&amp;INDEX(Datos!$Q$2:$Q$1000,$J300)))</f>
        <v/>
      </c>
      <c r="J300">
        <f>IFERROR(MATCH(ROW()-17,Datos!$W$2:$W$1000,0),0)</f>
        <v>0</v>
      </c>
    </row>
    <row r="301" spans="1:10" ht="82" customHeight="1" x14ac:dyDescent="0.35">
      <c r="A301" s="4" t="str">
        <f>IF($J301=0,"",IF(INDEX(Datos!$A$2:$A$1000,$J301)="","",INDEX(Datos!$A$2:$A$1000,$J301)))</f>
        <v/>
      </c>
      <c r="B301" s="5" t="str">
        <f>IF($J301=0,"",IF(INDEX(Datos!$E$2:$E$1000,$J301)="","",INDEX(Datos!$E$2:$E$1000,$J301)))</f>
        <v/>
      </c>
      <c r="C301" s="5" t="str">
        <f>IF($J301=0,"",IF(INDEX(Datos!$I$2:$I$1000,$J301)="","",INDEX(Datos!$I$2:$I$1000,$J301)))</f>
        <v/>
      </c>
      <c r="D301" s="6" t="str">
        <f>IF($J301=0,"",IF(INDEX(Datos!$F$2:$F$1000,$J301)="","",INDEX(Datos!$F$2:$F$1000,$J301)))</f>
        <v/>
      </c>
      <c r="E301" s="7" t="str">
        <f>IF($J301=0,"",IF(INDEX(Datos!$H$2:$H$1000,$J301)="","",INDEX(Datos!$H$2:$H$1000,$J301)))</f>
        <v/>
      </c>
      <c r="F301" s="6" t="str">
        <f>IF($J301=0,"",IF(INDEX(Datos!$N$2:$N$1000,$J301)="","",INDEX(Datos!$N$2:$N$1000,$J301)))</f>
        <v/>
      </c>
      <c r="G301" s="8" t="str">
        <f>IF($J301=0,"",IF(INDEX(Datos!$M$2:$M$1000,$J301)="","",INDEX(Datos!$M$2:$M$1000,$J301)))</f>
        <v/>
      </c>
      <c r="H301" s="6" t="str">
        <f>IF($J301=0,"",INDEX(Datos!$J$2:$J$1000,$J301)&amp;IF(INDEX(Datos!$Q$2:$Q$1000,$J301)="",""," | "&amp;INDEX(Datos!$Q$2:$Q$1000,$J301)))</f>
        <v/>
      </c>
      <c r="J301">
        <f>IFERROR(MATCH(ROW()-17,Datos!$W$2:$W$1000,0),0)</f>
        <v>0</v>
      </c>
    </row>
    <row r="302" spans="1:10" ht="82" customHeight="1" x14ac:dyDescent="0.35">
      <c r="A302" s="4" t="str">
        <f>IF($J302=0,"",IF(INDEX(Datos!$A$2:$A$1000,$J302)="","",INDEX(Datos!$A$2:$A$1000,$J302)))</f>
        <v/>
      </c>
      <c r="B302" s="5" t="str">
        <f>IF($J302=0,"",IF(INDEX(Datos!$E$2:$E$1000,$J302)="","",INDEX(Datos!$E$2:$E$1000,$J302)))</f>
        <v/>
      </c>
      <c r="C302" s="5" t="str">
        <f>IF($J302=0,"",IF(INDEX(Datos!$I$2:$I$1000,$J302)="","",INDEX(Datos!$I$2:$I$1000,$J302)))</f>
        <v/>
      </c>
      <c r="D302" s="6" t="str">
        <f>IF($J302=0,"",IF(INDEX(Datos!$F$2:$F$1000,$J302)="","",INDEX(Datos!$F$2:$F$1000,$J302)))</f>
        <v/>
      </c>
      <c r="E302" s="7" t="str">
        <f>IF($J302=0,"",IF(INDEX(Datos!$H$2:$H$1000,$J302)="","",INDEX(Datos!$H$2:$H$1000,$J302)))</f>
        <v/>
      </c>
      <c r="F302" s="6" t="str">
        <f>IF($J302=0,"",IF(INDEX(Datos!$N$2:$N$1000,$J302)="","",INDEX(Datos!$N$2:$N$1000,$J302)))</f>
        <v/>
      </c>
      <c r="G302" s="8" t="str">
        <f>IF($J302=0,"",IF(INDEX(Datos!$M$2:$M$1000,$J302)="","",INDEX(Datos!$M$2:$M$1000,$J302)))</f>
        <v/>
      </c>
      <c r="H302" s="6" t="str">
        <f>IF($J302=0,"",INDEX(Datos!$J$2:$J$1000,$J302)&amp;IF(INDEX(Datos!$Q$2:$Q$1000,$J302)="",""," | "&amp;INDEX(Datos!$Q$2:$Q$1000,$J302)))</f>
        <v/>
      </c>
      <c r="J302">
        <f>IFERROR(MATCH(ROW()-17,Datos!$W$2:$W$1000,0),0)</f>
        <v>0</v>
      </c>
    </row>
    <row r="303" spans="1:10" ht="82" customHeight="1" x14ac:dyDescent="0.35">
      <c r="A303" s="4" t="str">
        <f>IF($J303=0,"",IF(INDEX(Datos!$A$2:$A$1000,$J303)="","",INDEX(Datos!$A$2:$A$1000,$J303)))</f>
        <v/>
      </c>
      <c r="B303" s="5" t="str">
        <f>IF($J303=0,"",IF(INDEX(Datos!$E$2:$E$1000,$J303)="","",INDEX(Datos!$E$2:$E$1000,$J303)))</f>
        <v/>
      </c>
      <c r="C303" s="5" t="str">
        <f>IF($J303=0,"",IF(INDEX(Datos!$I$2:$I$1000,$J303)="","",INDEX(Datos!$I$2:$I$1000,$J303)))</f>
        <v/>
      </c>
      <c r="D303" s="6" t="str">
        <f>IF($J303=0,"",IF(INDEX(Datos!$F$2:$F$1000,$J303)="","",INDEX(Datos!$F$2:$F$1000,$J303)))</f>
        <v/>
      </c>
      <c r="E303" s="7" t="str">
        <f>IF($J303=0,"",IF(INDEX(Datos!$H$2:$H$1000,$J303)="","",INDEX(Datos!$H$2:$H$1000,$J303)))</f>
        <v/>
      </c>
      <c r="F303" s="6" t="str">
        <f>IF($J303=0,"",IF(INDEX(Datos!$N$2:$N$1000,$J303)="","",INDEX(Datos!$N$2:$N$1000,$J303)))</f>
        <v/>
      </c>
      <c r="G303" s="8" t="str">
        <f>IF($J303=0,"",IF(INDEX(Datos!$M$2:$M$1000,$J303)="","",INDEX(Datos!$M$2:$M$1000,$J303)))</f>
        <v/>
      </c>
      <c r="H303" s="6" t="str">
        <f>IF($J303=0,"",INDEX(Datos!$J$2:$J$1000,$J303)&amp;IF(INDEX(Datos!$Q$2:$Q$1000,$J303)="",""," | "&amp;INDEX(Datos!$Q$2:$Q$1000,$J303)))</f>
        <v/>
      </c>
      <c r="J303">
        <f>IFERROR(MATCH(ROW()-17,Datos!$W$2:$W$1000,0),0)</f>
        <v>0</v>
      </c>
    </row>
    <row r="304" spans="1:10" ht="82" customHeight="1" x14ac:dyDescent="0.35">
      <c r="A304" s="4" t="str">
        <f>IF($J304=0,"",IF(INDEX(Datos!$A$2:$A$1000,$J304)="","",INDEX(Datos!$A$2:$A$1000,$J304)))</f>
        <v/>
      </c>
      <c r="B304" s="5" t="str">
        <f>IF($J304=0,"",IF(INDEX(Datos!$E$2:$E$1000,$J304)="","",INDEX(Datos!$E$2:$E$1000,$J304)))</f>
        <v/>
      </c>
      <c r="C304" s="5" t="str">
        <f>IF($J304=0,"",IF(INDEX(Datos!$I$2:$I$1000,$J304)="","",INDEX(Datos!$I$2:$I$1000,$J304)))</f>
        <v/>
      </c>
      <c r="D304" s="6" t="str">
        <f>IF($J304=0,"",IF(INDEX(Datos!$F$2:$F$1000,$J304)="","",INDEX(Datos!$F$2:$F$1000,$J304)))</f>
        <v/>
      </c>
      <c r="E304" s="7" t="str">
        <f>IF($J304=0,"",IF(INDEX(Datos!$H$2:$H$1000,$J304)="","",INDEX(Datos!$H$2:$H$1000,$J304)))</f>
        <v/>
      </c>
      <c r="F304" s="6" t="str">
        <f>IF($J304=0,"",IF(INDEX(Datos!$N$2:$N$1000,$J304)="","",INDEX(Datos!$N$2:$N$1000,$J304)))</f>
        <v/>
      </c>
      <c r="G304" s="8" t="str">
        <f>IF($J304=0,"",IF(INDEX(Datos!$M$2:$M$1000,$J304)="","",INDEX(Datos!$M$2:$M$1000,$J304)))</f>
        <v/>
      </c>
      <c r="H304" s="6" t="str">
        <f>IF($J304=0,"",INDEX(Datos!$J$2:$J$1000,$J304)&amp;IF(INDEX(Datos!$Q$2:$Q$1000,$J304)="",""," | "&amp;INDEX(Datos!$Q$2:$Q$1000,$J304)))</f>
        <v/>
      </c>
      <c r="J304">
        <f>IFERROR(MATCH(ROW()-17,Datos!$W$2:$W$1000,0),0)</f>
        <v>0</v>
      </c>
    </row>
    <row r="305" spans="1:10" ht="82" customHeight="1" x14ac:dyDescent="0.35">
      <c r="A305" s="4" t="str">
        <f>IF($J305=0,"",IF(INDEX(Datos!$A$2:$A$1000,$J305)="","",INDEX(Datos!$A$2:$A$1000,$J305)))</f>
        <v/>
      </c>
      <c r="B305" s="5" t="str">
        <f>IF($J305=0,"",IF(INDEX(Datos!$E$2:$E$1000,$J305)="","",INDEX(Datos!$E$2:$E$1000,$J305)))</f>
        <v/>
      </c>
      <c r="C305" s="5" t="str">
        <f>IF($J305=0,"",IF(INDEX(Datos!$I$2:$I$1000,$J305)="","",INDEX(Datos!$I$2:$I$1000,$J305)))</f>
        <v/>
      </c>
      <c r="D305" s="6" t="str">
        <f>IF($J305=0,"",IF(INDEX(Datos!$F$2:$F$1000,$J305)="","",INDEX(Datos!$F$2:$F$1000,$J305)))</f>
        <v/>
      </c>
      <c r="E305" s="7" t="str">
        <f>IF($J305=0,"",IF(INDEX(Datos!$H$2:$H$1000,$J305)="","",INDEX(Datos!$H$2:$H$1000,$J305)))</f>
        <v/>
      </c>
      <c r="F305" s="6" t="str">
        <f>IF($J305=0,"",IF(INDEX(Datos!$N$2:$N$1000,$J305)="","",INDEX(Datos!$N$2:$N$1000,$J305)))</f>
        <v/>
      </c>
      <c r="G305" s="8" t="str">
        <f>IF($J305=0,"",IF(INDEX(Datos!$M$2:$M$1000,$J305)="","",INDEX(Datos!$M$2:$M$1000,$J305)))</f>
        <v/>
      </c>
      <c r="H305" s="6" t="str">
        <f>IF($J305=0,"",INDEX(Datos!$J$2:$J$1000,$J305)&amp;IF(INDEX(Datos!$Q$2:$Q$1000,$J305)="",""," | "&amp;INDEX(Datos!$Q$2:$Q$1000,$J305)))</f>
        <v/>
      </c>
      <c r="J305">
        <f>IFERROR(MATCH(ROW()-17,Datos!$W$2:$W$1000,0),0)</f>
        <v>0</v>
      </c>
    </row>
    <row r="306" spans="1:10" ht="82" customHeight="1" x14ac:dyDescent="0.35">
      <c r="A306" s="4" t="str">
        <f>IF($J306=0,"",IF(INDEX(Datos!$A$2:$A$1000,$J306)="","",INDEX(Datos!$A$2:$A$1000,$J306)))</f>
        <v/>
      </c>
      <c r="B306" s="5" t="str">
        <f>IF($J306=0,"",IF(INDEX(Datos!$E$2:$E$1000,$J306)="","",INDEX(Datos!$E$2:$E$1000,$J306)))</f>
        <v/>
      </c>
      <c r="C306" s="5" t="str">
        <f>IF($J306=0,"",IF(INDEX(Datos!$I$2:$I$1000,$J306)="","",INDEX(Datos!$I$2:$I$1000,$J306)))</f>
        <v/>
      </c>
      <c r="D306" s="6" t="str">
        <f>IF($J306=0,"",IF(INDEX(Datos!$F$2:$F$1000,$J306)="","",INDEX(Datos!$F$2:$F$1000,$J306)))</f>
        <v/>
      </c>
      <c r="E306" s="7" t="str">
        <f>IF($J306=0,"",IF(INDEX(Datos!$H$2:$H$1000,$J306)="","",INDEX(Datos!$H$2:$H$1000,$J306)))</f>
        <v/>
      </c>
      <c r="F306" s="6" t="str">
        <f>IF($J306=0,"",IF(INDEX(Datos!$N$2:$N$1000,$J306)="","",INDEX(Datos!$N$2:$N$1000,$J306)))</f>
        <v/>
      </c>
      <c r="G306" s="8" t="str">
        <f>IF($J306=0,"",IF(INDEX(Datos!$M$2:$M$1000,$J306)="","",INDEX(Datos!$M$2:$M$1000,$J306)))</f>
        <v/>
      </c>
      <c r="H306" s="6" t="str">
        <f>IF($J306=0,"",INDEX(Datos!$J$2:$J$1000,$J306)&amp;IF(INDEX(Datos!$Q$2:$Q$1000,$J306)="",""," | "&amp;INDEX(Datos!$Q$2:$Q$1000,$J306)))</f>
        <v/>
      </c>
      <c r="J306">
        <f>IFERROR(MATCH(ROW()-17,Datos!$W$2:$W$1000,0),0)</f>
        <v>0</v>
      </c>
    </row>
    <row r="307" spans="1:10" ht="82" customHeight="1" x14ac:dyDescent="0.35">
      <c r="A307" s="4" t="str">
        <f>IF($J307=0,"",IF(INDEX(Datos!$A$2:$A$1000,$J307)="","",INDEX(Datos!$A$2:$A$1000,$J307)))</f>
        <v/>
      </c>
      <c r="B307" s="5" t="str">
        <f>IF($J307=0,"",IF(INDEX(Datos!$E$2:$E$1000,$J307)="","",INDEX(Datos!$E$2:$E$1000,$J307)))</f>
        <v/>
      </c>
      <c r="C307" s="5" t="str">
        <f>IF($J307=0,"",IF(INDEX(Datos!$I$2:$I$1000,$J307)="","",INDEX(Datos!$I$2:$I$1000,$J307)))</f>
        <v/>
      </c>
      <c r="D307" s="6" t="str">
        <f>IF($J307=0,"",IF(INDEX(Datos!$F$2:$F$1000,$J307)="","",INDEX(Datos!$F$2:$F$1000,$J307)))</f>
        <v/>
      </c>
      <c r="E307" s="7" t="str">
        <f>IF($J307=0,"",IF(INDEX(Datos!$H$2:$H$1000,$J307)="","",INDEX(Datos!$H$2:$H$1000,$J307)))</f>
        <v/>
      </c>
      <c r="F307" s="6" t="str">
        <f>IF($J307=0,"",IF(INDEX(Datos!$N$2:$N$1000,$J307)="","",INDEX(Datos!$N$2:$N$1000,$J307)))</f>
        <v/>
      </c>
      <c r="G307" s="8" t="str">
        <f>IF($J307=0,"",IF(INDEX(Datos!$M$2:$M$1000,$J307)="","",INDEX(Datos!$M$2:$M$1000,$J307)))</f>
        <v/>
      </c>
      <c r="H307" s="6" t="str">
        <f>IF($J307=0,"",INDEX(Datos!$J$2:$J$1000,$J307)&amp;IF(INDEX(Datos!$Q$2:$Q$1000,$J307)="",""," | "&amp;INDEX(Datos!$Q$2:$Q$1000,$J307)))</f>
        <v/>
      </c>
      <c r="J307">
        <f>IFERROR(MATCH(ROW()-17,Datos!$W$2:$W$1000,0),0)</f>
        <v>0</v>
      </c>
    </row>
    <row r="308" spans="1:10" ht="82" customHeight="1" x14ac:dyDescent="0.35">
      <c r="A308" s="4" t="str">
        <f>IF($J308=0,"",IF(INDEX(Datos!$A$2:$A$1000,$J308)="","",INDEX(Datos!$A$2:$A$1000,$J308)))</f>
        <v/>
      </c>
      <c r="B308" s="5" t="str">
        <f>IF($J308=0,"",IF(INDEX(Datos!$E$2:$E$1000,$J308)="","",INDEX(Datos!$E$2:$E$1000,$J308)))</f>
        <v/>
      </c>
      <c r="C308" s="5" t="str">
        <f>IF($J308=0,"",IF(INDEX(Datos!$I$2:$I$1000,$J308)="","",INDEX(Datos!$I$2:$I$1000,$J308)))</f>
        <v/>
      </c>
      <c r="D308" s="6" t="str">
        <f>IF($J308=0,"",IF(INDEX(Datos!$F$2:$F$1000,$J308)="","",INDEX(Datos!$F$2:$F$1000,$J308)))</f>
        <v/>
      </c>
      <c r="E308" s="7" t="str">
        <f>IF($J308=0,"",IF(INDEX(Datos!$H$2:$H$1000,$J308)="","",INDEX(Datos!$H$2:$H$1000,$J308)))</f>
        <v/>
      </c>
      <c r="F308" s="6" t="str">
        <f>IF($J308=0,"",IF(INDEX(Datos!$N$2:$N$1000,$J308)="","",INDEX(Datos!$N$2:$N$1000,$J308)))</f>
        <v/>
      </c>
      <c r="G308" s="8" t="str">
        <f>IF($J308=0,"",IF(INDEX(Datos!$M$2:$M$1000,$J308)="","",INDEX(Datos!$M$2:$M$1000,$J308)))</f>
        <v/>
      </c>
      <c r="H308" s="6" t="str">
        <f>IF($J308=0,"",INDEX(Datos!$J$2:$J$1000,$J308)&amp;IF(INDEX(Datos!$Q$2:$Q$1000,$J308)="",""," | "&amp;INDEX(Datos!$Q$2:$Q$1000,$J308)))</f>
        <v/>
      </c>
      <c r="J308">
        <f>IFERROR(MATCH(ROW()-17,Datos!$W$2:$W$1000,0),0)</f>
        <v>0</v>
      </c>
    </row>
    <row r="309" spans="1:10" ht="82" customHeight="1" x14ac:dyDescent="0.35">
      <c r="A309" s="4" t="str">
        <f>IF($J309=0,"",IF(INDEX(Datos!$A$2:$A$1000,$J309)="","",INDEX(Datos!$A$2:$A$1000,$J309)))</f>
        <v/>
      </c>
      <c r="B309" s="5" t="str">
        <f>IF($J309=0,"",IF(INDEX(Datos!$E$2:$E$1000,$J309)="","",INDEX(Datos!$E$2:$E$1000,$J309)))</f>
        <v/>
      </c>
      <c r="C309" s="5" t="str">
        <f>IF($J309=0,"",IF(INDEX(Datos!$I$2:$I$1000,$J309)="","",INDEX(Datos!$I$2:$I$1000,$J309)))</f>
        <v/>
      </c>
      <c r="D309" s="6" t="str">
        <f>IF($J309=0,"",IF(INDEX(Datos!$F$2:$F$1000,$J309)="","",INDEX(Datos!$F$2:$F$1000,$J309)))</f>
        <v/>
      </c>
      <c r="E309" s="7" t="str">
        <f>IF($J309=0,"",IF(INDEX(Datos!$H$2:$H$1000,$J309)="","",INDEX(Datos!$H$2:$H$1000,$J309)))</f>
        <v/>
      </c>
      <c r="F309" s="6" t="str">
        <f>IF($J309=0,"",IF(INDEX(Datos!$N$2:$N$1000,$J309)="","",INDEX(Datos!$N$2:$N$1000,$J309)))</f>
        <v/>
      </c>
      <c r="G309" s="8" t="str">
        <f>IF($J309=0,"",IF(INDEX(Datos!$M$2:$M$1000,$J309)="","",INDEX(Datos!$M$2:$M$1000,$J309)))</f>
        <v/>
      </c>
      <c r="H309" s="6" t="str">
        <f>IF($J309=0,"",INDEX(Datos!$J$2:$J$1000,$J309)&amp;IF(INDEX(Datos!$Q$2:$Q$1000,$J309)="",""," | "&amp;INDEX(Datos!$Q$2:$Q$1000,$J309)))</f>
        <v/>
      </c>
      <c r="J309">
        <f>IFERROR(MATCH(ROW()-17,Datos!$W$2:$W$1000,0),0)</f>
        <v>0</v>
      </c>
    </row>
    <row r="310" spans="1:10" ht="82" customHeight="1" x14ac:dyDescent="0.35">
      <c r="A310" s="4" t="str">
        <f>IF($J310=0,"",IF(INDEX(Datos!$A$2:$A$1000,$J310)="","",INDEX(Datos!$A$2:$A$1000,$J310)))</f>
        <v/>
      </c>
      <c r="B310" s="5" t="str">
        <f>IF($J310=0,"",IF(INDEX(Datos!$E$2:$E$1000,$J310)="","",INDEX(Datos!$E$2:$E$1000,$J310)))</f>
        <v/>
      </c>
      <c r="C310" s="5" t="str">
        <f>IF($J310=0,"",IF(INDEX(Datos!$I$2:$I$1000,$J310)="","",INDEX(Datos!$I$2:$I$1000,$J310)))</f>
        <v/>
      </c>
      <c r="D310" s="6" t="str">
        <f>IF($J310=0,"",IF(INDEX(Datos!$F$2:$F$1000,$J310)="","",INDEX(Datos!$F$2:$F$1000,$J310)))</f>
        <v/>
      </c>
      <c r="E310" s="7" t="str">
        <f>IF($J310=0,"",IF(INDEX(Datos!$H$2:$H$1000,$J310)="","",INDEX(Datos!$H$2:$H$1000,$J310)))</f>
        <v/>
      </c>
      <c r="F310" s="6" t="str">
        <f>IF($J310=0,"",IF(INDEX(Datos!$N$2:$N$1000,$J310)="","",INDEX(Datos!$N$2:$N$1000,$J310)))</f>
        <v/>
      </c>
      <c r="G310" s="8" t="str">
        <f>IF($J310=0,"",IF(INDEX(Datos!$M$2:$M$1000,$J310)="","",INDEX(Datos!$M$2:$M$1000,$J310)))</f>
        <v/>
      </c>
      <c r="H310" s="6" t="str">
        <f>IF($J310=0,"",INDEX(Datos!$J$2:$J$1000,$J310)&amp;IF(INDEX(Datos!$Q$2:$Q$1000,$J310)="",""," | "&amp;INDEX(Datos!$Q$2:$Q$1000,$J310)))</f>
        <v/>
      </c>
      <c r="J310">
        <f>IFERROR(MATCH(ROW()-17,Datos!$W$2:$W$1000,0),0)</f>
        <v>0</v>
      </c>
    </row>
    <row r="311" spans="1:10" ht="82" customHeight="1" x14ac:dyDescent="0.35">
      <c r="A311" s="4" t="str">
        <f>IF($J311=0,"",IF(INDEX(Datos!$A$2:$A$1000,$J311)="","",INDEX(Datos!$A$2:$A$1000,$J311)))</f>
        <v/>
      </c>
      <c r="B311" s="5" t="str">
        <f>IF($J311=0,"",IF(INDEX(Datos!$E$2:$E$1000,$J311)="","",INDEX(Datos!$E$2:$E$1000,$J311)))</f>
        <v/>
      </c>
      <c r="C311" s="5" t="str">
        <f>IF($J311=0,"",IF(INDEX(Datos!$I$2:$I$1000,$J311)="","",INDEX(Datos!$I$2:$I$1000,$J311)))</f>
        <v/>
      </c>
      <c r="D311" s="6" t="str">
        <f>IF($J311=0,"",IF(INDEX(Datos!$F$2:$F$1000,$J311)="","",INDEX(Datos!$F$2:$F$1000,$J311)))</f>
        <v/>
      </c>
      <c r="E311" s="7" t="str">
        <f>IF($J311=0,"",IF(INDEX(Datos!$H$2:$H$1000,$J311)="","",INDEX(Datos!$H$2:$H$1000,$J311)))</f>
        <v/>
      </c>
      <c r="F311" s="6" t="str">
        <f>IF($J311=0,"",IF(INDEX(Datos!$N$2:$N$1000,$J311)="","",INDEX(Datos!$N$2:$N$1000,$J311)))</f>
        <v/>
      </c>
      <c r="G311" s="8" t="str">
        <f>IF($J311=0,"",IF(INDEX(Datos!$M$2:$M$1000,$J311)="","",INDEX(Datos!$M$2:$M$1000,$J311)))</f>
        <v/>
      </c>
      <c r="H311" s="6" t="str">
        <f>IF($J311=0,"",INDEX(Datos!$J$2:$J$1000,$J311)&amp;IF(INDEX(Datos!$Q$2:$Q$1000,$J311)="",""," | "&amp;INDEX(Datos!$Q$2:$Q$1000,$J311)))</f>
        <v/>
      </c>
      <c r="J311">
        <f>IFERROR(MATCH(ROW()-17,Datos!$W$2:$W$1000,0),0)</f>
        <v>0</v>
      </c>
    </row>
    <row r="312" spans="1:10" ht="82" customHeight="1" x14ac:dyDescent="0.35">
      <c r="A312" s="4" t="str">
        <f>IF($J312=0,"",IF(INDEX(Datos!$A$2:$A$1000,$J312)="","",INDEX(Datos!$A$2:$A$1000,$J312)))</f>
        <v/>
      </c>
      <c r="B312" s="5" t="str">
        <f>IF($J312=0,"",IF(INDEX(Datos!$E$2:$E$1000,$J312)="","",INDEX(Datos!$E$2:$E$1000,$J312)))</f>
        <v/>
      </c>
      <c r="C312" s="5" t="str">
        <f>IF($J312=0,"",IF(INDEX(Datos!$I$2:$I$1000,$J312)="","",INDEX(Datos!$I$2:$I$1000,$J312)))</f>
        <v/>
      </c>
      <c r="D312" s="6" t="str">
        <f>IF($J312=0,"",IF(INDEX(Datos!$F$2:$F$1000,$J312)="","",INDEX(Datos!$F$2:$F$1000,$J312)))</f>
        <v/>
      </c>
      <c r="E312" s="7" t="str">
        <f>IF($J312=0,"",IF(INDEX(Datos!$H$2:$H$1000,$J312)="","",INDEX(Datos!$H$2:$H$1000,$J312)))</f>
        <v/>
      </c>
      <c r="F312" s="6" t="str">
        <f>IF($J312=0,"",IF(INDEX(Datos!$N$2:$N$1000,$J312)="","",INDEX(Datos!$N$2:$N$1000,$J312)))</f>
        <v/>
      </c>
      <c r="G312" s="8" t="str">
        <f>IF($J312=0,"",IF(INDEX(Datos!$M$2:$M$1000,$J312)="","",INDEX(Datos!$M$2:$M$1000,$J312)))</f>
        <v/>
      </c>
      <c r="H312" s="6" t="str">
        <f>IF($J312=0,"",INDEX(Datos!$J$2:$J$1000,$J312)&amp;IF(INDEX(Datos!$Q$2:$Q$1000,$J312)="",""," | "&amp;INDEX(Datos!$Q$2:$Q$1000,$J312)))</f>
        <v/>
      </c>
      <c r="J312">
        <f>IFERROR(MATCH(ROW()-17,Datos!$W$2:$W$1000,0),0)</f>
        <v>0</v>
      </c>
    </row>
    <row r="313" spans="1:10" ht="82" customHeight="1" x14ac:dyDescent="0.35">
      <c r="A313" s="4" t="str">
        <f>IF($J313=0,"",IF(INDEX(Datos!$A$2:$A$1000,$J313)="","",INDEX(Datos!$A$2:$A$1000,$J313)))</f>
        <v/>
      </c>
      <c r="B313" s="5" t="str">
        <f>IF($J313=0,"",IF(INDEX(Datos!$E$2:$E$1000,$J313)="","",INDEX(Datos!$E$2:$E$1000,$J313)))</f>
        <v/>
      </c>
      <c r="C313" s="5" t="str">
        <f>IF($J313=0,"",IF(INDEX(Datos!$I$2:$I$1000,$J313)="","",INDEX(Datos!$I$2:$I$1000,$J313)))</f>
        <v/>
      </c>
      <c r="D313" s="6" t="str">
        <f>IF($J313=0,"",IF(INDEX(Datos!$F$2:$F$1000,$J313)="","",INDEX(Datos!$F$2:$F$1000,$J313)))</f>
        <v/>
      </c>
      <c r="E313" s="7" t="str">
        <f>IF($J313=0,"",IF(INDEX(Datos!$H$2:$H$1000,$J313)="","",INDEX(Datos!$H$2:$H$1000,$J313)))</f>
        <v/>
      </c>
      <c r="F313" s="6" t="str">
        <f>IF($J313=0,"",IF(INDEX(Datos!$N$2:$N$1000,$J313)="","",INDEX(Datos!$N$2:$N$1000,$J313)))</f>
        <v/>
      </c>
      <c r="G313" s="8" t="str">
        <f>IF($J313=0,"",IF(INDEX(Datos!$M$2:$M$1000,$J313)="","",INDEX(Datos!$M$2:$M$1000,$J313)))</f>
        <v/>
      </c>
      <c r="H313" s="6" t="str">
        <f>IF($J313=0,"",INDEX(Datos!$J$2:$J$1000,$J313)&amp;IF(INDEX(Datos!$Q$2:$Q$1000,$J313)="",""," | "&amp;INDEX(Datos!$Q$2:$Q$1000,$J313)))</f>
        <v/>
      </c>
      <c r="J313">
        <f>IFERROR(MATCH(ROW()-17,Datos!$W$2:$W$1000,0),0)</f>
        <v>0</v>
      </c>
    </row>
    <row r="314" spans="1:10" ht="82" customHeight="1" x14ac:dyDescent="0.35">
      <c r="A314" s="4" t="str">
        <f>IF($J314=0,"",IF(INDEX(Datos!$A$2:$A$1000,$J314)="","",INDEX(Datos!$A$2:$A$1000,$J314)))</f>
        <v/>
      </c>
      <c r="B314" s="5" t="str">
        <f>IF($J314=0,"",IF(INDEX(Datos!$E$2:$E$1000,$J314)="","",INDEX(Datos!$E$2:$E$1000,$J314)))</f>
        <v/>
      </c>
      <c r="C314" s="5" t="str">
        <f>IF($J314=0,"",IF(INDEX(Datos!$I$2:$I$1000,$J314)="","",INDEX(Datos!$I$2:$I$1000,$J314)))</f>
        <v/>
      </c>
      <c r="D314" s="6" t="str">
        <f>IF($J314=0,"",IF(INDEX(Datos!$F$2:$F$1000,$J314)="","",INDEX(Datos!$F$2:$F$1000,$J314)))</f>
        <v/>
      </c>
      <c r="E314" s="7" t="str">
        <f>IF($J314=0,"",IF(INDEX(Datos!$H$2:$H$1000,$J314)="","",INDEX(Datos!$H$2:$H$1000,$J314)))</f>
        <v/>
      </c>
      <c r="F314" s="6" t="str">
        <f>IF($J314=0,"",IF(INDEX(Datos!$N$2:$N$1000,$J314)="","",INDEX(Datos!$N$2:$N$1000,$J314)))</f>
        <v/>
      </c>
      <c r="G314" s="8" t="str">
        <f>IF($J314=0,"",IF(INDEX(Datos!$M$2:$M$1000,$J314)="","",INDEX(Datos!$M$2:$M$1000,$J314)))</f>
        <v/>
      </c>
      <c r="H314" s="6" t="str">
        <f>IF($J314=0,"",INDEX(Datos!$J$2:$J$1000,$J314)&amp;IF(INDEX(Datos!$Q$2:$Q$1000,$J314)="",""," | "&amp;INDEX(Datos!$Q$2:$Q$1000,$J314)))</f>
        <v/>
      </c>
      <c r="J314">
        <f>IFERROR(MATCH(ROW()-17,Datos!$W$2:$W$1000,0),0)</f>
        <v>0</v>
      </c>
    </row>
    <row r="315" spans="1:10" ht="82" customHeight="1" x14ac:dyDescent="0.35">
      <c r="A315" s="4" t="str">
        <f>IF($J315=0,"",IF(INDEX(Datos!$A$2:$A$1000,$J315)="","",INDEX(Datos!$A$2:$A$1000,$J315)))</f>
        <v/>
      </c>
      <c r="B315" s="5" t="str">
        <f>IF($J315=0,"",IF(INDEX(Datos!$E$2:$E$1000,$J315)="","",INDEX(Datos!$E$2:$E$1000,$J315)))</f>
        <v/>
      </c>
      <c r="C315" s="5" t="str">
        <f>IF($J315=0,"",IF(INDEX(Datos!$I$2:$I$1000,$J315)="","",INDEX(Datos!$I$2:$I$1000,$J315)))</f>
        <v/>
      </c>
      <c r="D315" s="6" t="str">
        <f>IF($J315=0,"",IF(INDEX(Datos!$F$2:$F$1000,$J315)="","",INDEX(Datos!$F$2:$F$1000,$J315)))</f>
        <v/>
      </c>
      <c r="E315" s="7" t="str">
        <f>IF($J315=0,"",IF(INDEX(Datos!$H$2:$H$1000,$J315)="","",INDEX(Datos!$H$2:$H$1000,$J315)))</f>
        <v/>
      </c>
      <c r="F315" s="6" t="str">
        <f>IF($J315=0,"",IF(INDEX(Datos!$N$2:$N$1000,$J315)="","",INDEX(Datos!$N$2:$N$1000,$J315)))</f>
        <v/>
      </c>
      <c r="G315" s="8" t="str">
        <f>IF($J315=0,"",IF(INDEX(Datos!$M$2:$M$1000,$J315)="","",INDEX(Datos!$M$2:$M$1000,$J315)))</f>
        <v/>
      </c>
      <c r="H315" s="6" t="str">
        <f>IF($J315=0,"",INDEX(Datos!$J$2:$J$1000,$J315)&amp;IF(INDEX(Datos!$Q$2:$Q$1000,$J315)="",""," | "&amp;INDEX(Datos!$Q$2:$Q$1000,$J315)))</f>
        <v/>
      </c>
      <c r="J315">
        <f>IFERROR(MATCH(ROW()-17,Datos!$W$2:$W$1000,0),0)</f>
        <v>0</v>
      </c>
    </row>
    <row r="316" spans="1:10" ht="82" customHeight="1" x14ac:dyDescent="0.35">
      <c r="A316" s="4" t="str">
        <f>IF($J316=0,"",IF(INDEX(Datos!$A$2:$A$1000,$J316)="","",INDEX(Datos!$A$2:$A$1000,$J316)))</f>
        <v/>
      </c>
      <c r="B316" s="5" t="str">
        <f>IF($J316=0,"",IF(INDEX(Datos!$E$2:$E$1000,$J316)="","",INDEX(Datos!$E$2:$E$1000,$J316)))</f>
        <v/>
      </c>
      <c r="C316" s="5" t="str">
        <f>IF($J316=0,"",IF(INDEX(Datos!$I$2:$I$1000,$J316)="","",INDEX(Datos!$I$2:$I$1000,$J316)))</f>
        <v/>
      </c>
      <c r="D316" s="6" t="str">
        <f>IF($J316=0,"",IF(INDEX(Datos!$F$2:$F$1000,$J316)="","",INDEX(Datos!$F$2:$F$1000,$J316)))</f>
        <v/>
      </c>
      <c r="E316" s="7" t="str">
        <f>IF($J316=0,"",IF(INDEX(Datos!$H$2:$H$1000,$J316)="","",INDEX(Datos!$H$2:$H$1000,$J316)))</f>
        <v/>
      </c>
      <c r="F316" s="6" t="str">
        <f>IF($J316=0,"",IF(INDEX(Datos!$N$2:$N$1000,$J316)="","",INDEX(Datos!$N$2:$N$1000,$J316)))</f>
        <v/>
      </c>
      <c r="G316" s="8" t="str">
        <f>IF($J316=0,"",IF(INDEX(Datos!$M$2:$M$1000,$J316)="","",INDEX(Datos!$M$2:$M$1000,$J316)))</f>
        <v/>
      </c>
      <c r="H316" s="6" t="str">
        <f>IF($J316=0,"",INDEX(Datos!$J$2:$J$1000,$J316)&amp;IF(INDEX(Datos!$Q$2:$Q$1000,$J316)="",""," | "&amp;INDEX(Datos!$Q$2:$Q$1000,$J316)))</f>
        <v/>
      </c>
      <c r="J316">
        <f>IFERROR(MATCH(ROW()-17,Datos!$W$2:$W$1000,0),0)</f>
        <v>0</v>
      </c>
    </row>
    <row r="317" spans="1:10" ht="82" customHeight="1" x14ac:dyDescent="0.35">
      <c r="A317" s="4" t="str">
        <f>IF($J317=0,"",IF(INDEX(Datos!$A$2:$A$1000,$J317)="","",INDEX(Datos!$A$2:$A$1000,$J317)))</f>
        <v/>
      </c>
      <c r="B317" s="5" t="str">
        <f>IF($J317=0,"",IF(INDEX(Datos!$E$2:$E$1000,$J317)="","",INDEX(Datos!$E$2:$E$1000,$J317)))</f>
        <v/>
      </c>
      <c r="C317" s="5" t="str">
        <f>IF($J317=0,"",IF(INDEX(Datos!$I$2:$I$1000,$J317)="","",INDEX(Datos!$I$2:$I$1000,$J317)))</f>
        <v/>
      </c>
      <c r="D317" s="6" t="str">
        <f>IF($J317=0,"",IF(INDEX(Datos!$F$2:$F$1000,$J317)="","",INDEX(Datos!$F$2:$F$1000,$J317)))</f>
        <v/>
      </c>
      <c r="E317" s="7" t="str">
        <f>IF($J317=0,"",IF(INDEX(Datos!$H$2:$H$1000,$J317)="","",INDEX(Datos!$H$2:$H$1000,$J317)))</f>
        <v/>
      </c>
      <c r="F317" s="6" t="str">
        <f>IF($J317=0,"",IF(INDEX(Datos!$N$2:$N$1000,$J317)="","",INDEX(Datos!$N$2:$N$1000,$J317)))</f>
        <v/>
      </c>
      <c r="G317" s="8" t="str">
        <f>IF($J317=0,"",IF(INDEX(Datos!$M$2:$M$1000,$J317)="","",INDEX(Datos!$M$2:$M$1000,$J317)))</f>
        <v/>
      </c>
      <c r="H317" s="6" t="str">
        <f>IF($J317=0,"",INDEX(Datos!$J$2:$J$1000,$J317)&amp;IF(INDEX(Datos!$Q$2:$Q$1000,$J317)="",""," | "&amp;INDEX(Datos!$Q$2:$Q$1000,$J317)))</f>
        <v/>
      </c>
      <c r="J317">
        <f>IFERROR(MATCH(ROW()-17,Datos!$W$2:$W$1000,0),0)</f>
        <v>0</v>
      </c>
    </row>
    <row r="318" spans="1:10" ht="82" customHeight="1" x14ac:dyDescent="0.35">
      <c r="A318" s="4" t="str">
        <f>IF($J318=0,"",IF(INDEX(Datos!$A$2:$A$1000,$J318)="","",INDEX(Datos!$A$2:$A$1000,$J318)))</f>
        <v/>
      </c>
      <c r="B318" s="5" t="str">
        <f>IF($J318=0,"",IF(INDEX(Datos!$E$2:$E$1000,$J318)="","",INDEX(Datos!$E$2:$E$1000,$J318)))</f>
        <v/>
      </c>
      <c r="C318" s="5" t="str">
        <f>IF($J318=0,"",IF(INDEX(Datos!$I$2:$I$1000,$J318)="","",INDEX(Datos!$I$2:$I$1000,$J318)))</f>
        <v/>
      </c>
      <c r="D318" s="6" t="str">
        <f>IF($J318=0,"",IF(INDEX(Datos!$F$2:$F$1000,$J318)="","",INDEX(Datos!$F$2:$F$1000,$J318)))</f>
        <v/>
      </c>
      <c r="E318" s="7" t="str">
        <f>IF($J318=0,"",IF(INDEX(Datos!$H$2:$H$1000,$J318)="","",INDEX(Datos!$H$2:$H$1000,$J318)))</f>
        <v/>
      </c>
      <c r="F318" s="6" t="str">
        <f>IF($J318=0,"",IF(INDEX(Datos!$N$2:$N$1000,$J318)="","",INDEX(Datos!$N$2:$N$1000,$J318)))</f>
        <v/>
      </c>
      <c r="G318" s="8" t="str">
        <f>IF($J318=0,"",IF(INDEX(Datos!$M$2:$M$1000,$J318)="","",INDEX(Datos!$M$2:$M$1000,$J318)))</f>
        <v/>
      </c>
      <c r="H318" s="6" t="str">
        <f>IF($J318=0,"",INDEX(Datos!$J$2:$J$1000,$J318)&amp;IF(INDEX(Datos!$Q$2:$Q$1000,$J318)="",""," | "&amp;INDEX(Datos!$Q$2:$Q$1000,$J318)))</f>
        <v/>
      </c>
      <c r="J318">
        <f>IFERROR(MATCH(ROW()-17,Datos!$W$2:$W$1000,0),0)</f>
        <v>0</v>
      </c>
    </row>
    <row r="319" spans="1:10" ht="82" customHeight="1" x14ac:dyDescent="0.35">
      <c r="A319" s="4" t="str">
        <f>IF($J319=0,"",IF(INDEX(Datos!$A$2:$A$1000,$J319)="","",INDEX(Datos!$A$2:$A$1000,$J319)))</f>
        <v/>
      </c>
      <c r="B319" s="5" t="str">
        <f>IF($J319=0,"",IF(INDEX(Datos!$E$2:$E$1000,$J319)="","",INDEX(Datos!$E$2:$E$1000,$J319)))</f>
        <v/>
      </c>
      <c r="C319" s="5" t="str">
        <f>IF($J319=0,"",IF(INDEX(Datos!$I$2:$I$1000,$J319)="","",INDEX(Datos!$I$2:$I$1000,$J319)))</f>
        <v/>
      </c>
      <c r="D319" s="6" t="str">
        <f>IF($J319=0,"",IF(INDEX(Datos!$F$2:$F$1000,$J319)="","",INDEX(Datos!$F$2:$F$1000,$J319)))</f>
        <v/>
      </c>
      <c r="E319" s="7" t="str">
        <f>IF($J319=0,"",IF(INDEX(Datos!$H$2:$H$1000,$J319)="","",INDEX(Datos!$H$2:$H$1000,$J319)))</f>
        <v/>
      </c>
      <c r="F319" s="6" t="str">
        <f>IF($J319=0,"",IF(INDEX(Datos!$N$2:$N$1000,$J319)="","",INDEX(Datos!$N$2:$N$1000,$J319)))</f>
        <v/>
      </c>
      <c r="G319" s="8" t="str">
        <f>IF($J319=0,"",IF(INDEX(Datos!$M$2:$M$1000,$J319)="","",INDEX(Datos!$M$2:$M$1000,$J319)))</f>
        <v/>
      </c>
      <c r="H319" s="6" t="str">
        <f>IF($J319=0,"",INDEX(Datos!$J$2:$J$1000,$J319)&amp;IF(INDEX(Datos!$Q$2:$Q$1000,$J319)="",""," | "&amp;INDEX(Datos!$Q$2:$Q$1000,$J319)))</f>
        <v/>
      </c>
      <c r="J319">
        <f>IFERROR(MATCH(ROW()-17,Datos!$W$2:$W$1000,0),0)</f>
        <v>0</v>
      </c>
    </row>
    <row r="320" spans="1:10" ht="82" customHeight="1" x14ac:dyDescent="0.35">
      <c r="A320" s="4" t="str">
        <f>IF($J320=0,"",IF(INDEX(Datos!$A$2:$A$1000,$J320)="","",INDEX(Datos!$A$2:$A$1000,$J320)))</f>
        <v/>
      </c>
      <c r="B320" s="5" t="str">
        <f>IF($J320=0,"",IF(INDEX(Datos!$E$2:$E$1000,$J320)="","",INDEX(Datos!$E$2:$E$1000,$J320)))</f>
        <v/>
      </c>
      <c r="C320" s="5" t="str">
        <f>IF($J320=0,"",IF(INDEX(Datos!$I$2:$I$1000,$J320)="","",INDEX(Datos!$I$2:$I$1000,$J320)))</f>
        <v/>
      </c>
      <c r="D320" s="6" t="str">
        <f>IF($J320=0,"",IF(INDEX(Datos!$F$2:$F$1000,$J320)="","",INDEX(Datos!$F$2:$F$1000,$J320)))</f>
        <v/>
      </c>
      <c r="E320" s="7" t="str">
        <f>IF($J320=0,"",IF(INDEX(Datos!$H$2:$H$1000,$J320)="","",INDEX(Datos!$H$2:$H$1000,$J320)))</f>
        <v/>
      </c>
      <c r="F320" s="6" t="str">
        <f>IF($J320=0,"",IF(INDEX(Datos!$N$2:$N$1000,$J320)="","",INDEX(Datos!$N$2:$N$1000,$J320)))</f>
        <v/>
      </c>
      <c r="G320" s="8" t="str">
        <f>IF($J320=0,"",IF(INDEX(Datos!$M$2:$M$1000,$J320)="","",INDEX(Datos!$M$2:$M$1000,$J320)))</f>
        <v/>
      </c>
      <c r="H320" s="6" t="str">
        <f>IF($J320=0,"",INDEX(Datos!$J$2:$J$1000,$J320)&amp;IF(INDEX(Datos!$Q$2:$Q$1000,$J320)="",""," | "&amp;INDEX(Datos!$Q$2:$Q$1000,$J320)))</f>
        <v/>
      </c>
      <c r="J320">
        <f>IFERROR(MATCH(ROW()-17,Datos!$W$2:$W$1000,0),0)</f>
        <v>0</v>
      </c>
    </row>
    <row r="321" spans="1:10" ht="82" customHeight="1" x14ac:dyDescent="0.35">
      <c r="A321" s="4" t="str">
        <f>IF($J321=0,"",IF(INDEX(Datos!$A$2:$A$1000,$J321)="","",INDEX(Datos!$A$2:$A$1000,$J321)))</f>
        <v/>
      </c>
      <c r="B321" s="5" t="str">
        <f>IF($J321=0,"",IF(INDEX(Datos!$E$2:$E$1000,$J321)="","",INDEX(Datos!$E$2:$E$1000,$J321)))</f>
        <v/>
      </c>
      <c r="C321" s="5" t="str">
        <f>IF($J321=0,"",IF(INDEX(Datos!$I$2:$I$1000,$J321)="","",INDEX(Datos!$I$2:$I$1000,$J321)))</f>
        <v/>
      </c>
      <c r="D321" s="6" t="str">
        <f>IF($J321=0,"",IF(INDEX(Datos!$F$2:$F$1000,$J321)="","",INDEX(Datos!$F$2:$F$1000,$J321)))</f>
        <v/>
      </c>
      <c r="E321" s="7" t="str">
        <f>IF($J321=0,"",IF(INDEX(Datos!$H$2:$H$1000,$J321)="","",INDEX(Datos!$H$2:$H$1000,$J321)))</f>
        <v/>
      </c>
      <c r="F321" s="6" t="str">
        <f>IF($J321=0,"",IF(INDEX(Datos!$N$2:$N$1000,$J321)="","",INDEX(Datos!$N$2:$N$1000,$J321)))</f>
        <v/>
      </c>
      <c r="G321" s="8" t="str">
        <f>IF($J321=0,"",IF(INDEX(Datos!$M$2:$M$1000,$J321)="","",INDEX(Datos!$M$2:$M$1000,$J321)))</f>
        <v/>
      </c>
      <c r="H321" s="6" t="str">
        <f>IF($J321=0,"",INDEX(Datos!$J$2:$J$1000,$J321)&amp;IF(INDEX(Datos!$Q$2:$Q$1000,$J321)="",""," | "&amp;INDEX(Datos!$Q$2:$Q$1000,$J321)))</f>
        <v/>
      </c>
      <c r="J321">
        <f>IFERROR(MATCH(ROW()-17,Datos!$W$2:$W$1000,0),0)</f>
        <v>0</v>
      </c>
    </row>
    <row r="322" spans="1:10" ht="82" customHeight="1" x14ac:dyDescent="0.35">
      <c r="A322" s="4" t="str">
        <f>IF($J322=0,"",IF(INDEX(Datos!$A$2:$A$1000,$J322)="","",INDEX(Datos!$A$2:$A$1000,$J322)))</f>
        <v/>
      </c>
      <c r="B322" s="5" t="str">
        <f>IF($J322=0,"",IF(INDEX(Datos!$E$2:$E$1000,$J322)="","",INDEX(Datos!$E$2:$E$1000,$J322)))</f>
        <v/>
      </c>
      <c r="C322" s="5" t="str">
        <f>IF($J322=0,"",IF(INDEX(Datos!$I$2:$I$1000,$J322)="","",INDEX(Datos!$I$2:$I$1000,$J322)))</f>
        <v/>
      </c>
      <c r="D322" s="6" t="str">
        <f>IF($J322=0,"",IF(INDEX(Datos!$F$2:$F$1000,$J322)="","",INDEX(Datos!$F$2:$F$1000,$J322)))</f>
        <v/>
      </c>
      <c r="E322" s="7" t="str">
        <f>IF($J322=0,"",IF(INDEX(Datos!$H$2:$H$1000,$J322)="","",INDEX(Datos!$H$2:$H$1000,$J322)))</f>
        <v/>
      </c>
      <c r="F322" s="6" t="str">
        <f>IF($J322=0,"",IF(INDEX(Datos!$N$2:$N$1000,$J322)="","",INDEX(Datos!$N$2:$N$1000,$J322)))</f>
        <v/>
      </c>
      <c r="G322" s="8" t="str">
        <f>IF($J322=0,"",IF(INDEX(Datos!$M$2:$M$1000,$J322)="","",INDEX(Datos!$M$2:$M$1000,$J322)))</f>
        <v/>
      </c>
      <c r="H322" s="6" t="str">
        <f>IF($J322=0,"",INDEX(Datos!$J$2:$J$1000,$J322)&amp;IF(INDEX(Datos!$Q$2:$Q$1000,$J322)="",""," | "&amp;INDEX(Datos!$Q$2:$Q$1000,$J322)))</f>
        <v/>
      </c>
      <c r="J322">
        <f>IFERROR(MATCH(ROW()-17,Datos!$W$2:$W$1000,0),0)</f>
        <v>0</v>
      </c>
    </row>
    <row r="323" spans="1:10" ht="82" customHeight="1" x14ac:dyDescent="0.35">
      <c r="A323" s="4" t="str">
        <f>IF($J323=0,"",IF(INDEX(Datos!$A$2:$A$1000,$J323)="","",INDEX(Datos!$A$2:$A$1000,$J323)))</f>
        <v/>
      </c>
      <c r="B323" s="5" t="str">
        <f>IF($J323=0,"",IF(INDEX(Datos!$E$2:$E$1000,$J323)="","",INDEX(Datos!$E$2:$E$1000,$J323)))</f>
        <v/>
      </c>
      <c r="C323" s="5" t="str">
        <f>IF($J323=0,"",IF(INDEX(Datos!$I$2:$I$1000,$J323)="","",INDEX(Datos!$I$2:$I$1000,$J323)))</f>
        <v/>
      </c>
      <c r="D323" s="6" t="str">
        <f>IF($J323=0,"",IF(INDEX(Datos!$F$2:$F$1000,$J323)="","",INDEX(Datos!$F$2:$F$1000,$J323)))</f>
        <v/>
      </c>
      <c r="E323" s="7" t="str">
        <f>IF($J323=0,"",IF(INDEX(Datos!$H$2:$H$1000,$J323)="","",INDEX(Datos!$H$2:$H$1000,$J323)))</f>
        <v/>
      </c>
      <c r="F323" s="6" t="str">
        <f>IF($J323=0,"",IF(INDEX(Datos!$N$2:$N$1000,$J323)="","",INDEX(Datos!$N$2:$N$1000,$J323)))</f>
        <v/>
      </c>
      <c r="G323" s="8" t="str">
        <f>IF($J323=0,"",IF(INDEX(Datos!$M$2:$M$1000,$J323)="","",INDEX(Datos!$M$2:$M$1000,$J323)))</f>
        <v/>
      </c>
      <c r="H323" s="6" t="str">
        <f>IF($J323=0,"",INDEX(Datos!$J$2:$J$1000,$J323)&amp;IF(INDEX(Datos!$Q$2:$Q$1000,$J323)="",""," | "&amp;INDEX(Datos!$Q$2:$Q$1000,$J323)))</f>
        <v/>
      </c>
      <c r="J323">
        <f>IFERROR(MATCH(ROW()-17,Datos!$W$2:$W$1000,0),0)</f>
        <v>0</v>
      </c>
    </row>
    <row r="324" spans="1:10" ht="82" customHeight="1" x14ac:dyDescent="0.35">
      <c r="A324" s="4" t="str">
        <f>IF($J324=0,"",IF(INDEX(Datos!$A$2:$A$1000,$J324)="","",INDEX(Datos!$A$2:$A$1000,$J324)))</f>
        <v/>
      </c>
      <c r="B324" s="5" t="str">
        <f>IF($J324=0,"",IF(INDEX(Datos!$E$2:$E$1000,$J324)="","",INDEX(Datos!$E$2:$E$1000,$J324)))</f>
        <v/>
      </c>
      <c r="C324" s="5" t="str">
        <f>IF($J324=0,"",IF(INDEX(Datos!$I$2:$I$1000,$J324)="","",INDEX(Datos!$I$2:$I$1000,$J324)))</f>
        <v/>
      </c>
      <c r="D324" s="6" t="str">
        <f>IF($J324=0,"",IF(INDEX(Datos!$F$2:$F$1000,$J324)="","",INDEX(Datos!$F$2:$F$1000,$J324)))</f>
        <v/>
      </c>
      <c r="E324" s="7" t="str">
        <f>IF($J324=0,"",IF(INDEX(Datos!$H$2:$H$1000,$J324)="","",INDEX(Datos!$H$2:$H$1000,$J324)))</f>
        <v/>
      </c>
      <c r="F324" s="6" t="str">
        <f>IF($J324=0,"",IF(INDEX(Datos!$N$2:$N$1000,$J324)="","",INDEX(Datos!$N$2:$N$1000,$J324)))</f>
        <v/>
      </c>
      <c r="G324" s="8" t="str">
        <f>IF($J324=0,"",IF(INDEX(Datos!$M$2:$M$1000,$J324)="","",INDEX(Datos!$M$2:$M$1000,$J324)))</f>
        <v/>
      </c>
      <c r="H324" s="6" t="str">
        <f>IF($J324=0,"",INDEX(Datos!$J$2:$J$1000,$J324)&amp;IF(INDEX(Datos!$Q$2:$Q$1000,$J324)="",""," | "&amp;INDEX(Datos!$Q$2:$Q$1000,$J324)))</f>
        <v/>
      </c>
      <c r="J324">
        <f>IFERROR(MATCH(ROW()-17,Datos!$W$2:$W$1000,0),0)</f>
        <v>0</v>
      </c>
    </row>
    <row r="325" spans="1:10" ht="82" customHeight="1" x14ac:dyDescent="0.35">
      <c r="A325" s="4" t="str">
        <f>IF($J325=0,"",IF(INDEX(Datos!$A$2:$A$1000,$J325)="","",INDEX(Datos!$A$2:$A$1000,$J325)))</f>
        <v/>
      </c>
      <c r="B325" s="5" t="str">
        <f>IF($J325=0,"",IF(INDEX(Datos!$E$2:$E$1000,$J325)="","",INDEX(Datos!$E$2:$E$1000,$J325)))</f>
        <v/>
      </c>
      <c r="C325" s="5" t="str">
        <f>IF($J325=0,"",IF(INDEX(Datos!$I$2:$I$1000,$J325)="","",INDEX(Datos!$I$2:$I$1000,$J325)))</f>
        <v/>
      </c>
      <c r="D325" s="6" t="str">
        <f>IF($J325=0,"",IF(INDEX(Datos!$F$2:$F$1000,$J325)="","",INDEX(Datos!$F$2:$F$1000,$J325)))</f>
        <v/>
      </c>
      <c r="E325" s="7" t="str">
        <f>IF($J325=0,"",IF(INDEX(Datos!$H$2:$H$1000,$J325)="","",INDEX(Datos!$H$2:$H$1000,$J325)))</f>
        <v/>
      </c>
      <c r="F325" s="6" t="str">
        <f>IF($J325=0,"",IF(INDEX(Datos!$N$2:$N$1000,$J325)="","",INDEX(Datos!$N$2:$N$1000,$J325)))</f>
        <v/>
      </c>
      <c r="G325" s="8" t="str">
        <f>IF($J325=0,"",IF(INDEX(Datos!$M$2:$M$1000,$J325)="","",INDEX(Datos!$M$2:$M$1000,$J325)))</f>
        <v/>
      </c>
      <c r="H325" s="6" t="str">
        <f>IF($J325=0,"",INDEX(Datos!$J$2:$J$1000,$J325)&amp;IF(INDEX(Datos!$Q$2:$Q$1000,$J325)="",""," | "&amp;INDEX(Datos!$Q$2:$Q$1000,$J325)))</f>
        <v/>
      </c>
      <c r="J325">
        <f>IFERROR(MATCH(ROW()-17,Datos!$W$2:$W$1000,0),0)</f>
        <v>0</v>
      </c>
    </row>
    <row r="326" spans="1:10" ht="82" customHeight="1" x14ac:dyDescent="0.35">
      <c r="A326" s="4" t="str">
        <f>IF($J326=0,"",IF(INDEX(Datos!$A$2:$A$1000,$J326)="","",INDEX(Datos!$A$2:$A$1000,$J326)))</f>
        <v/>
      </c>
      <c r="B326" s="5" t="str">
        <f>IF($J326=0,"",IF(INDEX(Datos!$E$2:$E$1000,$J326)="","",INDEX(Datos!$E$2:$E$1000,$J326)))</f>
        <v/>
      </c>
      <c r="C326" s="5" t="str">
        <f>IF($J326=0,"",IF(INDEX(Datos!$I$2:$I$1000,$J326)="","",INDEX(Datos!$I$2:$I$1000,$J326)))</f>
        <v/>
      </c>
      <c r="D326" s="6" t="str">
        <f>IF($J326=0,"",IF(INDEX(Datos!$F$2:$F$1000,$J326)="","",INDEX(Datos!$F$2:$F$1000,$J326)))</f>
        <v/>
      </c>
      <c r="E326" s="7" t="str">
        <f>IF($J326=0,"",IF(INDEX(Datos!$H$2:$H$1000,$J326)="","",INDEX(Datos!$H$2:$H$1000,$J326)))</f>
        <v/>
      </c>
      <c r="F326" s="6" t="str">
        <f>IF($J326=0,"",IF(INDEX(Datos!$N$2:$N$1000,$J326)="","",INDEX(Datos!$N$2:$N$1000,$J326)))</f>
        <v/>
      </c>
      <c r="G326" s="8" t="str">
        <f>IF($J326=0,"",IF(INDEX(Datos!$M$2:$M$1000,$J326)="","",INDEX(Datos!$M$2:$M$1000,$J326)))</f>
        <v/>
      </c>
      <c r="H326" s="6" t="str">
        <f>IF($J326=0,"",INDEX(Datos!$J$2:$J$1000,$J326)&amp;IF(INDEX(Datos!$Q$2:$Q$1000,$J326)="",""," | "&amp;INDEX(Datos!$Q$2:$Q$1000,$J326)))</f>
        <v/>
      </c>
      <c r="J326">
        <f>IFERROR(MATCH(ROW()-17,Datos!$W$2:$W$1000,0),0)</f>
        <v>0</v>
      </c>
    </row>
    <row r="327" spans="1:10" ht="82" customHeight="1" x14ac:dyDescent="0.35">
      <c r="A327" s="4" t="str">
        <f>IF($J327=0,"",IF(INDEX(Datos!$A$2:$A$1000,$J327)="","",INDEX(Datos!$A$2:$A$1000,$J327)))</f>
        <v/>
      </c>
      <c r="B327" s="5" t="str">
        <f>IF($J327=0,"",IF(INDEX(Datos!$E$2:$E$1000,$J327)="","",INDEX(Datos!$E$2:$E$1000,$J327)))</f>
        <v/>
      </c>
      <c r="C327" s="5" t="str">
        <f>IF($J327=0,"",IF(INDEX(Datos!$I$2:$I$1000,$J327)="","",INDEX(Datos!$I$2:$I$1000,$J327)))</f>
        <v/>
      </c>
      <c r="D327" s="6" t="str">
        <f>IF($J327=0,"",IF(INDEX(Datos!$F$2:$F$1000,$J327)="","",INDEX(Datos!$F$2:$F$1000,$J327)))</f>
        <v/>
      </c>
      <c r="E327" s="7" t="str">
        <f>IF($J327=0,"",IF(INDEX(Datos!$H$2:$H$1000,$J327)="","",INDEX(Datos!$H$2:$H$1000,$J327)))</f>
        <v/>
      </c>
      <c r="F327" s="6" t="str">
        <f>IF($J327=0,"",IF(INDEX(Datos!$N$2:$N$1000,$J327)="","",INDEX(Datos!$N$2:$N$1000,$J327)))</f>
        <v/>
      </c>
      <c r="G327" s="8" t="str">
        <f>IF($J327=0,"",IF(INDEX(Datos!$M$2:$M$1000,$J327)="","",INDEX(Datos!$M$2:$M$1000,$J327)))</f>
        <v/>
      </c>
      <c r="H327" s="6" t="str">
        <f>IF($J327=0,"",INDEX(Datos!$J$2:$J$1000,$J327)&amp;IF(INDEX(Datos!$Q$2:$Q$1000,$J327)="",""," | "&amp;INDEX(Datos!$Q$2:$Q$1000,$J327)))</f>
        <v/>
      </c>
      <c r="J327">
        <f>IFERROR(MATCH(ROW()-17,Datos!$W$2:$W$1000,0),0)</f>
        <v>0</v>
      </c>
    </row>
    <row r="328" spans="1:10" ht="82" customHeight="1" x14ac:dyDescent="0.35">
      <c r="A328" s="4" t="str">
        <f>IF($J328=0,"",IF(INDEX(Datos!$A$2:$A$1000,$J328)="","",INDEX(Datos!$A$2:$A$1000,$J328)))</f>
        <v/>
      </c>
      <c r="B328" s="5" t="str">
        <f>IF($J328=0,"",IF(INDEX(Datos!$E$2:$E$1000,$J328)="","",INDEX(Datos!$E$2:$E$1000,$J328)))</f>
        <v/>
      </c>
      <c r="C328" s="5" t="str">
        <f>IF($J328=0,"",IF(INDEX(Datos!$I$2:$I$1000,$J328)="","",INDEX(Datos!$I$2:$I$1000,$J328)))</f>
        <v/>
      </c>
      <c r="D328" s="6" t="str">
        <f>IF($J328=0,"",IF(INDEX(Datos!$F$2:$F$1000,$J328)="","",INDEX(Datos!$F$2:$F$1000,$J328)))</f>
        <v/>
      </c>
      <c r="E328" s="7" t="str">
        <f>IF($J328=0,"",IF(INDEX(Datos!$H$2:$H$1000,$J328)="","",INDEX(Datos!$H$2:$H$1000,$J328)))</f>
        <v/>
      </c>
      <c r="F328" s="6" t="str">
        <f>IF($J328=0,"",IF(INDEX(Datos!$N$2:$N$1000,$J328)="","",INDEX(Datos!$N$2:$N$1000,$J328)))</f>
        <v/>
      </c>
      <c r="G328" s="8" t="str">
        <f>IF($J328=0,"",IF(INDEX(Datos!$M$2:$M$1000,$J328)="","",INDEX(Datos!$M$2:$M$1000,$J328)))</f>
        <v/>
      </c>
      <c r="H328" s="6" t="str">
        <f>IF($J328=0,"",INDEX(Datos!$J$2:$J$1000,$J328)&amp;IF(INDEX(Datos!$Q$2:$Q$1000,$J328)="",""," | "&amp;INDEX(Datos!$Q$2:$Q$1000,$J328)))</f>
        <v/>
      </c>
      <c r="J328">
        <f>IFERROR(MATCH(ROW()-17,Datos!$W$2:$W$1000,0),0)</f>
        <v>0</v>
      </c>
    </row>
    <row r="329" spans="1:10" ht="82" customHeight="1" x14ac:dyDescent="0.35">
      <c r="A329" s="4" t="str">
        <f>IF($J329=0,"",IF(INDEX(Datos!$A$2:$A$1000,$J329)="","",INDEX(Datos!$A$2:$A$1000,$J329)))</f>
        <v/>
      </c>
      <c r="B329" s="5" t="str">
        <f>IF($J329=0,"",IF(INDEX(Datos!$E$2:$E$1000,$J329)="","",INDEX(Datos!$E$2:$E$1000,$J329)))</f>
        <v/>
      </c>
      <c r="C329" s="5" t="str">
        <f>IF($J329=0,"",IF(INDEX(Datos!$I$2:$I$1000,$J329)="","",INDEX(Datos!$I$2:$I$1000,$J329)))</f>
        <v/>
      </c>
      <c r="D329" s="6" t="str">
        <f>IF($J329=0,"",IF(INDEX(Datos!$F$2:$F$1000,$J329)="","",INDEX(Datos!$F$2:$F$1000,$J329)))</f>
        <v/>
      </c>
      <c r="E329" s="7" t="str">
        <f>IF($J329=0,"",IF(INDEX(Datos!$H$2:$H$1000,$J329)="","",INDEX(Datos!$H$2:$H$1000,$J329)))</f>
        <v/>
      </c>
      <c r="F329" s="6" t="str">
        <f>IF($J329=0,"",IF(INDEX(Datos!$N$2:$N$1000,$J329)="","",INDEX(Datos!$N$2:$N$1000,$J329)))</f>
        <v/>
      </c>
      <c r="G329" s="8" t="str">
        <f>IF($J329=0,"",IF(INDEX(Datos!$M$2:$M$1000,$J329)="","",INDEX(Datos!$M$2:$M$1000,$J329)))</f>
        <v/>
      </c>
      <c r="H329" s="6" t="str">
        <f>IF($J329=0,"",INDEX(Datos!$J$2:$J$1000,$J329)&amp;IF(INDEX(Datos!$Q$2:$Q$1000,$J329)="",""," | "&amp;INDEX(Datos!$Q$2:$Q$1000,$J329)))</f>
        <v/>
      </c>
      <c r="J329">
        <f>IFERROR(MATCH(ROW()-17,Datos!$W$2:$W$1000,0),0)</f>
        <v>0</v>
      </c>
    </row>
    <row r="330" spans="1:10" ht="82" customHeight="1" x14ac:dyDescent="0.35">
      <c r="A330" s="4" t="str">
        <f>IF($J330=0,"",IF(INDEX(Datos!$A$2:$A$1000,$J330)="","",INDEX(Datos!$A$2:$A$1000,$J330)))</f>
        <v/>
      </c>
      <c r="B330" s="5" t="str">
        <f>IF($J330=0,"",IF(INDEX(Datos!$E$2:$E$1000,$J330)="","",INDEX(Datos!$E$2:$E$1000,$J330)))</f>
        <v/>
      </c>
      <c r="C330" s="5" t="str">
        <f>IF($J330=0,"",IF(INDEX(Datos!$I$2:$I$1000,$J330)="","",INDEX(Datos!$I$2:$I$1000,$J330)))</f>
        <v/>
      </c>
      <c r="D330" s="6" t="str">
        <f>IF($J330=0,"",IF(INDEX(Datos!$F$2:$F$1000,$J330)="","",INDEX(Datos!$F$2:$F$1000,$J330)))</f>
        <v/>
      </c>
      <c r="E330" s="7" t="str">
        <f>IF($J330=0,"",IF(INDEX(Datos!$H$2:$H$1000,$J330)="","",INDEX(Datos!$H$2:$H$1000,$J330)))</f>
        <v/>
      </c>
      <c r="F330" s="6" t="str">
        <f>IF($J330=0,"",IF(INDEX(Datos!$N$2:$N$1000,$J330)="","",INDEX(Datos!$N$2:$N$1000,$J330)))</f>
        <v/>
      </c>
      <c r="G330" s="8" t="str">
        <f>IF($J330=0,"",IF(INDEX(Datos!$M$2:$M$1000,$J330)="","",INDEX(Datos!$M$2:$M$1000,$J330)))</f>
        <v/>
      </c>
      <c r="H330" s="6" t="str">
        <f>IF($J330=0,"",INDEX(Datos!$J$2:$J$1000,$J330)&amp;IF(INDEX(Datos!$Q$2:$Q$1000,$J330)="",""," | "&amp;INDEX(Datos!$Q$2:$Q$1000,$J330)))</f>
        <v/>
      </c>
      <c r="J330">
        <f>IFERROR(MATCH(ROW()-17,Datos!$W$2:$W$1000,0),0)</f>
        <v>0</v>
      </c>
    </row>
    <row r="331" spans="1:10" ht="82" customHeight="1" x14ac:dyDescent="0.35">
      <c r="A331" s="4" t="str">
        <f>IF($J331=0,"",IF(INDEX(Datos!$A$2:$A$1000,$J331)="","",INDEX(Datos!$A$2:$A$1000,$J331)))</f>
        <v/>
      </c>
      <c r="B331" s="5" t="str">
        <f>IF($J331=0,"",IF(INDEX(Datos!$E$2:$E$1000,$J331)="","",INDEX(Datos!$E$2:$E$1000,$J331)))</f>
        <v/>
      </c>
      <c r="C331" s="5" t="str">
        <f>IF($J331=0,"",IF(INDEX(Datos!$I$2:$I$1000,$J331)="","",INDEX(Datos!$I$2:$I$1000,$J331)))</f>
        <v/>
      </c>
      <c r="D331" s="6" t="str">
        <f>IF($J331=0,"",IF(INDEX(Datos!$F$2:$F$1000,$J331)="","",INDEX(Datos!$F$2:$F$1000,$J331)))</f>
        <v/>
      </c>
      <c r="E331" s="7" t="str">
        <f>IF($J331=0,"",IF(INDEX(Datos!$H$2:$H$1000,$J331)="","",INDEX(Datos!$H$2:$H$1000,$J331)))</f>
        <v/>
      </c>
      <c r="F331" s="6" t="str">
        <f>IF($J331=0,"",IF(INDEX(Datos!$N$2:$N$1000,$J331)="","",INDEX(Datos!$N$2:$N$1000,$J331)))</f>
        <v/>
      </c>
      <c r="G331" s="8" t="str">
        <f>IF($J331=0,"",IF(INDEX(Datos!$M$2:$M$1000,$J331)="","",INDEX(Datos!$M$2:$M$1000,$J331)))</f>
        <v/>
      </c>
      <c r="H331" s="6" t="str">
        <f>IF($J331=0,"",INDEX(Datos!$J$2:$J$1000,$J331)&amp;IF(INDEX(Datos!$Q$2:$Q$1000,$J331)="",""," | "&amp;INDEX(Datos!$Q$2:$Q$1000,$J331)))</f>
        <v/>
      </c>
      <c r="J331">
        <f>IFERROR(MATCH(ROW()-17,Datos!$W$2:$W$1000,0),0)</f>
        <v>0</v>
      </c>
    </row>
    <row r="332" spans="1:10" ht="82" customHeight="1" x14ac:dyDescent="0.35">
      <c r="A332" s="4" t="str">
        <f>IF($J332=0,"",IF(INDEX(Datos!$A$2:$A$1000,$J332)="","",INDEX(Datos!$A$2:$A$1000,$J332)))</f>
        <v/>
      </c>
      <c r="B332" s="5" t="str">
        <f>IF($J332=0,"",IF(INDEX(Datos!$E$2:$E$1000,$J332)="","",INDEX(Datos!$E$2:$E$1000,$J332)))</f>
        <v/>
      </c>
      <c r="C332" s="5" t="str">
        <f>IF($J332=0,"",IF(INDEX(Datos!$I$2:$I$1000,$J332)="","",INDEX(Datos!$I$2:$I$1000,$J332)))</f>
        <v/>
      </c>
      <c r="D332" s="6" t="str">
        <f>IF($J332=0,"",IF(INDEX(Datos!$F$2:$F$1000,$J332)="","",INDEX(Datos!$F$2:$F$1000,$J332)))</f>
        <v/>
      </c>
      <c r="E332" s="7" t="str">
        <f>IF($J332=0,"",IF(INDEX(Datos!$H$2:$H$1000,$J332)="","",INDEX(Datos!$H$2:$H$1000,$J332)))</f>
        <v/>
      </c>
      <c r="F332" s="6" t="str">
        <f>IF($J332=0,"",IF(INDEX(Datos!$N$2:$N$1000,$J332)="","",INDEX(Datos!$N$2:$N$1000,$J332)))</f>
        <v/>
      </c>
      <c r="G332" s="8" t="str">
        <f>IF($J332=0,"",IF(INDEX(Datos!$M$2:$M$1000,$J332)="","",INDEX(Datos!$M$2:$M$1000,$J332)))</f>
        <v/>
      </c>
      <c r="H332" s="6" t="str">
        <f>IF($J332=0,"",INDEX(Datos!$J$2:$J$1000,$J332)&amp;IF(INDEX(Datos!$Q$2:$Q$1000,$J332)="",""," | "&amp;INDEX(Datos!$Q$2:$Q$1000,$J332)))</f>
        <v/>
      </c>
      <c r="J332">
        <f>IFERROR(MATCH(ROW()-17,Datos!$W$2:$W$1000,0),0)</f>
        <v>0</v>
      </c>
    </row>
    <row r="333" spans="1:10" ht="82" customHeight="1" x14ac:dyDescent="0.35">
      <c r="A333" s="4" t="str">
        <f>IF($J333=0,"",IF(INDEX(Datos!$A$2:$A$1000,$J333)="","",INDEX(Datos!$A$2:$A$1000,$J333)))</f>
        <v/>
      </c>
      <c r="B333" s="5" t="str">
        <f>IF($J333=0,"",IF(INDEX(Datos!$E$2:$E$1000,$J333)="","",INDEX(Datos!$E$2:$E$1000,$J333)))</f>
        <v/>
      </c>
      <c r="C333" s="5" t="str">
        <f>IF($J333=0,"",IF(INDEX(Datos!$I$2:$I$1000,$J333)="","",INDEX(Datos!$I$2:$I$1000,$J333)))</f>
        <v/>
      </c>
      <c r="D333" s="6" t="str">
        <f>IF($J333=0,"",IF(INDEX(Datos!$F$2:$F$1000,$J333)="","",INDEX(Datos!$F$2:$F$1000,$J333)))</f>
        <v/>
      </c>
      <c r="E333" s="7" t="str">
        <f>IF($J333=0,"",IF(INDEX(Datos!$H$2:$H$1000,$J333)="","",INDEX(Datos!$H$2:$H$1000,$J333)))</f>
        <v/>
      </c>
      <c r="F333" s="6" t="str">
        <f>IF($J333=0,"",IF(INDEX(Datos!$N$2:$N$1000,$J333)="","",INDEX(Datos!$N$2:$N$1000,$J333)))</f>
        <v/>
      </c>
      <c r="G333" s="8" t="str">
        <f>IF($J333=0,"",IF(INDEX(Datos!$M$2:$M$1000,$J333)="","",INDEX(Datos!$M$2:$M$1000,$J333)))</f>
        <v/>
      </c>
      <c r="H333" s="6" t="str">
        <f>IF($J333=0,"",INDEX(Datos!$J$2:$J$1000,$J333)&amp;IF(INDEX(Datos!$Q$2:$Q$1000,$J333)="",""," | "&amp;INDEX(Datos!$Q$2:$Q$1000,$J333)))</f>
        <v/>
      </c>
      <c r="J333">
        <f>IFERROR(MATCH(ROW()-17,Datos!$W$2:$W$1000,0),0)</f>
        <v>0</v>
      </c>
    </row>
    <row r="334" spans="1:10" ht="82" customHeight="1" x14ac:dyDescent="0.35">
      <c r="A334" s="4" t="str">
        <f>IF($J334=0,"",IF(INDEX(Datos!$A$2:$A$1000,$J334)="","",INDEX(Datos!$A$2:$A$1000,$J334)))</f>
        <v/>
      </c>
      <c r="B334" s="5" t="str">
        <f>IF($J334=0,"",IF(INDEX(Datos!$E$2:$E$1000,$J334)="","",INDEX(Datos!$E$2:$E$1000,$J334)))</f>
        <v/>
      </c>
      <c r="C334" s="5" t="str">
        <f>IF($J334=0,"",IF(INDEX(Datos!$I$2:$I$1000,$J334)="","",INDEX(Datos!$I$2:$I$1000,$J334)))</f>
        <v/>
      </c>
      <c r="D334" s="6" t="str">
        <f>IF($J334=0,"",IF(INDEX(Datos!$F$2:$F$1000,$J334)="","",INDEX(Datos!$F$2:$F$1000,$J334)))</f>
        <v/>
      </c>
      <c r="E334" s="7" t="str">
        <f>IF($J334=0,"",IF(INDEX(Datos!$H$2:$H$1000,$J334)="","",INDEX(Datos!$H$2:$H$1000,$J334)))</f>
        <v/>
      </c>
      <c r="F334" s="6" t="str">
        <f>IF($J334=0,"",IF(INDEX(Datos!$N$2:$N$1000,$J334)="","",INDEX(Datos!$N$2:$N$1000,$J334)))</f>
        <v/>
      </c>
      <c r="G334" s="8" t="str">
        <f>IF($J334=0,"",IF(INDEX(Datos!$M$2:$M$1000,$J334)="","",INDEX(Datos!$M$2:$M$1000,$J334)))</f>
        <v/>
      </c>
      <c r="H334" s="6" t="str">
        <f>IF($J334=0,"",INDEX(Datos!$J$2:$J$1000,$J334)&amp;IF(INDEX(Datos!$Q$2:$Q$1000,$J334)="",""," | "&amp;INDEX(Datos!$Q$2:$Q$1000,$J334)))</f>
        <v/>
      </c>
      <c r="J334">
        <f>IFERROR(MATCH(ROW()-17,Datos!$W$2:$W$1000,0),0)</f>
        <v>0</v>
      </c>
    </row>
    <row r="335" spans="1:10" ht="82" customHeight="1" x14ac:dyDescent="0.35">
      <c r="A335" s="4" t="str">
        <f>IF($J335=0,"",IF(INDEX(Datos!$A$2:$A$1000,$J335)="","",INDEX(Datos!$A$2:$A$1000,$J335)))</f>
        <v/>
      </c>
      <c r="B335" s="5" t="str">
        <f>IF($J335=0,"",IF(INDEX(Datos!$E$2:$E$1000,$J335)="","",INDEX(Datos!$E$2:$E$1000,$J335)))</f>
        <v/>
      </c>
      <c r="C335" s="5" t="str">
        <f>IF($J335=0,"",IF(INDEX(Datos!$I$2:$I$1000,$J335)="","",INDEX(Datos!$I$2:$I$1000,$J335)))</f>
        <v/>
      </c>
      <c r="D335" s="6" t="str">
        <f>IF($J335=0,"",IF(INDEX(Datos!$F$2:$F$1000,$J335)="","",INDEX(Datos!$F$2:$F$1000,$J335)))</f>
        <v/>
      </c>
      <c r="E335" s="7" t="str">
        <f>IF($J335=0,"",IF(INDEX(Datos!$H$2:$H$1000,$J335)="","",INDEX(Datos!$H$2:$H$1000,$J335)))</f>
        <v/>
      </c>
      <c r="F335" s="6" t="str">
        <f>IF($J335=0,"",IF(INDEX(Datos!$N$2:$N$1000,$J335)="","",INDEX(Datos!$N$2:$N$1000,$J335)))</f>
        <v/>
      </c>
      <c r="G335" s="8" t="str">
        <f>IF($J335=0,"",IF(INDEX(Datos!$M$2:$M$1000,$J335)="","",INDEX(Datos!$M$2:$M$1000,$J335)))</f>
        <v/>
      </c>
      <c r="H335" s="6" t="str">
        <f>IF($J335=0,"",INDEX(Datos!$J$2:$J$1000,$J335)&amp;IF(INDEX(Datos!$Q$2:$Q$1000,$J335)="",""," | "&amp;INDEX(Datos!$Q$2:$Q$1000,$J335)))</f>
        <v/>
      </c>
      <c r="J335">
        <f>IFERROR(MATCH(ROW()-17,Datos!$W$2:$W$1000,0),0)</f>
        <v>0</v>
      </c>
    </row>
    <row r="336" spans="1:10" ht="82" customHeight="1" x14ac:dyDescent="0.35">
      <c r="A336" s="4" t="str">
        <f>IF($J336=0,"",IF(INDEX(Datos!$A$2:$A$1000,$J336)="","",INDEX(Datos!$A$2:$A$1000,$J336)))</f>
        <v/>
      </c>
      <c r="B336" s="5" t="str">
        <f>IF($J336=0,"",IF(INDEX(Datos!$E$2:$E$1000,$J336)="","",INDEX(Datos!$E$2:$E$1000,$J336)))</f>
        <v/>
      </c>
      <c r="C336" s="5" t="str">
        <f>IF($J336=0,"",IF(INDEX(Datos!$I$2:$I$1000,$J336)="","",INDEX(Datos!$I$2:$I$1000,$J336)))</f>
        <v/>
      </c>
      <c r="D336" s="6" t="str">
        <f>IF($J336=0,"",IF(INDEX(Datos!$F$2:$F$1000,$J336)="","",INDEX(Datos!$F$2:$F$1000,$J336)))</f>
        <v/>
      </c>
      <c r="E336" s="7" t="str">
        <f>IF($J336=0,"",IF(INDEX(Datos!$H$2:$H$1000,$J336)="","",INDEX(Datos!$H$2:$H$1000,$J336)))</f>
        <v/>
      </c>
      <c r="F336" s="6" t="str">
        <f>IF($J336=0,"",IF(INDEX(Datos!$N$2:$N$1000,$J336)="","",INDEX(Datos!$N$2:$N$1000,$J336)))</f>
        <v/>
      </c>
      <c r="G336" s="8" t="str">
        <f>IF($J336=0,"",IF(INDEX(Datos!$M$2:$M$1000,$J336)="","",INDEX(Datos!$M$2:$M$1000,$J336)))</f>
        <v/>
      </c>
      <c r="H336" s="6" t="str">
        <f>IF($J336=0,"",INDEX(Datos!$J$2:$J$1000,$J336)&amp;IF(INDEX(Datos!$Q$2:$Q$1000,$J336)="",""," | "&amp;INDEX(Datos!$Q$2:$Q$1000,$J336)))</f>
        <v/>
      </c>
      <c r="J336">
        <f>IFERROR(MATCH(ROW()-17,Datos!$W$2:$W$1000,0),0)</f>
        <v>0</v>
      </c>
    </row>
    <row r="337" spans="1:10" ht="82" customHeight="1" x14ac:dyDescent="0.35">
      <c r="A337" s="4" t="str">
        <f>IF($J337=0,"",IF(INDEX(Datos!$A$2:$A$1000,$J337)="","",INDEX(Datos!$A$2:$A$1000,$J337)))</f>
        <v/>
      </c>
      <c r="B337" s="5" t="str">
        <f>IF($J337=0,"",IF(INDEX(Datos!$E$2:$E$1000,$J337)="","",INDEX(Datos!$E$2:$E$1000,$J337)))</f>
        <v/>
      </c>
      <c r="C337" s="5" t="str">
        <f>IF($J337=0,"",IF(INDEX(Datos!$I$2:$I$1000,$J337)="","",INDEX(Datos!$I$2:$I$1000,$J337)))</f>
        <v/>
      </c>
      <c r="D337" s="6" t="str">
        <f>IF($J337=0,"",IF(INDEX(Datos!$F$2:$F$1000,$J337)="","",INDEX(Datos!$F$2:$F$1000,$J337)))</f>
        <v/>
      </c>
      <c r="E337" s="7" t="str">
        <f>IF($J337=0,"",IF(INDEX(Datos!$H$2:$H$1000,$J337)="","",INDEX(Datos!$H$2:$H$1000,$J337)))</f>
        <v/>
      </c>
      <c r="F337" s="6" t="str">
        <f>IF($J337=0,"",IF(INDEX(Datos!$N$2:$N$1000,$J337)="","",INDEX(Datos!$N$2:$N$1000,$J337)))</f>
        <v/>
      </c>
      <c r="G337" s="8" t="str">
        <f>IF($J337=0,"",IF(INDEX(Datos!$M$2:$M$1000,$J337)="","",INDEX(Datos!$M$2:$M$1000,$J337)))</f>
        <v/>
      </c>
      <c r="H337" s="6" t="str">
        <f>IF($J337=0,"",INDEX(Datos!$J$2:$J$1000,$J337)&amp;IF(INDEX(Datos!$Q$2:$Q$1000,$J337)="",""," | "&amp;INDEX(Datos!$Q$2:$Q$1000,$J337)))</f>
        <v/>
      </c>
      <c r="J337">
        <f>IFERROR(MATCH(ROW()-17,Datos!$W$2:$W$1000,0),0)</f>
        <v>0</v>
      </c>
    </row>
    <row r="338" spans="1:10" ht="82" customHeight="1" x14ac:dyDescent="0.35">
      <c r="A338" s="4" t="str">
        <f>IF($J338=0,"",IF(INDEX(Datos!$A$2:$A$1000,$J338)="","",INDEX(Datos!$A$2:$A$1000,$J338)))</f>
        <v/>
      </c>
      <c r="B338" s="5" t="str">
        <f>IF($J338=0,"",IF(INDEX(Datos!$E$2:$E$1000,$J338)="","",INDEX(Datos!$E$2:$E$1000,$J338)))</f>
        <v/>
      </c>
      <c r="C338" s="5" t="str">
        <f>IF($J338=0,"",IF(INDEX(Datos!$I$2:$I$1000,$J338)="","",INDEX(Datos!$I$2:$I$1000,$J338)))</f>
        <v/>
      </c>
      <c r="D338" s="6" t="str">
        <f>IF($J338=0,"",IF(INDEX(Datos!$F$2:$F$1000,$J338)="","",INDEX(Datos!$F$2:$F$1000,$J338)))</f>
        <v/>
      </c>
      <c r="E338" s="7" t="str">
        <f>IF($J338=0,"",IF(INDEX(Datos!$H$2:$H$1000,$J338)="","",INDEX(Datos!$H$2:$H$1000,$J338)))</f>
        <v/>
      </c>
      <c r="F338" s="6" t="str">
        <f>IF($J338=0,"",IF(INDEX(Datos!$N$2:$N$1000,$J338)="","",INDEX(Datos!$N$2:$N$1000,$J338)))</f>
        <v/>
      </c>
      <c r="G338" s="8" t="str">
        <f>IF($J338=0,"",IF(INDEX(Datos!$M$2:$M$1000,$J338)="","",INDEX(Datos!$M$2:$M$1000,$J338)))</f>
        <v/>
      </c>
      <c r="H338" s="6" t="str">
        <f>IF($J338=0,"",INDEX(Datos!$J$2:$J$1000,$J338)&amp;IF(INDEX(Datos!$Q$2:$Q$1000,$J338)="",""," | "&amp;INDEX(Datos!$Q$2:$Q$1000,$J338)))</f>
        <v/>
      </c>
      <c r="J338">
        <f>IFERROR(MATCH(ROW()-17,Datos!$W$2:$W$1000,0),0)</f>
        <v>0</v>
      </c>
    </row>
    <row r="339" spans="1:10" ht="82" customHeight="1" x14ac:dyDescent="0.35">
      <c r="A339" s="4" t="str">
        <f>IF($J339=0,"",IF(INDEX(Datos!$A$2:$A$1000,$J339)="","",INDEX(Datos!$A$2:$A$1000,$J339)))</f>
        <v/>
      </c>
      <c r="B339" s="5" t="str">
        <f>IF($J339=0,"",IF(INDEX(Datos!$E$2:$E$1000,$J339)="","",INDEX(Datos!$E$2:$E$1000,$J339)))</f>
        <v/>
      </c>
      <c r="C339" s="5" t="str">
        <f>IF($J339=0,"",IF(INDEX(Datos!$I$2:$I$1000,$J339)="","",INDEX(Datos!$I$2:$I$1000,$J339)))</f>
        <v/>
      </c>
      <c r="D339" s="6" t="str">
        <f>IF($J339=0,"",IF(INDEX(Datos!$F$2:$F$1000,$J339)="","",INDEX(Datos!$F$2:$F$1000,$J339)))</f>
        <v/>
      </c>
      <c r="E339" s="7" t="str">
        <f>IF($J339=0,"",IF(INDEX(Datos!$H$2:$H$1000,$J339)="","",INDEX(Datos!$H$2:$H$1000,$J339)))</f>
        <v/>
      </c>
      <c r="F339" s="6" t="str">
        <f>IF($J339=0,"",IF(INDEX(Datos!$N$2:$N$1000,$J339)="","",INDEX(Datos!$N$2:$N$1000,$J339)))</f>
        <v/>
      </c>
      <c r="G339" s="8" t="str">
        <f>IF($J339=0,"",IF(INDEX(Datos!$M$2:$M$1000,$J339)="","",INDEX(Datos!$M$2:$M$1000,$J339)))</f>
        <v/>
      </c>
      <c r="H339" s="6" t="str">
        <f>IF($J339=0,"",INDEX(Datos!$J$2:$J$1000,$J339)&amp;IF(INDEX(Datos!$Q$2:$Q$1000,$J339)="",""," | "&amp;INDEX(Datos!$Q$2:$Q$1000,$J339)))</f>
        <v/>
      </c>
      <c r="J339">
        <f>IFERROR(MATCH(ROW()-17,Datos!$W$2:$W$1000,0),0)</f>
        <v>0</v>
      </c>
    </row>
    <row r="340" spans="1:10" ht="82" customHeight="1" x14ac:dyDescent="0.35">
      <c r="A340" s="4" t="str">
        <f>IF($J340=0,"",IF(INDEX(Datos!$A$2:$A$1000,$J340)="","",INDEX(Datos!$A$2:$A$1000,$J340)))</f>
        <v/>
      </c>
      <c r="B340" s="5" t="str">
        <f>IF($J340=0,"",IF(INDEX(Datos!$E$2:$E$1000,$J340)="","",INDEX(Datos!$E$2:$E$1000,$J340)))</f>
        <v/>
      </c>
      <c r="C340" s="5" t="str">
        <f>IF($J340=0,"",IF(INDEX(Datos!$I$2:$I$1000,$J340)="","",INDEX(Datos!$I$2:$I$1000,$J340)))</f>
        <v/>
      </c>
      <c r="D340" s="6" t="str">
        <f>IF($J340=0,"",IF(INDEX(Datos!$F$2:$F$1000,$J340)="","",INDEX(Datos!$F$2:$F$1000,$J340)))</f>
        <v/>
      </c>
      <c r="E340" s="7" t="str">
        <f>IF($J340=0,"",IF(INDEX(Datos!$H$2:$H$1000,$J340)="","",INDEX(Datos!$H$2:$H$1000,$J340)))</f>
        <v/>
      </c>
      <c r="F340" s="6" t="str">
        <f>IF($J340=0,"",IF(INDEX(Datos!$N$2:$N$1000,$J340)="","",INDEX(Datos!$N$2:$N$1000,$J340)))</f>
        <v/>
      </c>
      <c r="G340" s="8" t="str">
        <f>IF($J340=0,"",IF(INDEX(Datos!$M$2:$M$1000,$J340)="","",INDEX(Datos!$M$2:$M$1000,$J340)))</f>
        <v/>
      </c>
      <c r="H340" s="6" t="str">
        <f>IF($J340=0,"",INDEX(Datos!$J$2:$J$1000,$J340)&amp;IF(INDEX(Datos!$Q$2:$Q$1000,$J340)="",""," | "&amp;INDEX(Datos!$Q$2:$Q$1000,$J340)))</f>
        <v/>
      </c>
      <c r="J340">
        <f>IFERROR(MATCH(ROW()-17,Datos!$W$2:$W$1000,0),0)</f>
        <v>0</v>
      </c>
    </row>
    <row r="341" spans="1:10" ht="82" customHeight="1" x14ac:dyDescent="0.35">
      <c r="A341" s="4" t="str">
        <f>IF($J341=0,"",IF(INDEX(Datos!$A$2:$A$1000,$J341)="","",INDEX(Datos!$A$2:$A$1000,$J341)))</f>
        <v/>
      </c>
      <c r="B341" s="5" t="str">
        <f>IF($J341=0,"",IF(INDEX(Datos!$E$2:$E$1000,$J341)="","",INDEX(Datos!$E$2:$E$1000,$J341)))</f>
        <v/>
      </c>
      <c r="C341" s="5" t="str">
        <f>IF($J341=0,"",IF(INDEX(Datos!$I$2:$I$1000,$J341)="","",INDEX(Datos!$I$2:$I$1000,$J341)))</f>
        <v/>
      </c>
      <c r="D341" s="6" t="str">
        <f>IF($J341=0,"",IF(INDEX(Datos!$F$2:$F$1000,$J341)="","",INDEX(Datos!$F$2:$F$1000,$J341)))</f>
        <v/>
      </c>
      <c r="E341" s="7" t="str">
        <f>IF($J341=0,"",IF(INDEX(Datos!$H$2:$H$1000,$J341)="","",INDEX(Datos!$H$2:$H$1000,$J341)))</f>
        <v/>
      </c>
      <c r="F341" s="6" t="str">
        <f>IF($J341=0,"",IF(INDEX(Datos!$N$2:$N$1000,$J341)="","",INDEX(Datos!$N$2:$N$1000,$J341)))</f>
        <v/>
      </c>
      <c r="G341" s="8" t="str">
        <f>IF($J341=0,"",IF(INDEX(Datos!$M$2:$M$1000,$J341)="","",INDEX(Datos!$M$2:$M$1000,$J341)))</f>
        <v/>
      </c>
      <c r="H341" s="6" t="str">
        <f>IF($J341=0,"",INDEX(Datos!$J$2:$J$1000,$J341)&amp;IF(INDEX(Datos!$Q$2:$Q$1000,$J341)="",""," | "&amp;INDEX(Datos!$Q$2:$Q$1000,$J341)))</f>
        <v/>
      </c>
      <c r="J341">
        <f>IFERROR(MATCH(ROW()-17,Datos!$W$2:$W$1000,0),0)</f>
        <v>0</v>
      </c>
    </row>
    <row r="342" spans="1:10" ht="82" customHeight="1" x14ac:dyDescent="0.35">
      <c r="A342" s="4" t="str">
        <f>IF($J342=0,"",IF(INDEX(Datos!$A$2:$A$1000,$J342)="","",INDEX(Datos!$A$2:$A$1000,$J342)))</f>
        <v/>
      </c>
      <c r="B342" s="5" t="str">
        <f>IF($J342=0,"",IF(INDEX(Datos!$E$2:$E$1000,$J342)="","",INDEX(Datos!$E$2:$E$1000,$J342)))</f>
        <v/>
      </c>
      <c r="C342" s="5" t="str">
        <f>IF($J342=0,"",IF(INDEX(Datos!$I$2:$I$1000,$J342)="","",INDEX(Datos!$I$2:$I$1000,$J342)))</f>
        <v/>
      </c>
      <c r="D342" s="6" t="str">
        <f>IF($J342=0,"",IF(INDEX(Datos!$F$2:$F$1000,$J342)="","",INDEX(Datos!$F$2:$F$1000,$J342)))</f>
        <v/>
      </c>
      <c r="E342" s="7" t="str">
        <f>IF($J342=0,"",IF(INDEX(Datos!$H$2:$H$1000,$J342)="","",INDEX(Datos!$H$2:$H$1000,$J342)))</f>
        <v/>
      </c>
      <c r="F342" s="6" t="str">
        <f>IF($J342=0,"",IF(INDEX(Datos!$N$2:$N$1000,$J342)="","",INDEX(Datos!$N$2:$N$1000,$J342)))</f>
        <v/>
      </c>
      <c r="G342" s="8" t="str">
        <f>IF($J342=0,"",IF(INDEX(Datos!$M$2:$M$1000,$J342)="","",INDEX(Datos!$M$2:$M$1000,$J342)))</f>
        <v/>
      </c>
      <c r="H342" s="6" t="str">
        <f>IF($J342=0,"",INDEX(Datos!$J$2:$J$1000,$J342)&amp;IF(INDEX(Datos!$Q$2:$Q$1000,$J342)="",""," | "&amp;INDEX(Datos!$Q$2:$Q$1000,$J342)))</f>
        <v/>
      </c>
      <c r="J342">
        <f>IFERROR(MATCH(ROW()-17,Datos!$W$2:$W$1000,0),0)</f>
        <v>0</v>
      </c>
    </row>
    <row r="343" spans="1:10" ht="82" customHeight="1" x14ac:dyDescent="0.35">
      <c r="A343" s="4" t="str">
        <f>IF($J343=0,"",IF(INDEX(Datos!$A$2:$A$1000,$J343)="","",INDEX(Datos!$A$2:$A$1000,$J343)))</f>
        <v/>
      </c>
      <c r="B343" s="5" t="str">
        <f>IF($J343=0,"",IF(INDEX(Datos!$E$2:$E$1000,$J343)="","",INDEX(Datos!$E$2:$E$1000,$J343)))</f>
        <v/>
      </c>
      <c r="C343" s="5" t="str">
        <f>IF($J343=0,"",IF(INDEX(Datos!$I$2:$I$1000,$J343)="","",INDEX(Datos!$I$2:$I$1000,$J343)))</f>
        <v/>
      </c>
      <c r="D343" s="6" t="str">
        <f>IF($J343=0,"",IF(INDEX(Datos!$F$2:$F$1000,$J343)="","",INDEX(Datos!$F$2:$F$1000,$J343)))</f>
        <v/>
      </c>
      <c r="E343" s="7" t="str">
        <f>IF($J343=0,"",IF(INDEX(Datos!$H$2:$H$1000,$J343)="","",INDEX(Datos!$H$2:$H$1000,$J343)))</f>
        <v/>
      </c>
      <c r="F343" s="6" t="str">
        <f>IF($J343=0,"",IF(INDEX(Datos!$N$2:$N$1000,$J343)="","",INDEX(Datos!$N$2:$N$1000,$J343)))</f>
        <v/>
      </c>
      <c r="G343" s="8" t="str">
        <f>IF($J343=0,"",IF(INDEX(Datos!$M$2:$M$1000,$J343)="","",INDEX(Datos!$M$2:$M$1000,$J343)))</f>
        <v/>
      </c>
      <c r="H343" s="6" t="str">
        <f>IF($J343=0,"",INDEX(Datos!$J$2:$J$1000,$J343)&amp;IF(INDEX(Datos!$Q$2:$Q$1000,$J343)="",""," | "&amp;INDEX(Datos!$Q$2:$Q$1000,$J343)))</f>
        <v/>
      </c>
      <c r="J343">
        <f>IFERROR(MATCH(ROW()-17,Datos!$W$2:$W$1000,0),0)</f>
        <v>0</v>
      </c>
    </row>
    <row r="344" spans="1:10" ht="82" customHeight="1" x14ac:dyDescent="0.35">
      <c r="A344" s="4" t="str">
        <f>IF($J344=0,"",IF(INDEX(Datos!$A$2:$A$1000,$J344)="","",INDEX(Datos!$A$2:$A$1000,$J344)))</f>
        <v/>
      </c>
      <c r="B344" s="5" t="str">
        <f>IF($J344=0,"",IF(INDEX(Datos!$E$2:$E$1000,$J344)="","",INDEX(Datos!$E$2:$E$1000,$J344)))</f>
        <v/>
      </c>
      <c r="C344" s="5" t="str">
        <f>IF($J344=0,"",IF(INDEX(Datos!$I$2:$I$1000,$J344)="","",INDEX(Datos!$I$2:$I$1000,$J344)))</f>
        <v/>
      </c>
      <c r="D344" s="6" t="str">
        <f>IF($J344=0,"",IF(INDEX(Datos!$F$2:$F$1000,$J344)="","",INDEX(Datos!$F$2:$F$1000,$J344)))</f>
        <v/>
      </c>
      <c r="E344" s="7" t="str">
        <f>IF($J344=0,"",IF(INDEX(Datos!$H$2:$H$1000,$J344)="","",INDEX(Datos!$H$2:$H$1000,$J344)))</f>
        <v/>
      </c>
      <c r="F344" s="6" t="str">
        <f>IF($J344=0,"",IF(INDEX(Datos!$N$2:$N$1000,$J344)="","",INDEX(Datos!$N$2:$N$1000,$J344)))</f>
        <v/>
      </c>
      <c r="G344" s="8" t="str">
        <f>IF($J344=0,"",IF(INDEX(Datos!$M$2:$M$1000,$J344)="","",INDEX(Datos!$M$2:$M$1000,$J344)))</f>
        <v/>
      </c>
      <c r="H344" s="6" t="str">
        <f>IF($J344=0,"",INDEX(Datos!$J$2:$J$1000,$J344)&amp;IF(INDEX(Datos!$Q$2:$Q$1000,$J344)="",""," | "&amp;INDEX(Datos!$Q$2:$Q$1000,$J344)))</f>
        <v/>
      </c>
      <c r="J344">
        <f>IFERROR(MATCH(ROW()-17,Datos!$W$2:$W$1000,0),0)</f>
        <v>0</v>
      </c>
    </row>
    <row r="345" spans="1:10" ht="82" customHeight="1" x14ac:dyDescent="0.35">
      <c r="A345" s="4" t="str">
        <f>IF($J345=0,"",IF(INDEX(Datos!$A$2:$A$1000,$J345)="","",INDEX(Datos!$A$2:$A$1000,$J345)))</f>
        <v/>
      </c>
      <c r="B345" s="5" t="str">
        <f>IF($J345=0,"",IF(INDEX(Datos!$E$2:$E$1000,$J345)="","",INDEX(Datos!$E$2:$E$1000,$J345)))</f>
        <v/>
      </c>
      <c r="C345" s="5" t="str">
        <f>IF($J345=0,"",IF(INDEX(Datos!$I$2:$I$1000,$J345)="","",INDEX(Datos!$I$2:$I$1000,$J345)))</f>
        <v/>
      </c>
      <c r="D345" s="6" t="str">
        <f>IF($J345=0,"",IF(INDEX(Datos!$F$2:$F$1000,$J345)="","",INDEX(Datos!$F$2:$F$1000,$J345)))</f>
        <v/>
      </c>
      <c r="E345" s="7" t="str">
        <f>IF($J345=0,"",IF(INDEX(Datos!$H$2:$H$1000,$J345)="","",INDEX(Datos!$H$2:$H$1000,$J345)))</f>
        <v/>
      </c>
      <c r="F345" s="6" t="str">
        <f>IF($J345=0,"",IF(INDEX(Datos!$N$2:$N$1000,$J345)="","",INDEX(Datos!$N$2:$N$1000,$J345)))</f>
        <v/>
      </c>
      <c r="G345" s="8" t="str">
        <f>IF($J345=0,"",IF(INDEX(Datos!$M$2:$M$1000,$J345)="","",INDEX(Datos!$M$2:$M$1000,$J345)))</f>
        <v/>
      </c>
      <c r="H345" s="6" t="str">
        <f>IF($J345=0,"",INDEX(Datos!$J$2:$J$1000,$J345)&amp;IF(INDEX(Datos!$Q$2:$Q$1000,$J345)="",""," | "&amp;INDEX(Datos!$Q$2:$Q$1000,$J345)))</f>
        <v/>
      </c>
      <c r="J345">
        <f>IFERROR(MATCH(ROW()-17,Datos!$W$2:$W$1000,0),0)</f>
        <v>0</v>
      </c>
    </row>
    <row r="346" spans="1:10" ht="82" customHeight="1" x14ac:dyDescent="0.35">
      <c r="A346" s="4" t="str">
        <f>IF($J346=0,"",IF(INDEX(Datos!$A$2:$A$1000,$J346)="","",INDEX(Datos!$A$2:$A$1000,$J346)))</f>
        <v/>
      </c>
      <c r="B346" s="5" t="str">
        <f>IF($J346=0,"",IF(INDEX(Datos!$E$2:$E$1000,$J346)="","",INDEX(Datos!$E$2:$E$1000,$J346)))</f>
        <v/>
      </c>
      <c r="C346" s="5" t="str">
        <f>IF($J346=0,"",IF(INDEX(Datos!$I$2:$I$1000,$J346)="","",INDEX(Datos!$I$2:$I$1000,$J346)))</f>
        <v/>
      </c>
      <c r="D346" s="6" t="str">
        <f>IF($J346=0,"",IF(INDEX(Datos!$F$2:$F$1000,$J346)="","",INDEX(Datos!$F$2:$F$1000,$J346)))</f>
        <v/>
      </c>
      <c r="E346" s="7" t="str">
        <f>IF($J346=0,"",IF(INDEX(Datos!$H$2:$H$1000,$J346)="","",INDEX(Datos!$H$2:$H$1000,$J346)))</f>
        <v/>
      </c>
      <c r="F346" s="6" t="str">
        <f>IF($J346=0,"",IF(INDEX(Datos!$N$2:$N$1000,$J346)="","",INDEX(Datos!$N$2:$N$1000,$J346)))</f>
        <v/>
      </c>
      <c r="G346" s="8" t="str">
        <f>IF($J346=0,"",IF(INDEX(Datos!$M$2:$M$1000,$J346)="","",INDEX(Datos!$M$2:$M$1000,$J346)))</f>
        <v/>
      </c>
      <c r="H346" s="6" t="str">
        <f>IF($J346=0,"",INDEX(Datos!$J$2:$J$1000,$J346)&amp;IF(INDEX(Datos!$Q$2:$Q$1000,$J346)="",""," | "&amp;INDEX(Datos!$Q$2:$Q$1000,$J346)))</f>
        <v/>
      </c>
      <c r="J346">
        <f>IFERROR(MATCH(ROW()-17,Datos!$W$2:$W$1000,0),0)</f>
        <v>0</v>
      </c>
    </row>
    <row r="347" spans="1:10" ht="82" customHeight="1" x14ac:dyDescent="0.35">
      <c r="A347" s="4" t="str">
        <f>IF($J347=0,"",IF(INDEX(Datos!$A$2:$A$1000,$J347)="","",INDEX(Datos!$A$2:$A$1000,$J347)))</f>
        <v/>
      </c>
      <c r="B347" s="5" t="str">
        <f>IF($J347=0,"",IF(INDEX(Datos!$E$2:$E$1000,$J347)="","",INDEX(Datos!$E$2:$E$1000,$J347)))</f>
        <v/>
      </c>
      <c r="C347" s="5" t="str">
        <f>IF($J347=0,"",IF(INDEX(Datos!$I$2:$I$1000,$J347)="","",INDEX(Datos!$I$2:$I$1000,$J347)))</f>
        <v/>
      </c>
      <c r="D347" s="6" t="str">
        <f>IF($J347=0,"",IF(INDEX(Datos!$F$2:$F$1000,$J347)="","",INDEX(Datos!$F$2:$F$1000,$J347)))</f>
        <v/>
      </c>
      <c r="E347" s="7" t="str">
        <f>IF($J347=0,"",IF(INDEX(Datos!$H$2:$H$1000,$J347)="","",INDEX(Datos!$H$2:$H$1000,$J347)))</f>
        <v/>
      </c>
      <c r="F347" s="6" t="str">
        <f>IF($J347=0,"",IF(INDEX(Datos!$N$2:$N$1000,$J347)="","",INDEX(Datos!$N$2:$N$1000,$J347)))</f>
        <v/>
      </c>
      <c r="G347" s="8" t="str">
        <f>IF($J347=0,"",IF(INDEX(Datos!$M$2:$M$1000,$J347)="","",INDEX(Datos!$M$2:$M$1000,$J347)))</f>
        <v/>
      </c>
      <c r="H347" s="6" t="str">
        <f>IF($J347=0,"",INDEX(Datos!$J$2:$J$1000,$J347)&amp;IF(INDEX(Datos!$Q$2:$Q$1000,$J347)="",""," | "&amp;INDEX(Datos!$Q$2:$Q$1000,$J347)))</f>
        <v/>
      </c>
      <c r="J347">
        <f>IFERROR(MATCH(ROW()-17,Datos!$W$2:$W$1000,0),0)</f>
        <v>0</v>
      </c>
    </row>
    <row r="348" spans="1:10" ht="82" customHeight="1" x14ac:dyDescent="0.35">
      <c r="A348" s="4" t="str">
        <f>IF($J348=0,"",IF(INDEX(Datos!$A$2:$A$1000,$J348)="","",INDEX(Datos!$A$2:$A$1000,$J348)))</f>
        <v/>
      </c>
      <c r="B348" s="5" t="str">
        <f>IF($J348=0,"",IF(INDEX(Datos!$E$2:$E$1000,$J348)="","",INDEX(Datos!$E$2:$E$1000,$J348)))</f>
        <v/>
      </c>
      <c r="C348" s="5" t="str">
        <f>IF($J348=0,"",IF(INDEX(Datos!$I$2:$I$1000,$J348)="","",INDEX(Datos!$I$2:$I$1000,$J348)))</f>
        <v/>
      </c>
      <c r="D348" s="6" t="str">
        <f>IF($J348=0,"",IF(INDEX(Datos!$F$2:$F$1000,$J348)="","",INDEX(Datos!$F$2:$F$1000,$J348)))</f>
        <v/>
      </c>
      <c r="E348" s="7" t="str">
        <f>IF($J348=0,"",IF(INDEX(Datos!$H$2:$H$1000,$J348)="","",INDEX(Datos!$H$2:$H$1000,$J348)))</f>
        <v/>
      </c>
      <c r="F348" s="6" t="str">
        <f>IF($J348=0,"",IF(INDEX(Datos!$N$2:$N$1000,$J348)="","",INDEX(Datos!$N$2:$N$1000,$J348)))</f>
        <v/>
      </c>
      <c r="G348" s="8" t="str">
        <f>IF($J348=0,"",IF(INDEX(Datos!$M$2:$M$1000,$J348)="","",INDEX(Datos!$M$2:$M$1000,$J348)))</f>
        <v/>
      </c>
      <c r="H348" s="6" t="str">
        <f>IF($J348=0,"",INDEX(Datos!$J$2:$J$1000,$J348)&amp;IF(INDEX(Datos!$Q$2:$Q$1000,$J348)="",""," | "&amp;INDEX(Datos!$Q$2:$Q$1000,$J348)))</f>
        <v/>
      </c>
      <c r="J348">
        <f>IFERROR(MATCH(ROW()-17,Datos!$W$2:$W$1000,0),0)</f>
        <v>0</v>
      </c>
    </row>
    <row r="349" spans="1:10" ht="82" customHeight="1" x14ac:dyDescent="0.35">
      <c r="A349" s="4" t="str">
        <f>IF($J349=0,"",IF(INDEX(Datos!$A$2:$A$1000,$J349)="","",INDEX(Datos!$A$2:$A$1000,$J349)))</f>
        <v/>
      </c>
      <c r="B349" s="5" t="str">
        <f>IF($J349=0,"",IF(INDEX(Datos!$E$2:$E$1000,$J349)="","",INDEX(Datos!$E$2:$E$1000,$J349)))</f>
        <v/>
      </c>
      <c r="C349" s="5" t="str">
        <f>IF($J349=0,"",IF(INDEX(Datos!$I$2:$I$1000,$J349)="","",INDEX(Datos!$I$2:$I$1000,$J349)))</f>
        <v/>
      </c>
      <c r="D349" s="6" t="str">
        <f>IF($J349=0,"",IF(INDEX(Datos!$F$2:$F$1000,$J349)="","",INDEX(Datos!$F$2:$F$1000,$J349)))</f>
        <v/>
      </c>
      <c r="E349" s="7" t="str">
        <f>IF($J349=0,"",IF(INDEX(Datos!$H$2:$H$1000,$J349)="","",INDEX(Datos!$H$2:$H$1000,$J349)))</f>
        <v/>
      </c>
      <c r="F349" s="6" t="str">
        <f>IF($J349=0,"",IF(INDEX(Datos!$N$2:$N$1000,$J349)="","",INDEX(Datos!$N$2:$N$1000,$J349)))</f>
        <v/>
      </c>
      <c r="G349" s="8" t="str">
        <f>IF($J349=0,"",IF(INDEX(Datos!$M$2:$M$1000,$J349)="","",INDEX(Datos!$M$2:$M$1000,$J349)))</f>
        <v/>
      </c>
      <c r="H349" s="6" t="str">
        <f>IF($J349=0,"",INDEX(Datos!$J$2:$J$1000,$J349)&amp;IF(INDEX(Datos!$Q$2:$Q$1000,$J349)="",""," | "&amp;INDEX(Datos!$Q$2:$Q$1000,$J349)))</f>
        <v/>
      </c>
      <c r="J349">
        <f>IFERROR(MATCH(ROW()-17,Datos!$W$2:$W$1000,0),0)</f>
        <v>0</v>
      </c>
    </row>
    <row r="350" spans="1:10" ht="82" customHeight="1" x14ac:dyDescent="0.35">
      <c r="A350" s="4" t="str">
        <f>IF($J350=0,"",IF(INDEX(Datos!$A$2:$A$1000,$J350)="","",INDEX(Datos!$A$2:$A$1000,$J350)))</f>
        <v/>
      </c>
      <c r="B350" s="5" t="str">
        <f>IF($J350=0,"",IF(INDEX(Datos!$E$2:$E$1000,$J350)="","",INDEX(Datos!$E$2:$E$1000,$J350)))</f>
        <v/>
      </c>
      <c r="C350" s="5" t="str">
        <f>IF($J350=0,"",IF(INDEX(Datos!$I$2:$I$1000,$J350)="","",INDEX(Datos!$I$2:$I$1000,$J350)))</f>
        <v/>
      </c>
      <c r="D350" s="6" t="str">
        <f>IF($J350=0,"",IF(INDEX(Datos!$F$2:$F$1000,$J350)="","",INDEX(Datos!$F$2:$F$1000,$J350)))</f>
        <v/>
      </c>
      <c r="E350" s="7" t="str">
        <f>IF($J350=0,"",IF(INDEX(Datos!$H$2:$H$1000,$J350)="","",INDEX(Datos!$H$2:$H$1000,$J350)))</f>
        <v/>
      </c>
      <c r="F350" s="6" t="str">
        <f>IF($J350=0,"",IF(INDEX(Datos!$N$2:$N$1000,$J350)="","",INDEX(Datos!$N$2:$N$1000,$J350)))</f>
        <v/>
      </c>
      <c r="G350" s="8" t="str">
        <f>IF($J350=0,"",IF(INDEX(Datos!$M$2:$M$1000,$J350)="","",INDEX(Datos!$M$2:$M$1000,$J350)))</f>
        <v/>
      </c>
      <c r="H350" s="6" t="str">
        <f>IF($J350=0,"",INDEX(Datos!$J$2:$J$1000,$J350)&amp;IF(INDEX(Datos!$Q$2:$Q$1000,$J350)="",""," | "&amp;INDEX(Datos!$Q$2:$Q$1000,$J350)))</f>
        <v/>
      </c>
      <c r="J350">
        <f>IFERROR(MATCH(ROW()-17,Datos!$W$2:$W$1000,0),0)</f>
        <v>0</v>
      </c>
    </row>
    <row r="351" spans="1:10" ht="82" customHeight="1" x14ac:dyDescent="0.35">
      <c r="A351" s="4" t="str">
        <f>IF($J351=0,"",IF(INDEX(Datos!$A$2:$A$1000,$J351)="","",INDEX(Datos!$A$2:$A$1000,$J351)))</f>
        <v/>
      </c>
      <c r="B351" s="5" t="str">
        <f>IF($J351=0,"",IF(INDEX(Datos!$E$2:$E$1000,$J351)="","",INDEX(Datos!$E$2:$E$1000,$J351)))</f>
        <v/>
      </c>
      <c r="C351" s="5" t="str">
        <f>IF($J351=0,"",IF(INDEX(Datos!$I$2:$I$1000,$J351)="","",INDEX(Datos!$I$2:$I$1000,$J351)))</f>
        <v/>
      </c>
      <c r="D351" s="6" t="str">
        <f>IF($J351=0,"",IF(INDEX(Datos!$F$2:$F$1000,$J351)="","",INDEX(Datos!$F$2:$F$1000,$J351)))</f>
        <v/>
      </c>
      <c r="E351" s="7" t="str">
        <f>IF($J351=0,"",IF(INDEX(Datos!$H$2:$H$1000,$J351)="","",INDEX(Datos!$H$2:$H$1000,$J351)))</f>
        <v/>
      </c>
      <c r="F351" s="6" t="str">
        <f>IF($J351=0,"",IF(INDEX(Datos!$N$2:$N$1000,$J351)="","",INDEX(Datos!$N$2:$N$1000,$J351)))</f>
        <v/>
      </c>
      <c r="G351" s="8" t="str">
        <f>IF($J351=0,"",IF(INDEX(Datos!$M$2:$M$1000,$J351)="","",INDEX(Datos!$M$2:$M$1000,$J351)))</f>
        <v/>
      </c>
      <c r="H351" s="6" t="str">
        <f>IF($J351=0,"",INDEX(Datos!$J$2:$J$1000,$J351)&amp;IF(INDEX(Datos!$Q$2:$Q$1000,$J351)="",""," | "&amp;INDEX(Datos!$Q$2:$Q$1000,$J351)))</f>
        <v/>
      </c>
      <c r="J351">
        <f>IFERROR(MATCH(ROW()-17,Datos!$W$2:$W$1000,0),0)</f>
        <v>0</v>
      </c>
    </row>
    <row r="352" spans="1:10" ht="82" customHeight="1" x14ac:dyDescent="0.35">
      <c r="A352" s="4" t="str">
        <f>IF($J352=0,"",IF(INDEX(Datos!$A$2:$A$1000,$J352)="","",INDEX(Datos!$A$2:$A$1000,$J352)))</f>
        <v/>
      </c>
      <c r="B352" s="5" t="str">
        <f>IF($J352=0,"",IF(INDEX(Datos!$E$2:$E$1000,$J352)="","",INDEX(Datos!$E$2:$E$1000,$J352)))</f>
        <v/>
      </c>
      <c r="C352" s="5" t="str">
        <f>IF($J352=0,"",IF(INDEX(Datos!$I$2:$I$1000,$J352)="","",INDEX(Datos!$I$2:$I$1000,$J352)))</f>
        <v/>
      </c>
      <c r="D352" s="6" t="str">
        <f>IF($J352=0,"",IF(INDEX(Datos!$F$2:$F$1000,$J352)="","",INDEX(Datos!$F$2:$F$1000,$J352)))</f>
        <v/>
      </c>
      <c r="E352" s="7" t="str">
        <f>IF($J352=0,"",IF(INDEX(Datos!$H$2:$H$1000,$J352)="","",INDEX(Datos!$H$2:$H$1000,$J352)))</f>
        <v/>
      </c>
      <c r="F352" s="6" t="str">
        <f>IF($J352=0,"",IF(INDEX(Datos!$N$2:$N$1000,$J352)="","",INDEX(Datos!$N$2:$N$1000,$J352)))</f>
        <v/>
      </c>
      <c r="G352" s="8" t="str">
        <f>IF($J352=0,"",IF(INDEX(Datos!$M$2:$M$1000,$J352)="","",INDEX(Datos!$M$2:$M$1000,$J352)))</f>
        <v/>
      </c>
      <c r="H352" s="6" t="str">
        <f>IF($J352=0,"",INDEX(Datos!$J$2:$J$1000,$J352)&amp;IF(INDEX(Datos!$Q$2:$Q$1000,$J352)="",""," | "&amp;INDEX(Datos!$Q$2:$Q$1000,$J352)))</f>
        <v/>
      </c>
      <c r="J352">
        <f>IFERROR(MATCH(ROW()-17,Datos!$W$2:$W$1000,0),0)</f>
        <v>0</v>
      </c>
    </row>
    <row r="353" spans="1:10" ht="82" customHeight="1" x14ac:dyDescent="0.35">
      <c r="A353" s="4" t="str">
        <f>IF($J353=0,"",IF(INDEX(Datos!$A$2:$A$1000,$J353)="","",INDEX(Datos!$A$2:$A$1000,$J353)))</f>
        <v/>
      </c>
      <c r="B353" s="5" t="str">
        <f>IF($J353=0,"",IF(INDEX(Datos!$E$2:$E$1000,$J353)="","",INDEX(Datos!$E$2:$E$1000,$J353)))</f>
        <v/>
      </c>
      <c r="C353" s="5" t="str">
        <f>IF($J353=0,"",IF(INDEX(Datos!$I$2:$I$1000,$J353)="","",INDEX(Datos!$I$2:$I$1000,$J353)))</f>
        <v/>
      </c>
      <c r="D353" s="6" t="str">
        <f>IF($J353=0,"",IF(INDEX(Datos!$F$2:$F$1000,$J353)="","",INDEX(Datos!$F$2:$F$1000,$J353)))</f>
        <v/>
      </c>
      <c r="E353" s="7" t="str">
        <f>IF($J353=0,"",IF(INDEX(Datos!$H$2:$H$1000,$J353)="","",INDEX(Datos!$H$2:$H$1000,$J353)))</f>
        <v/>
      </c>
      <c r="F353" s="6" t="str">
        <f>IF($J353=0,"",IF(INDEX(Datos!$N$2:$N$1000,$J353)="","",INDEX(Datos!$N$2:$N$1000,$J353)))</f>
        <v/>
      </c>
      <c r="G353" s="8" t="str">
        <f>IF($J353=0,"",IF(INDEX(Datos!$M$2:$M$1000,$J353)="","",INDEX(Datos!$M$2:$M$1000,$J353)))</f>
        <v/>
      </c>
      <c r="H353" s="6" t="str">
        <f>IF($J353=0,"",INDEX(Datos!$J$2:$J$1000,$J353)&amp;IF(INDEX(Datos!$Q$2:$Q$1000,$J353)="",""," | "&amp;INDEX(Datos!$Q$2:$Q$1000,$J353)))</f>
        <v/>
      </c>
      <c r="J353">
        <f>IFERROR(MATCH(ROW()-17,Datos!$W$2:$W$1000,0),0)</f>
        <v>0</v>
      </c>
    </row>
    <row r="354" spans="1:10" ht="82" customHeight="1" x14ac:dyDescent="0.35">
      <c r="A354" s="4" t="str">
        <f>IF($J354=0,"",IF(INDEX(Datos!$A$2:$A$1000,$J354)="","",INDEX(Datos!$A$2:$A$1000,$J354)))</f>
        <v/>
      </c>
      <c r="B354" s="5" t="str">
        <f>IF($J354=0,"",IF(INDEX(Datos!$E$2:$E$1000,$J354)="","",INDEX(Datos!$E$2:$E$1000,$J354)))</f>
        <v/>
      </c>
      <c r="C354" s="5" t="str">
        <f>IF($J354=0,"",IF(INDEX(Datos!$I$2:$I$1000,$J354)="","",INDEX(Datos!$I$2:$I$1000,$J354)))</f>
        <v/>
      </c>
      <c r="D354" s="6" t="str">
        <f>IF($J354=0,"",IF(INDEX(Datos!$F$2:$F$1000,$J354)="","",INDEX(Datos!$F$2:$F$1000,$J354)))</f>
        <v/>
      </c>
      <c r="E354" s="7" t="str">
        <f>IF($J354=0,"",IF(INDEX(Datos!$H$2:$H$1000,$J354)="","",INDEX(Datos!$H$2:$H$1000,$J354)))</f>
        <v/>
      </c>
      <c r="F354" s="6" t="str">
        <f>IF($J354=0,"",IF(INDEX(Datos!$N$2:$N$1000,$J354)="","",INDEX(Datos!$N$2:$N$1000,$J354)))</f>
        <v/>
      </c>
      <c r="G354" s="8" t="str">
        <f>IF($J354=0,"",IF(INDEX(Datos!$M$2:$M$1000,$J354)="","",INDEX(Datos!$M$2:$M$1000,$J354)))</f>
        <v/>
      </c>
      <c r="H354" s="6" t="str">
        <f>IF($J354=0,"",INDEX(Datos!$J$2:$J$1000,$J354)&amp;IF(INDEX(Datos!$Q$2:$Q$1000,$J354)="",""," | "&amp;INDEX(Datos!$Q$2:$Q$1000,$J354)))</f>
        <v/>
      </c>
      <c r="J354">
        <f>IFERROR(MATCH(ROW()-17,Datos!$W$2:$W$1000,0),0)</f>
        <v>0</v>
      </c>
    </row>
    <row r="355" spans="1:10" ht="82" customHeight="1" x14ac:dyDescent="0.35">
      <c r="A355" s="4" t="str">
        <f>IF($J355=0,"",IF(INDEX(Datos!$A$2:$A$1000,$J355)="","",INDEX(Datos!$A$2:$A$1000,$J355)))</f>
        <v/>
      </c>
      <c r="B355" s="5" t="str">
        <f>IF($J355=0,"",IF(INDEX(Datos!$E$2:$E$1000,$J355)="","",INDEX(Datos!$E$2:$E$1000,$J355)))</f>
        <v/>
      </c>
      <c r="C355" s="5" t="str">
        <f>IF($J355=0,"",IF(INDEX(Datos!$I$2:$I$1000,$J355)="","",INDEX(Datos!$I$2:$I$1000,$J355)))</f>
        <v/>
      </c>
      <c r="D355" s="6" t="str">
        <f>IF($J355=0,"",IF(INDEX(Datos!$F$2:$F$1000,$J355)="","",INDEX(Datos!$F$2:$F$1000,$J355)))</f>
        <v/>
      </c>
      <c r="E355" s="7" t="str">
        <f>IF($J355=0,"",IF(INDEX(Datos!$H$2:$H$1000,$J355)="","",INDEX(Datos!$H$2:$H$1000,$J355)))</f>
        <v/>
      </c>
      <c r="F355" s="6" t="str">
        <f>IF($J355=0,"",IF(INDEX(Datos!$N$2:$N$1000,$J355)="","",INDEX(Datos!$N$2:$N$1000,$J355)))</f>
        <v/>
      </c>
      <c r="G355" s="8" t="str">
        <f>IF($J355=0,"",IF(INDEX(Datos!$M$2:$M$1000,$J355)="","",INDEX(Datos!$M$2:$M$1000,$J355)))</f>
        <v/>
      </c>
      <c r="H355" s="6" t="str">
        <f>IF($J355=0,"",INDEX(Datos!$J$2:$J$1000,$J355)&amp;IF(INDEX(Datos!$Q$2:$Q$1000,$J355)="",""," | "&amp;INDEX(Datos!$Q$2:$Q$1000,$J355)))</f>
        <v/>
      </c>
      <c r="J355">
        <f>IFERROR(MATCH(ROW()-17,Datos!$W$2:$W$1000,0),0)</f>
        <v>0</v>
      </c>
    </row>
    <row r="356" spans="1:10" ht="82" customHeight="1" x14ac:dyDescent="0.35">
      <c r="A356" s="4" t="str">
        <f>IF($J356=0,"",IF(INDEX(Datos!$A$2:$A$1000,$J356)="","",INDEX(Datos!$A$2:$A$1000,$J356)))</f>
        <v/>
      </c>
      <c r="B356" s="5" t="str">
        <f>IF($J356=0,"",IF(INDEX(Datos!$E$2:$E$1000,$J356)="","",INDEX(Datos!$E$2:$E$1000,$J356)))</f>
        <v/>
      </c>
      <c r="C356" s="5" t="str">
        <f>IF($J356=0,"",IF(INDEX(Datos!$I$2:$I$1000,$J356)="","",INDEX(Datos!$I$2:$I$1000,$J356)))</f>
        <v/>
      </c>
      <c r="D356" s="6" t="str">
        <f>IF($J356=0,"",IF(INDEX(Datos!$F$2:$F$1000,$J356)="","",INDEX(Datos!$F$2:$F$1000,$J356)))</f>
        <v/>
      </c>
      <c r="E356" s="7" t="str">
        <f>IF($J356=0,"",IF(INDEX(Datos!$H$2:$H$1000,$J356)="","",INDEX(Datos!$H$2:$H$1000,$J356)))</f>
        <v/>
      </c>
      <c r="F356" s="6" t="str">
        <f>IF($J356=0,"",IF(INDEX(Datos!$N$2:$N$1000,$J356)="","",INDEX(Datos!$N$2:$N$1000,$J356)))</f>
        <v/>
      </c>
      <c r="G356" s="8" t="str">
        <f>IF($J356=0,"",IF(INDEX(Datos!$M$2:$M$1000,$J356)="","",INDEX(Datos!$M$2:$M$1000,$J356)))</f>
        <v/>
      </c>
      <c r="H356" s="6" t="str">
        <f>IF($J356=0,"",INDEX(Datos!$J$2:$J$1000,$J356)&amp;IF(INDEX(Datos!$Q$2:$Q$1000,$J356)="",""," | "&amp;INDEX(Datos!$Q$2:$Q$1000,$J356)))</f>
        <v/>
      </c>
      <c r="J356">
        <f>IFERROR(MATCH(ROW()-17,Datos!$W$2:$W$1000,0),0)</f>
        <v>0</v>
      </c>
    </row>
    <row r="357" spans="1:10" ht="82" customHeight="1" x14ac:dyDescent="0.35">
      <c r="A357" s="4" t="str">
        <f>IF($J357=0,"",IF(INDEX(Datos!$A$2:$A$1000,$J357)="","",INDEX(Datos!$A$2:$A$1000,$J357)))</f>
        <v/>
      </c>
      <c r="B357" s="5" t="str">
        <f>IF($J357=0,"",IF(INDEX(Datos!$E$2:$E$1000,$J357)="","",INDEX(Datos!$E$2:$E$1000,$J357)))</f>
        <v/>
      </c>
      <c r="C357" s="5" t="str">
        <f>IF($J357=0,"",IF(INDEX(Datos!$I$2:$I$1000,$J357)="","",INDEX(Datos!$I$2:$I$1000,$J357)))</f>
        <v/>
      </c>
      <c r="D357" s="6" t="str">
        <f>IF($J357=0,"",IF(INDEX(Datos!$F$2:$F$1000,$J357)="","",INDEX(Datos!$F$2:$F$1000,$J357)))</f>
        <v/>
      </c>
      <c r="E357" s="7" t="str">
        <f>IF($J357=0,"",IF(INDEX(Datos!$H$2:$H$1000,$J357)="","",INDEX(Datos!$H$2:$H$1000,$J357)))</f>
        <v/>
      </c>
      <c r="F357" s="6" t="str">
        <f>IF($J357=0,"",IF(INDEX(Datos!$N$2:$N$1000,$J357)="","",INDEX(Datos!$N$2:$N$1000,$J357)))</f>
        <v/>
      </c>
      <c r="G357" s="8" t="str">
        <f>IF($J357=0,"",IF(INDEX(Datos!$M$2:$M$1000,$J357)="","",INDEX(Datos!$M$2:$M$1000,$J357)))</f>
        <v/>
      </c>
      <c r="H357" s="6" t="str">
        <f>IF($J357=0,"",INDEX(Datos!$J$2:$J$1000,$J357)&amp;IF(INDEX(Datos!$Q$2:$Q$1000,$J357)="",""," | "&amp;INDEX(Datos!$Q$2:$Q$1000,$J357)))</f>
        <v/>
      </c>
      <c r="J357">
        <f>IFERROR(MATCH(ROW()-17,Datos!$W$2:$W$1000,0),0)</f>
        <v>0</v>
      </c>
    </row>
    <row r="358" spans="1:10" ht="82" customHeight="1" x14ac:dyDescent="0.35">
      <c r="A358" s="4" t="str">
        <f>IF($J358=0,"",IF(INDEX(Datos!$A$2:$A$1000,$J358)="","",INDEX(Datos!$A$2:$A$1000,$J358)))</f>
        <v/>
      </c>
      <c r="B358" s="5" t="str">
        <f>IF($J358=0,"",IF(INDEX(Datos!$E$2:$E$1000,$J358)="","",INDEX(Datos!$E$2:$E$1000,$J358)))</f>
        <v/>
      </c>
      <c r="C358" s="5" t="str">
        <f>IF($J358=0,"",IF(INDEX(Datos!$I$2:$I$1000,$J358)="","",INDEX(Datos!$I$2:$I$1000,$J358)))</f>
        <v/>
      </c>
      <c r="D358" s="6" t="str">
        <f>IF($J358=0,"",IF(INDEX(Datos!$F$2:$F$1000,$J358)="","",INDEX(Datos!$F$2:$F$1000,$J358)))</f>
        <v/>
      </c>
      <c r="E358" s="7" t="str">
        <f>IF($J358=0,"",IF(INDEX(Datos!$H$2:$H$1000,$J358)="","",INDEX(Datos!$H$2:$H$1000,$J358)))</f>
        <v/>
      </c>
      <c r="F358" s="6" t="str">
        <f>IF($J358=0,"",IF(INDEX(Datos!$N$2:$N$1000,$J358)="","",INDEX(Datos!$N$2:$N$1000,$J358)))</f>
        <v/>
      </c>
      <c r="G358" s="8" t="str">
        <f>IF($J358=0,"",IF(INDEX(Datos!$M$2:$M$1000,$J358)="","",INDEX(Datos!$M$2:$M$1000,$J358)))</f>
        <v/>
      </c>
      <c r="H358" s="6" t="str">
        <f>IF($J358=0,"",INDEX(Datos!$J$2:$J$1000,$J358)&amp;IF(INDEX(Datos!$Q$2:$Q$1000,$J358)="",""," | "&amp;INDEX(Datos!$Q$2:$Q$1000,$J358)))</f>
        <v/>
      </c>
      <c r="J358">
        <f>IFERROR(MATCH(ROW()-17,Datos!$W$2:$W$1000,0),0)</f>
        <v>0</v>
      </c>
    </row>
    <row r="359" spans="1:10" ht="82" customHeight="1" x14ac:dyDescent="0.35">
      <c r="A359" s="4" t="str">
        <f>IF($J359=0,"",IF(INDEX(Datos!$A$2:$A$1000,$J359)="","",INDEX(Datos!$A$2:$A$1000,$J359)))</f>
        <v/>
      </c>
      <c r="B359" s="5" t="str">
        <f>IF($J359=0,"",IF(INDEX(Datos!$E$2:$E$1000,$J359)="","",INDEX(Datos!$E$2:$E$1000,$J359)))</f>
        <v/>
      </c>
      <c r="C359" s="5" t="str">
        <f>IF($J359=0,"",IF(INDEX(Datos!$I$2:$I$1000,$J359)="","",INDEX(Datos!$I$2:$I$1000,$J359)))</f>
        <v/>
      </c>
      <c r="D359" s="6" t="str">
        <f>IF($J359=0,"",IF(INDEX(Datos!$F$2:$F$1000,$J359)="","",INDEX(Datos!$F$2:$F$1000,$J359)))</f>
        <v/>
      </c>
      <c r="E359" s="7" t="str">
        <f>IF($J359=0,"",IF(INDEX(Datos!$H$2:$H$1000,$J359)="","",INDEX(Datos!$H$2:$H$1000,$J359)))</f>
        <v/>
      </c>
      <c r="F359" s="6" t="str">
        <f>IF($J359=0,"",IF(INDEX(Datos!$N$2:$N$1000,$J359)="","",INDEX(Datos!$N$2:$N$1000,$J359)))</f>
        <v/>
      </c>
      <c r="G359" s="8" t="str">
        <f>IF($J359=0,"",IF(INDEX(Datos!$M$2:$M$1000,$J359)="","",INDEX(Datos!$M$2:$M$1000,$J359)))</f>
        <v/>
      </c>
      <c r="H359" s="6" t="str">
        <f>IF($J359=0,"",INDEX(Datos!$J$2:$J$1000,$J359)&amp;IF(INDEX(Datos!$Q$2:$Q$1000,$J359)="",""," | "&amp;INDEX(Datos!$Q$2:$Q$1000,$J359)))</f>
        <v/>
      </c>
      <c r="J359">
        <f>IFERROR(MATCH(ROW()-17,Datos!$W$2:$W$1000,0),0)</f>
        <v>0</v>
      </c>
    </row>
    <row r="360" spans="1:10" ht="82" customHeight="1" x14ac:dyDescent="0.35">
      <c r="A360" s="4" t="str">
        <f>IF($J360=0,"",IF(INDEX(Datos!$A$2:$A$1000,$J360)="","",INDEX(Datos!$A$2:$A$1000,$J360)))</f>
        <v/>
      </c>
      <c r="B360" s="5" t="str">
        <f>IF($J360=0,"",IF(INDEX(Datos!$E$2:$E$1000,$J360)="","",INDEX(Datos!$E$2:$E$1000,$J360)))</f>
        <v/>
      </c>
      <c r="C360" s="5" t="str">
        <f>IF($J360=0,"",IF(INDEX(Datos!$I$2:$I$1000,$J360)="","",INDEX(Datos!$I$2:$I$1000,$J360)))</f>
        <v/>
      </c>
      <c r="D360" s="6" t="str">
        <f>IF($J360=0,"",IF(INDEX(Datos!$F$2:$F$1000,$J360)="","",INDEX(Datos!$F$2:$F$1000,$J360)))</f>
        <v/>
      </c>
      <c r="E360" s="7" t="str">
        <f>IF($J360=0,"",IF(INDEX(Datos!$H$2:$H$1000,$J360)="","",INDEX(Datos!$H$2:$H$1000,$J360)))</f>
        <v/>
      </c>
      <c r="F360" s="6" t="str">
        <f>IF($J360=0,"",IF(INDEX(Datos!$N$2:$N$1000,$J360)="","",INDEX(Datos!$N$2:$N$1000,$J360)))</f>
        <v/>
      </c>
      <c r="G360" s="8" t="str">
        <f>IF($J360=0,"",IF(INDEX(Datos!$M$2:$M$1000,$J360)="","",INDEX(Datos!$M$2:$M$1000,$J360)))</f>
        <v/>
      </c>
      <c r="H360" s="6" t="str">
        <f>IF($J360=0,"",INDEX(Datos!$J$2:$J$1000,$J360)&amp;IF(INDEX(Datos!$Q$2:$Q$1000,$J360)="",""," | "&amp;INDEX(Datos!$Q$2:$Q$1000,$J360)))</f>
        <v/>
      </c>
      <c r="J360">
        <f>IFERROR(MATCH(ROW()-17,Datos!$W$2:$W$1000,0),0)</f>
        <v>0</v>
      </c>
    </row>
    <row r="361" spans="1:10" ht="82" customHeight="1" x14ac:dyDescent="0.35">
      <c r="A361" s="4" t="str">
        <f>IF($J361=0,"",IF(INDEX(Datos!$A$2:$A$1000,$J361)="","",INDEX(Datos!$A$2:$A$1000,$J361)))</f>
        <v/>
      </c>
      <c r="B361" s="5" t="str">
        <f>IF($J361=0,"",IF(INDEX(Datos!$E$2:$E$1000,$J361)="","",INDEX(Datos!$E$2:$E$1000,$J361)))</f>
        <v/>
      </c>
      <c r="C361" s="5" t="str">
        <f>IF($J361=0,"",IF(INDEX(Datos!$I$2:$I$1000,$J361)="","",INDEX(Datos!$I$2:$I$1000,$J361)))</f>
        <v/>
      </c>
      <c r="D361" s="6" t="str">
        <f>IF($J361=0,"",IF(INDEX(Datos!$F$2:$F$1000,$J361)="","",INDEX(Datos!$F$2:$F$1000,$J361)))</f>
        <v/>
      </c>
      <c r="E361" s="7" t="str">
        <f>IF($J361=0,"",IF(INDEX(Datos!$H$2:$H$1000,$J361)="","",INDEX(Datos!$H$2:$H$1000,$J361)))</f>
        <v/>
      </c>
      <c r="F361" s="6" t="str">
        <f>IF($J361=0,"",IF(INDEX(Datos!$N$2:$N$1000,$J361)="","",INDEX(Datos!$N$2:$N$1000,$J361)))</f>
        <v/>
      </c>
      <c r="G361" s="8" t="str">
        <f>IF($J361=0,"",IF(INDEX(Datos!$M$2:$M$1000,$J361)="","",INDEX(Datos!$M$2:$M$1000,$J361)))</f>
        <v/>
      </c>
      <c r="H361" s="6" t="str">
        <f>IF($J361=0,"",INDEX(Datos!$J$2:$J$1000,$J361)&amp;IF(INDEX(Datos!$Q$2:$Q$1000,$J361)="",""," | "&amp;INDEX(Datos!$Q$2:$Q$1000,$J361)))</f>
        <v/>
      </c>
      <c r="J361">
        <f>IFERROR(MATCH(ROW()-17,Datos!$W$2:$W$1000,0),0)</f>
        <v>0</v>
      </c>
    </row>
    <row r="362" spans="1:10" ht="82" customHeight="1" x14ac:dyDescent="0.35">
      <c r="A362" s="4" t="str">
        <f>IF($J362=0,"",IF(INDEX(Datos!$A$2:$A$1000,$J362)="","",INDEX(Datos!$A$2:$A$1000,$J362)))</f>
        <v/>
      </c>
      <c r="B362" s="5" t="str">
        <f>IF($J362=0,"",IF(INDEX(Datos!$E$2:$E$1000,$J362)="","",INDEX(Datos!$E$2:$E$1000,$J362)))</f>
        <v/>
      </c>
      <c r="C362" s="5" t="str">
        <f>IF($J362=0,"",IF(INDEX(Datos!$I$2:$I$1000,$J362)="","",INDEX(Datos!$I$2:$I$1000,$J362)))</f>
        <v/>
      </c>
      <c r="D362" s="6" t="str">
        <f>IF($J362=0,"",IF(INDEX(Datos!$F$2:$F$1000,$J362)="","",INDEX(Datos!$F$2:$F$1000,$J362)))</f>
        <v/>
      </c>
      <c r="E362" s="7" t="str">
        <f>IF($J362=0,"",IF(INDEX(Datos!$H$2:$H$1000,$J362)="","",INDEX(Datos!$H$2:$H$1000,$J362)))</f>
        <v/>
      </c>
      <c r="F362" s="6" t="str">
        <f>IF($J362=0,"",IF(INDEX(Datos!$N$2:$N$1000,$J362)="","",INDEX(Datos!$N$2:$N$1000,$J362)))</f>
        <v/>
      </c>
      <c r="G362" s="8" t="str">
        <f>IF($J362=0,"",IF(INDEX(Datos!$M$2:$M$1000,$J362)="","",INDEX(Datos!$M$2:$M$1000,$J362)))</f>
        <v/>
      </c>
      <c r="H362" s="6" t="str">
        <f>IF($J362=0,"",INDEX(Datos!$J$2:$J$1000,$J362)&amp;IF(INDEX(Datos!$Q$2:$Q$1000,$J362)="",""," | "&amp;INDEX(Datos!$Q$2:$Q$1000,$J362)))</f>
        <v/>
      </c>
      <c r="J362">
        <f>IFERROR(MATCH(ROW()-17,Datos!$W$2:$W$1000,0),0)</f>
        <v>0</v>
      </c>
    </row>
    <row r="363" spans="1:10" ht="82" customHeight="1" x14ac:dyDescent="0.35">
      <c r="A363" s="4" t="str">
        <f>IF($J363=0,"",IF(INDEX(Datos!$A$2:$A$1000,$J363)="","",INDEX(Datos!$A$2:$A$1000,$J363)))</f>
        <v/>
      </c>
      <c r="B363" s="5" t="str">
        <f>IF($J363=0,"",IF(INDEX(Datos!$E$2:$E$1000,$J363)="","",INDEX(Datos!$E$2:$E$1000,$J363)))</f>
        <v/>
      </c>
      <c r="C363" s="5" t="str">
        <f>IF($J363=0,"",IF(INDEX(Datos!$I$2:$I$1000,$J363)="","",INDEX(Datos!$I$2:$I$1000,$J363)))</f>
        <v/>
      </c>
      <c r="D363" s="6" t="str">
        <f>IF($J363=0,"",IF(INDEX(Datos!$F$2:$F$1000,$J363)="","",INDEX(Datos!$F$2:$F$1000,$J363)))</f>
        <v/>
      </c>
      <c r="E363" s="7" t="str">
        <f>IF($J363=0,"",IF(INDEX(Datos!$H$2:$H$1000,$J363)="","",INDEX(Datos!$H$2:$H$1000,$J363)))</f>
        <v/>
      </c>
      <c r="F363" s="6" t="str">
        <f>IF($J363=0,"",IF(INDEX(Datos!$N$2:$N$1000,$J363)="","",INDEX(Datos!$N$2:$N$1000,$J363)))</f>
        <v/>
      </c>
      <c r="G363" s="8" t="str">
        <f>IF($J363=0,"",IF(INDEX(Datos!$M$2:$M$1000,$J363)="","",INDEX(Datos!$M$2:$M$1000,$J363)))</f>
        <v/>
      </c>
      <c r="H363" s="6" t="str">
        <f>IF($J363=0,"",INDEX(Datos!$J$2:$J$1000,$J363)&amp;IF(INDEX(Datos!$Q$2:$Q$1000,$J363)="",""," | "&amp;INDEX(Datos!$Q$2:$Q$1000,$J363)))</f>
        <v/>
      </c>
      <c r="J363">
        <f>IFERROR(MATCH(ROW()-17,Datos!$W$2:$W$1000,0),0)</f>
        <v>0</v>
      </c>
    </row>
    <row r="364" spans="1:10" ht="82" customHeight="1" x14ac:dyDescent="0.35">
      <c r="A364" s="4" t="str">
        <f>IF($J364=0,"",IF(INDEX(Datos!$A$2:$A$1000,$J364)="","",INDEX(Datos!$A$2:$A$1000,$J364)))</f>
        <v/>
      </c>
      <c r="B364" s="5" t="str">
        <f>IF($J364=0,"",IF(INDEX(Datos!$E$2:$E$1000,$J364)="","",INDEX(Datos!$E$2:$E$1000,$J364)))</f>
        <v/>
      </c>
      <c r="C364" s="5" t="str">
        <f>IF($J364=0,"",IF(INDEX(Datos!$I$2:$I$1000,$J364)="","",INDEX(Datos!$I$2:$I$1000,$J364)))</f>
        <v/>
      </c>
      <c r="D364" s="6" t="str">
        <f>IF($J364=0,"",IF(INDEX(Datos!$F$2:$F$1000,$J364)="","",INDEX(Datos!$F$2:$F$1000,$J364)))</f>
        <v/>
      </c>
      <c r="E364" s="7" t="str">
        <f>IF($J364=0,"",IF(INDEX(Datos!$H$2:$H$1000,$J364)="","",INDEX(Datos!$H$2:$H$1000,$J364)))</f>
        <v/>
      </c>
      <c r="F364" s="6" t="str">
        <f>IF($J364=0,"",IF(INDEX(Datos!$N$2:$N$1000,$J364)="","",INDEX(Datos!$N$2:$N$1000,$J364)))</f>
        <v/>
      </c>
      <c r="G364" s="8" t="str">
        <f>IF($J364=0,"",IF(INDEX(Datos!$M$2:$M$1000,$J364)="","",INDEX(Datos!$M$2:$M$1000,$J364)))</f>
        <v/>
      </c>
      <c r="H364" s="6" t="str">
        <f>IF($J364=0,"",INDEX(Datos!$J$2:$J$1000,$J364)&amp;IF(INDEX(Datos!$Q$2:$Q$1000,$J364)="",""," | "&amp;INDEX(Datos!$Q$2:$Q$1000,$J364)))</f>
        <v/>
      </c>
      <c r="J364">
        <f>IFERROR(MATCH(ROW()-17,Datos!$W$2:$W$1000,0),0)</f>
        <v>0</v>
      </c>
    </row>
    <row r="365" spans="1:10" ht="82" customHeight="1" x14ac:dyDescent="0.35">
      <c r="A365" s="4" t="str">
        <f>IF($J365=0,"",IF(INDEX(Datos!$A$2:$A$1000,$J365)="","",INDEX(Datos!$A$2:$A$1000,$J365)))</f>
        <v/>
      </c>
      <c r="B365" s="5" t="str">
        <f>IF($J365=0,"",IF(INDEX(Datos!$E$2:$E$1000,$J365)="","",INDEX(Datos!$E$2:$E$1000,$J365)))</f>
        <v/>
      </c>
      <c r="C365" s="5" t="str">
        <f>IF($J365=0,"",IF(INDEX(Datos!$I$2:$I$1000,$J365)="","",INDEX(Datos!$I$2:$I$1000,$J365)))</f>
        <v/>
      </c>
      <c r="D365" s="6" t="str">
        <f>IF($J365=0,"",IF(INDEX(Datos!$F$2:$F$1000,$J365)="","",INDEX(Datos!$F$2:$F$1000,$J365)))</f>
        <v/>
      </c>
      <c r="E365" s="7" t="str">
        <f>IF($J365=0,"",IF(INDEX(Datos!$H$2:$H$1000,$J365)="","",INDEX(Datos!$H$2:$H$1000,$J365)))</f>
        <v/>
      </c>
      <c r="F365" s="6" t="str">
        <f>IF($J365=0,"",IF(INDEX(Datos!$N$2:$N$1000,$J365)="","",INDEX(Datos!$N$2:$N$1000,$J365)))</f>
        <v/>
      </c>
      <c r="G365" s="8" t="str">
        <f>IF($J365=0,"",IF(INDEX(Datos!$M$2:$M$1000,$J365)="","",INDEX(Datos!$M$2:$M$1000,$J365)))</f>
        <v/>
      </c>
      <c r="H365" s="6" t="str">
        <f>IF($J365=0,"",INDEX(Datos!$J$2:$J$1000,$J365)&amp;IF(INDEX(Datos!$Q$2:$Q$1000,$J365)="",""," | "&amp;INDEX(Datos!$Q$2:$Q$1000,$J365)))</f>
        <v/>
      </c>
      <c r="J365">
        <f>IFERROR(MATCH(ROW()-17,Datos!$W$2:$W$1000,0),0)</f>
        <v>0</v>
      </c>
    </row>
    <row r="366" spans="1:10" ht="82" customHeight="1" x14ac:dyDescent="0.35">
      <c r="A366" s="4" t="str">
        <f>IF($J366=0,"",IF(INDEX(Datos!$A$2:$A$1000,$J366)="","",INDEX(Datos!$A$2:$A$1000,$J366)))</f>
        <v/>
      </c>
      <c r="B366" s="5" t="str">
        <f>IF($J366=0,"",IF(INDEX(Datos!$E$2:$E$1000,$J366)="","",INDEX(Datos!$E$2:$E$1000,$J366)))</f>
        <v/>
      </c>
      <c r="C366" s="5" t="str">
        <f>IF($J366=0,"",IF(INDEX(Datos!$I$2:$I$1000,$J366)="","",INDEX(Datos!$I$2:$I$1000,$J366)))</f>
        <v/>
      </c>
      <c r="D366" s="6" t="str">
        <f>IF($J366=0,"",IF(INDEX(Datos!$F$2:$F$1000,$J366)="","",INDEX(Datos!$F$2:$F$1000,$J366)))</f>
        <v/>
      </c>
      <c r="E366" s="7" t="str">
        <f>IF($J366=0,"",IF(INDEX(Datos!$H$2:$H$1000,$J366)="","",INDEX(Datos!$H$2:$H$1000,$J366)))</f>
        <v/>
      </c>
      <c r="F366" s="6" t="str">
        <f>IF($J366=0,"",IF(INDEX(Datos!$N$2:$N$1000,$J366)="","",INDEX(Datos!$N$2:$N$1000,$J366)))</f>
        <v/>
      </c>
      <c r="G366" s="8" t="str">
        <f>IF($J366=0,"",IF(INDEX(Datos!$M$2:$M$1000,$J366)="","",INDEX(Datos!$M$2:$M$1000,$J366)))</f>
        <v/>
      </c>
      <c r="H366" s="6" t="str">
        <f>IF($J366=0,"",INDEX(Datos!$J$2:$J$1000,$J366)&amp;IF(INDEX(Datos!$Q$2:$Q$1000,$J366)="",""," | "&amp;INDEX(Datos!$Q$2:$Q$1000,$J366)))</f>
        <v/>
      </c>
      <c r="J366">
        <f>IFERROR(MATCH(ROW()-17,Datos!$W$2:$W$1000,0),0)</f>
        <v>0</v>
      </c>
    </row>
    <row r="367" spans="1:10" ht="82" customHeight="1" x14ac:dyDescent="0.35">
      <c r="A367" s="4" t="str">
        <f>IF($J367=0,"",IF(INDEX(Datos!$A$2:$A$1000,$J367)="","",INDEX(Datos!$A$2:$A$1000,$J367)))</f>
        <v/>
      </c>
      <c r="B367" s="5" t="str">
        <f>IF($J367=0,"",IF(INDEX(Datos!$E$2:$E$1000,$J367)="","",INDEX(Datos!$E$2:$E$1000,$J367)))</f>
        <v/>
      </c>
      <c r="C367" s="5" t="str">
        <f>IF($J367=0,"",IF(INDEX(Datos!$I$2:$I$1000,$J367)="","",INDEX(Datos!$I$2:$I$1000,$J367)))</f>
        <v/>
      </c>
      <c r="D367" s="6" t="str">
        <f>IF($J367=0,"",IF(INDEX(Datos!$F$2:$F$1000,$J367)="","",INDEX(Datos!$F$2:$F$1000,$J367)))</f>
        <v/>
      </c>
      <c r="E367" s="7" t="str">
        <f>IF($J367=0,"",IF(INDEX(Datos!$H$2:$H$1000,$J367)="","",INDEX(Datos!$H$2:$H$1000,$J367)))</f>
        <v/>
      </c>
      <c r="F367" s="6" t="str">
        <f>IF($J367=0,"",IF(INDEX(Datos!$N$2:$N$1000,$J367)="","",INDEX(Datos!$N$2:$N$1000,$J367)))</f>
        <v/>
      </c>
      <c r="G367" s="8" t="str">
        <f>IF($J367=0,"",IF(INDEX(Datos!$M$2:$M$1000,$J367)="","",INDEX(Datos!$M$2:$M$1000,$J367)))</f>
        <v/>
      </c>
      <c r="H367" s="6" t="str">
        <f>IF($J367=0,"",INDEX(Datos!$J$2:$J$1000,$J367)&amp;IF(INDEX(Datos!$Q$2:$Q$1000,$J367)="",""," | "&amp;INDEX(Datos!$Q$2:$Q$1000,$J367)))</f>
        <v/>
      </c>
      <c r="J367">
        <f>IFERROR(MATCH(ROW()-17,Datos!$W$2:$W$1000,0),0)</f>
        <v>0</v>
      </c>
    </row>
    <row r="368" spans="1:10" ht="82" customHeight="1" x14ac:dyDescent="0.35">
      <c r="A368" s="4" t="str">
        <f>IF($J368=0,"",IF(INDEX(Datos!$A$2:$A$1000,$J368)="","",INDEX(Datos!$A$2:$A$1000,$J368)))</f>
        <v/>
      </c>
      <c r="B368" s="5" t="str">
        <f>IF($J368=0,"",IF(INDEX(Datos!$E$2:$E$1000,$J368)="","",INDEX(Datos!$E$2:$E$1000,$J368)))</f>
        <v/>
      </c>
      <c r="C368" s="5" t="str">
        <f>IF($J368=0,"",IF(INDEX(Datos!$I$2:$I$1000,$J368)="","",INDEX(Datos!$I$2:$I$1000,$J368)))</f>
        <v/>
      </c>
      <c r="D368" s="6" t="str">
        <f>IF($J368=0,"",IF(INDEX(Datos!$F$2:$F$1000,$J368)="","",INDEX(Datos!$F$2:$F$1000,$J368)))</f>
        <v/>
      </c>
      <c r="E368" s="7" t="str">
        <f>IF($J368=0,"",IF(INDEX(Datos!$H$2:$H$1000,$J368)="","",INDEX(Datos!$H$2:$H$1000,$J368)))</f>
        <v/>
      </c>
      <c r="F368" s="6" t="str">
        <f>IF($J368=0,"",IF(INDEX(Datos!$N$2:$N$1000,$J368)="","",INDEX(Datos!$N$2:$N$1000,$J368)))</f>
        <v/>
      </c>
      <c r="G368" s="8" t="str">
        <f>IF($J368=0,"",IF(INDEX(Datos!$M$2:$M$1000,$J368)="","",INDEX(Datos!$M$2:$M$1000,$J368)))</f>
        <v/>
      </c>
      <c r="H368" s="6" t="str">
        <f>IF($J368=0,"",INDEX(Datos!$J$2:$J$1000,$J368)&amp;IF(INDEX(Datos!$Q$2:$Q$1000,$J368)="",""," | "&amp;INDEX(Datos!$Q$2:$Q$1000,$J368)))</f>
        <v/>
      </c>
      <c r="J368">
        <f>IFERROR(MATCH(ROW()-17,Datos!$W$2:$W$1000,0),0)</f>
        <v>0</v>
      </c>
    </row>
    <row r="369" spans="1:10" ht="82" customHeight="1" x14ac:dyDescent="0.35">
      <c r="A369" s="4" t="str">
        <f>IF($J369=0,"",IF(INDEX(Datos!$A$2:$A$1000,$J369)="","",INDEX(Datos!$A$2:$A$1000,$J369)))</f>
        <v/>
      </c>
      <c r="B369" s="5" t="str">
        <f>IF($J369=0,"",IF(INDEX(Datos!$E$2:$E$1000,$J369)="","",INDEX(Datos!$E$2:$E$1000,$J369)))</f>
        <v/>
      </c>
      <c r="C369" s="5" t="str">
        <f>IF($J369=0,"",IF(INDEX(Datos!$I$2:$I$1000,$J369)="","",INDEX(Datos!$I$2:$I$1000,$J369)))</f>
        <v/>
      </c>
      <c r="D369" s="6" t="str">
        <f>IF($J369=0,"",IF(INDEX(Datos!$F$2:$F$1000,$J369)="","",INDEX(Datos!$F$2:$F$1000,$J369)))</f>
        <v/>
      </c>
      <c r="E369" s="7" t="str">
        <f>IF($J369=0,"",IF(INDEX(Datos!$H$2:$H$1000,$J369)="","",INDEX(Datos!$H$2:$H$1000,$J369)))</f>
        <v/>
      </c>
      <c r="F369" s="6" t="str">
        <f>IF($J369=0,"",IF(INDEX(Datos!$N$2:$N$1000,$J369)="","",INDEX(Datos!$N$2:$N$1000,$J369)))</f>
        <v/>
      </c>
      <c r="G369" s="8" t="str">
        <f>IF($J369=0,"",IF(INDEX(Datos!$M$2:$M$1000,$J369)="","",INDEX(Datos!$M$2:$M$1000,$J369)))</f>
        <v/>
      </c>
      <c r="H369" s="6" t="str">
        <f>IF($J369=0,"",INDEX(Datos!$J$2:$J$1000,$J369)&amp;IF(INDEX(Datos!$Q$2:$Q$1000,$J369)="",""," | "&amp;INDEX(Datos!$Q$2:$Q$1000,$J369)))</f>
        <v/>
      </c>
      <c r="J369">
        <f>IFERROR(MATCH(ROW()-17,Datos!$W$2:$W$1000,0),0)</f>
        <v>0</v>
      </c>
    </row>
    <row r="370" spans="1:10" ht="82" customHeight="1" x14ac:dyDescent="0.35">
      <c r="A370" s="4" t="str">
        <f>IF($J370=0,"",IF(INDEX(Datos!$A$2:$A$1000,$J370)="","",INDEX(Datos!$A$2:$A$1000,$J370)))</f>
        <v/>
      </c>
      <c r="B370" s="5" t="str">
        <f>IF($J370=0,"",IF(INDEX(Datos!$E$2:$E$1000,$J370)="","",INDEX(Datos!$E$2:$E$1000,$J370)))</f>
        <v/>
      </c>
      <c r="C370" s="5" t="str">
        <f>IF($J370=0,"",IF(INDEX(Datos!$I$2:$I$1000,$J370)="","",INDEX(Datos!$I$2:$I$1000,$J370)))</f>
        <v/>
      </c>
      <c r="D370" s="6" t="str">
        <f>IF($J370=0,"",IF(INDEX(Datos!$F$2:$F$1000,$J370)="","",INDEX(Datos!$F$2:$F$1000,$J370)))</f>
        <v/>
      </c>
      <c r="E370" s="7" t="str">
        <f>IF($J370=0,"",IF(INDEX(Datos!$H$2:$H$1000,$J370)="","",INDEX(Datos!$H$2:$H$1000,$J370)))</f>
        <v/>
      </c>
      <c r="F370" s="6" t="str">
        <f>IF($J370=0,"",IF(INDEX(Datos!$N$2:$N$1000,$J370)="","",INDEX(Datos!$N$2:$N$1000,$J370)))</f>
        <v/>
      </c>
      <c r="G370" s="8" t="str">
        <f>IF($J370=0,"",IF(INDEX(Datos!$M$2:$M$1000,$J370)="","",INDEX(Datos!$M$2:$M$1000,$J370)))</f>
        <v/>
      </c>
      <c r="H370" s="6" t="str">
        <f>IF($J370=0,"",INDEX(Datos!$J$2:$J$1000,$J370)&amp;IF(INDEX(Datos!$Q$2:$Q$1000,$J370)="",""," | "&amp;INDEX(Datos!$Q$2:$Q$1000,$J370)))</f>
        <v/>
      </c>
      <c r="J370">
        <f>IFERROR(MATCH(ROW()-17,Datos!$W$2:$W$1000,0),0)</f>
        <v>0</v>
      </c>
    </row>
    <row r="371" spans="1:10" ht="82" customHeight="1" x14ac:dyDescent="0.35">
      <c r="A371" s="4" t="str">
        <f>IF($J371=0,"",IF(INDEX(Datos!$A$2:$A$1000,$J371)="","",INDEX(Datos!$A$2:$A$1000,$J371)))</f>
        <v/>
      </c>
      <c r="B371" s="5" t="str">
        <f>IF($J371=0,"",IF(INDEX(Datos!$E$2:$E$1000,$J371)="","",INDEX(Datos!$E$2:$E$1000,$J371)))</f>
        <v/>
      </c>
      <c r="C371" s="5" t="str">
        <f>IF($J371=0,"",IF(INDEX(Datos!$I$2:$I$1000,$J371)="","",INDEX(Datos!$I$2:$I$1000,$J371)))</f>
        <v/>
      </c>
      <c r="D371" s="6" t="str">
        <f>IF($J371=0,"",IF(INDEX(Datos!$F$2:$F$1000,$J371)="","",INDEX(Datos!$F$2:$F$1000,$J371)))</f>
        <v/>
      </c>
      <c r="E371" s="7" t="str">
        <f>IF($J371=0,"",IF(INDEX(Datos!$H$2:$H$1000,$J371)="","",INDEX(Datos!$H$2:$H$1000,$J371)))</f>
        <v/>
      </c>
      <c r="F371" s="6" t="str">
        <f>IF($J371=0,"",IF(INDEX(Datos!$N$2:$N$1000,$J371)="","",INDEX(Datos!$N$2:$N$1000,$J371)))</f>
        <v/>
      </c>
      <c r="G371" s="8" t="str">
        <f>IF($J371=0,"",IF(INDEX(Datos!$M$2:$M$1000,$J371)="","",INDEX(Datos!$M$2:$M$1000,$J371)))</f>
        <v/>
      </c>
      <c r="H371" s="6" t="str">
        <f>IF($J371=0,"",INDEX(Datos!$J$2:$J$1000,$J371)&amp;IF(INDEX(Datos!$Q$2:$Q$1000,$J371)="",""," | "&amp;INDEX(Datos!$Q$2:$Q$1000,$J371)))</f>
        <v/>
      </c>
      <c r="J371">
        <f>IFERROR(MATCH(ROW()-17,Datos!$W$2:$W$1000,0),0)</f>
        <v>0</v>
      </c>
    </row>
    <row r="372" spans="1:10" ht="82" customHeight="1" x14ac:dyDescent="0.35">
      <c r="A372" s="4" t="str">
        <f>IF($J372=0,"",IF(INDEX(Datos!$A$2:$A$1000,$J372)="","",INDEX(Datos!$A$2:$A$1000,$J372)))</f>
        <v/>
      </c>
      <c r="B372" s="5" t="str">
        <f>IF($J372=0,"",IF(INDEX(Datos!$E$2:$E$1000,$J372)="","",INDEX(Datos!$E$2:$E$1000,$J372)))</f>
        <v/>
      </c>
      <c r="C372" s="5" t="str">
        <f>IF($J372=0,"",IF(INDEX(Datos!$I$2:$I$1000,$J372)="","",INDEX(Datos!$I$2:$I$1000,$J372)))</f>
        <v/>
      </c>
      <c r="D372" s="6" t="str">
        <f>IF($J372=0,"",IF(INDEX(Datos!$F$2:$F$1000,$J372)="","",INDEX(Datos!$F$2:$F$1000,$J372)))</f>
        <v/>
      </c>
      <c r="E372" s="7" t="str">
        <f>IF($J372=0,"",IF(INDEX(Datos!$H$2:$H$1000,$J372)="","",INDEX(Datos!$H$2:$H$1000,$J372)))</f>
        <v/>
      </c>
      <c r="F372" s="6" t="str">
        <f>IF($J372=0,"",IF(INDEX(Datos!$N$2:$N$1000,$J372)="","",INDEX(Datos!$N$2:$N$1000,$J372)))</f>
        <v/>
      </c>
      <c r="G372" s="8" t="str">
        <f>IF($J372=0,"",IF(INDEX(Datos!$M$2:$M$1000,$J372)="","",INDEX(Datos!$M$2:$M$1000,$J372)))</f>
        <v/>
      </c>
      <c r="H372" s="6" t="str">
        <f>IF($J372=0,"",INDEX(Datos!$J$2:$J$1000,$J372)&amp;IF(INDEX(Datos!$Q$2:$Q$1000,$J372)="",""," | "&amp;INDEX(Datos!$Q$2:$Q$1000,$J372)))</f>
        <v/>
      </c>
      <c r="J372">
        <f>IFERROR(MATCH(ROW()-17,Datos!$W$2:$W$1000,0),0)</f>
        <v>0</v>
      </c>
    </row>
    <row r="373" spans="1:10" ht="82" customHeight="1" x14ac:dyDescent="0.35">
      <c r="A373" s="4" t="str">
        <f>IF($J373=0,"",IF(INDEX(Datos!$A$2:$A$1000,$J373)="","",INDEX(Datos!$A$2:$A$1000,$J373)))</f>
        <v/>
      </c>
      <c r="B373" s="5" t="str">
        <f>IF($J373=0,"",IF(INDEX(Datos!$E$2:$E$1000,$J373)="","",INDEX(Datos!$E$2:$E$1000,$J373)))</f>
        <v/>
      </c>
      <c r="C373" s="5" t="str">
        <f>IF($J373=0,"",IF(INDEX(Datos!$I$2:$I$1000,$J373)="","",INDEX(Datos!$I$2:$I$1000,$J373)))</f>
        <v/>
      </c>
      <c r="D373" s="6" t="str">
        <f>IF($J373=0,"",IF(INDEX(Datos!$F$2:$F$1000,$J373)="","",INDEX(Datos!$F$2:$F$1000,$J373)))</f>
        <v/>
      </c>
      <c r="E373" s="7" t="str">
        <f>IF($J373=0,"",IF(INDEX(Datos!$H$2:$H$1000,$J373)="","",INDEX(Datos!$H$2:$H$1000,$J373)))</f>
        <v/>
      </c>
      <c r="F373" s="6" t="str">
        <f>IF($J373=0,"",IF(INDEX(Datos!$N$2:$N$1000,$J373)="","",INDEX(Datos!$N$2:$N$1000,$J373)))</f>
        <v/>
      </c>
      <c r="G373" s="8" t="str">
        <f>IF($J373=0,"",IF(INDEX(Datos!$M$2:$M$1000,$J373)="","",INDEX(Datos!$M$2:$M$1000,$J373)))</f>
        <v/>
      </c>
      <c r="H373" s="6" t="str">
        <f>IF($J373=0,"",INDEX(Datos!$J$2:$J$1000,$J373)&amp;IF(INDEX(Datos!$Q$2:$Q$1000,$J373)="",""," | "&amp;INDEX(Datos!$Q$2:$Q$1000,$J373)))</f>
        <v/>
      </c>
      <c r="J373">
        <f>IFERROR(MATCH(ROW()-17,Datos!$W$2:$W$1000,0),0)</f>
        <v>0</v>
      </c>
    </row>
    <row r="374" spans="1:10" ht="82" customHeight="1" x14ac:dyDescent="0.35">
      <c r="A374" s="4" t="str">
        <f>IF($J374=0,"",IF(INDEX(Datos!$A$2:$A$1000,$J374)="","",INDEX(Datos!$A$2:$A$1000,$J374)))</f>
        <v/>
      </c>
      <c r="B374" s="5" t="str">
        <f>IF($J374=0,"",IF(INDEX(Datos!$E$2:$E$1000,$J374)="","",INDEX(Datos!$E$2:$E$1000,$J374)))</f>
        <v/>
      </c>
      <c r="C374" s="5" t="str">
        <f>IF($J374=0,"",IF(INDEX(Datos!$I$2:$I$1000,$J374)="","",INDEX(Datos!$I$2:$I$1000,$J374)))</f>
        <v/>
      </c>
      <c r="D374" s="6" t="str">
        <f>IF($J374=0,"",IF(INDEX(Datos!$F$2:$F$1000,$J374)="","",INDEX(Datos!$F$2:$F$1000,$J374)))</f>
        <v/>
      </c>
      <c r="E374" s="7" t="str">
        <f>IF($J374=0,"",IF(INDEX(Datos!$H$2:$H$1000,$J374)="","",INDEX(Datos!$H$2:$H$1000,$J374)))</f>
        <v/>
      </c>
      <c r="F374" s="6" t="str">
        <f>IF($J374=0,"",IF(INDEX(Datos!$N$2:$N$1000,$J374)="","",INDEX(Datos!$N$2:$N$1000,$J374)))</f>
        <v/>
      </c>
      <c r="G374" s="8" t="str">
        <f>IF($J374=0,"",IF(INDEX(Datos!$M$2:$M$1000,$J374)="","",INDEX(Datos!$M$2:$M$1000,$J374)))</f>
        <v/>
      </c>
      <c r="H374" s="6" t="str">
        <f>IF($J374=0,"",INDEX(Datos!$J$2:$J$1000,$J374)&amp;IF(INDEX(Datos!$Q$2:$Q$1000,$J374)="",""," | "&amp;INDEX(Datos!$Q$2:$Q$1000,$J374)))</f>
        <v/>
      </c>
      <c r="J374">
        <f>IFERROR(MATCH(ROW()-17,Datos!$W$2:$W$1000,0),0)</f>
        <v>0</v>
      </c>
    </row>
    <row r="375" spans="1:10" ht="82" customHeight="1" x14ac:dyDescent="0.35">
      <c r="A375" s="4" t="str">
        <f>IF($J375=0,"",IF(INDEX(Datos!$A$2:$A$1000,$J375)="","",INDEX(Datos!$A$2:$A$1000,$J375)))</f>
        <v/>
      </c>
      <c r="B375" s="5" t="str">
        <f>IF($J375=0,"",IF(INDEX(Datos!$E$2:$E$1000,$J375)="","",INDEX(Datos!$E$2:$E$1000,$J375)))</f>
        <v/>
      </c>
      <c r="C375" s="5" t="str">
        <f>IF($J375=0,"",IF(INDEX(Datos!$I$2:$I$1000,$J375)="","",INDEX(Datos!$I$2:$I$1000,$J375)))</f>
        <v/>
      </c>
      <c r="D375" s="6" t="str">
        <f>IF($J375=0,"",IF(INDEX(Datos!$F$2:$F$1000,$J375)="","",INDEX(Datos!$F$2:$F$1000,$J375)))</f>
        <v/>
      </c>
      <c r="E375" s="7" t="str">
        <f>IF($J375=0,"",IF(INDEX(Datos!$H$2:$H$1000,$J375)="","",INDEX(Datos!$H$2:$H$1000,$J375)))</f>
        <v/>
      </c>
      <c r="F375" s="6" t="str">
        <f>IF($J375=0,"",IF(INDEX(Datos!$N$2:$N$1000,$J375)="","",INDEX(Datos!$N$2:$N$1000,$J375)))</f>
        <v/>
      </c>
      <c r="G375" s="8" t="str">
        <f>IF($J375=0,"",IF(INDEX(Datos!$M$2:$M$1000,$J375)="","",INDEX(Datos!$M$2:$M$1000,$J375)))</f>
        <v/>
      </c>
      <c r="H375" s="6" t="str">
        <f>IF($J375=0,"",INDEX(Datos!$J$2:$J$1000,$J375)&amp;IF(INDEX(Datos!$Q$2:$Q$1000,$J375)="",""," | "&amp;INDEX(Datos!$Q$2:$Q$1000,$J375)))</f>
        <v/>
      </c>
      <c r="J375">
        <f>IFERROR(MATCH(ROW()-17,Datos!$W$2:$W$1000,0),0)</f>
        <v>0</v>
      </c>
    </row>
    <row r="376" spans="1:10" ht="82" customHeight="1" x14ac:dyDescent="0.35">
      <c r="A376" s="4" t="str">
        <f>IF($J376=0,"",IF(INDEX(Datos!$A$2:$A$1000,$J376)="","",INDEX(Datos!$A$2:$A$1000,$J376)))</f>
        <v/>
      </c>
      <c r="B376" s="5" t="str">
        <f>IF($J376=0,"",IF(INDEX(Datos!$E$2:$E$1000,$J376)="","",INDEX(Datos!$E$2:$E$1000,$J376)))</f>
        <v/>
      </c>
      <c r="C376" s="5" t="str">
        <f>IF($J376=0,"",IF(INDEX(Datos!$I$2:$I$1000,$J376)="","",INDEX(Datos!$I$2:$I$1000,$J376)))</f>
        <v/>
      </c>
      <c r="D376" s="6" t="str">
        <f>IF($J376=0,"",IF(INDEX(Datos!$F$2:$F$1000,$J376)="","",INDEX(Datos!$F$2:$F$1000,$J376)))</f>
        <v/>
      </c>
      <c r="E376" s="7" t="str">
        <f>IF($J376=0,"",IF(INDEX(Datos!$H$2:$H$1000,$J376)="","",INDEX(Datos!$H$2:$H$1000,$J376)))</f>
        <v/>
      </c>
      <c r="F376" s="6" t="str">
        <f>IF($J376=0,"",IF(INDEX(Datos!$N$2:$N$1000,$J376)="","",INDEX(Datos!$N$2:$N$1000,$J376)))</f>
        <v/>
      </c>
      <c r="G376" s="8" t="str">
        <f>IF($J376=0,"",IF(INDEX(Datos!$M$2:$M$1000,$J376)="","",INDEX(Datos!$M$2:$M$1000,$J376)))</f>
        <v/>
      </c>
      <c r="H376" s="6" t="str">
        <f>IF($J376=0,"",INDEX(Datos!$J$2:$J$1000,$J376)&amp;IF(INDEX(Datos!$Q$2:$Q$1000,$J376)="",""," | "&amp;INDEX(Datos!$Q$2:$Q$1000,$J376)))</f>
        <v/>
      </c>
      <c r="J376">
        <f>IFERROR(MATCH(ROW()-17,Datos!$W$2:$W$1000,0),0)</f>
        <v>0</v>
      </c>
    </row>
    <row r="377" spans="1:10" ht="82" customHeight="1" x14ac:dyDescent="0.35">
      <c r="A377" s="4" t="str">
        <f>IF($J377=0,"",IF(INDEX(Datos!$A$2:$A$1000,$J377)="","",INDEX(Datos!$A$2:$A$1000,$J377)))</f>
        <v/>
      </c>
      <c r="B377" s="5" t="str">
        <f>IF($J377=0,"",IF(INDEX(Datos!$E$2:$E$1000,$J377)="","",INDEX(Datos!$E$2:$E$1000,$J377)))</f>
        <v/>
      </c>
      <c r="C377" s="5" t="str">
        <f>IF($J377=0,"",IF(INDEX(Datos!$I$2:$I$1000,$J377)="","",INDEX(Datos!$I$2:$I$1000,$J377)))</f>
        <v/>
      </c>
      <c r="D377" s="6" t="str">
        <f>IF($J377=0,"",IF(INDEX(Datos!$F$2:$F$1000,$J377)="","",INDEX(Datos!$F$2:$F$1000,$J377)))</f>
        <v/>
      </c>
      <c r="E377" s="7" t="str">
        <f>IF($J377=0,"",IF(INDEX(Datos!$H$2:$H$1000,$J377)="","",INDEX(Datos!$H$2:$H$1000,$J377)))</f>
        <v/>
      </c>
      <c r="F377" s="6" t="str">
        <f>IF($J377=0,"",IF(INDEX(Datos!$N$2:$N$1000,$J377)="","",INDEX(Datos!$N$2:$N$1000,$J377)))</f>
        <v/>
      </c>
      <c r="G377" s="8" t="str">
        <f>IF($J377=0,"",IF(INDEX(Datos!$M$2:$M$1000,$J377)="","",INDEX(Datos!$M$2:$M$1000,$J377)))</f>
        <v/>
      </c>
      <c r="H377" s="6" t="str">
        <f>IF($J377=0,"",INDEX(Datos!$J$2:$J$1000,$J377)&amp;IF(INDEX(Datos!$Q$2:$Q$1000,$J377)="",""," | "&amp;INDEX(Datos!$Q$2:$Q$1000,$J377)))</f>
        <v/>
      </c>
      <c r="J377">
        <f>IFERROR(MATCH(ROW()-17,Datos!$W$2:$W$1000,0),0)</f>
        <v>0</v>
      </c>
    </row>
    <row r="378" spans="1:10" ht="82" customHeight="1" x14ac:dyDescent="0.35">
      <c r="A378" s="4" t="str">
        <f>IF($J378=0,"",IF(INDEX(Datos!$A$2:$A$1000,$J378)="","",INDEX(Datos!$A$2:$A$1000,$J378)))</f>
        <v/>
      </c>
      <c r="B378" s="5" t="str">
        <f>IF($J378=0,"",IF(INDEX(Datos!$E$2:$E$1000,$J378)="","",INDEX(Datos!$E$2:$E$1000,$J378)))</f>
        <v/>
      </c>
      <c r="C378" s="5" t="str">
        <f>IF($J378=0,"",IF(INDEX(Datos!$I$2:$I$1000,$J378)="","",INDEX(Datos!$I$2:$I$1000,$J378)))</f>
        <v/>
      </c>
      <c r="D378" s="6" t="str">
        <f>IF($J378=0,"",IF(INDEX(Datos!$F$2:$F$1000,$J378)="","",INDEX(Datos!$F$2:$F$1000,$J378)))</f>
        <v/>
      </c>
      <c r="E378" s="7" t="str">
        <f>IF($J378=0,"",IF(INDEX(Datos!$H$2:$H$1000,$J378)="","",INDEX(Datos!$H$2:$H$1000,$J378)))</f>
        <v/>
      </c>
      <c r="F378" s="6" t="str">
        <f>IF($J378=0,"",IF(INDEX(Datos!$N$2:$N$1000,$J378)="","",INDEX(Datos!$N$2:$N$1000,$J378)))</f>
        <v/>
      </c>
      <c r="G378" s="8" t="str">
        <f>IF($J378=0,"",IF(INDEX(Datos!$M$2:$M$1000,$J378)="","",INDEX(Datos!$M$2:$M$1000,$J378)))</f>
        <v/>
      </c>
      <c r="H378" s="6" t="str">
        <f>IF($J378=0,"",INDEX(Datos!$J$2:$J$1000,$J378)&amp;IF(INDEX(Datos!$Q$2:$Q$1000,$J378)="",""," | "&amp;INDEX(Datos!$Q$2:$Q$1000,$J378)))</f>
        <v/>
      </c>
      <c r="J378">
        <f>IFERROR(MATCH(ROW()-17,Datos!$W$2:$W$1000,0),0)</f>
        <v>0</v>
      </c>
    </row>
    <row r="379" spans="1:10" ht="82" customHeight="1" x14ac:dyDescent="0.35">
      <c r="A379" s="4" t="str">
        <f>IF($J379=0,"",IF(INDEX(Datos!$A$2:$A$1000,$J379)="","",INDEX(Datos!$A$2:$A$1000,$J379)))</f>
        <v/>
      </c>
      <c r="B379" s="5" t="str">
        <f>IF($J379=0,"",IF(INDEX(Datos!$E$2:$E$1000,$J379)="","",INDEX(Datos!$E$2:$E$1000,$J379)))</f>
        <v/>
      </c>
      <c r="C379" s="5" t="str">
        <f>IF($J379=0,"",IF(INDEX(Datos!$I$2:$I$1000,$J379)="","",INDEX(Datos!$I$2:$I$1000,$J379)))</f>
        <v/>
      </c>
      <c r="D379" s="6" t="str">
        <f>IF($J379=0,"",IF(INDEX(Datos!$F$2:$F$1000,$J379)="","",INDEX(Datos!$F$2:$F$1000,$J379)))</f>
        <v/>
      </c>
      <c r="E379" s="7" t="str">
        <f>IF($J379=0,"",IF(INDEX(Datos!$H$2:$H$1000,$J379)="","",INDEX(Datos!$H$2:$H$1000,$J379)))</f>
        <v/>
      </c>
      <c r="F379" s="6" t="str">
        <f>IF($J379=0,"",IF(INDEX(Datos!$N$2:$N$1000,$J379)="","",INDEX(Datos!$N$2:$N$1000,$J379)))</f>
        <v/>
      </c>
      <c r="G379" s="8" t="str">
        <f>IF($J379=0,"",IF(INDEX(Datos!$M$2:$M$1000,$J379)="","",INDEX(Datos!$M$2:$M$1000,$J379)))</f>
        <v/>
      </c>
      <c r="H379" s="6" t="str">
        <f>IF($J379=0,"",INDEX(Datos!$J$2:$J$1000,$J379)&amp;IF(INDEX(Datos!$Q$2:$Q$1000,$J379)="",""," | "&amp;INDEX(Datos!$Q$2:$Q$1000,$J379)))</f>
        <v/>
      </c>
      <c r="J379">
        <f>IFERROR(MATCH(ROW()-17,Datos!$W$2:$W$1000,0),0)</f>
        <v>0</v>
      </c>
    </row>
    <row r="380" spans="1:10" ht="82" customHeight="1" x14ac:dyDescent="0.35">
      <c r="A380" s="4" t="str">
        <f>IF($J380=0,"",IF(INDEX(Datos!$A$2:$A$1000,$J380)="","",INDEX(Datos!$A$2:$A$1000,$J380)))</f>
        <v/>
      </c>
      <c r="B380" s="5" t="str">
        <f>IF($J380=0,"",IF(INDEX(Datos!$E$2:$E$1000,$J380)="","",INDEX(Datos!$E$2:$E$1000,$J380)))</f>
        <v/>
      </c>
      <c r="C380" s="5" t="str">
        <f>IF($J380=0,"",IF(INDEX(Datos!$I$2:$I$1000,$J380)="","",INDEX(Datos!$I$2:$I$1000,$J380)))</f>
        <v/>
      </c>
      <c r="D380" s="6" t="str">
        <f>IF($J380=0,"",IF(INDEX(Datos!$F$2:$F$1000,$J380)="","",INDEX(Datos!$F$2:$F$1000,$J380)))</f>
        <v/>
      </c>
      <c r="E380" s="7" t="str">
        <f>IF($J380=0,"",IF(INDEX(Datos!$H$2:$H$1000,$J380)="","",INDEX(Datos!$H$2:$H$1000,$J380)))</f>
        <v/>
      </c>
      <c r="F380" s="6" t="str">
        <f>IF($J380=0,"",IF(INDEX(Datos!$N$2:$N$1000,$J380)="","",INDEX(Datos!$N$2:$N$1000,$J380)))</f>
        <v/>
      </c>
      <c r="G380" s="8" t="str">
        <f>IF($J380=0,"",IF(INDEX(Datos!$M$2:$M$1000,$J380)="","",INDEX(Datos!$M$2:$M$1000,$J380)))</f>
        <v/>
      </c>
      <c r="H380" s="6" t="str">
        <f>IF($J380=0,"",INDEX(Datos!$J$2:$J$1000,$J380)&amp;IF(INDEX(Datos!$Q$2:$Q$1000,$J380)="",""," | "&amp;INDEX(Datos!$Q$2:$Q$1000,$J380)))</f>
        <v/>
      </c>
      <c r="J380">
        <f>IFERROR(MATCH(ROW()-17,Datos!$W$2:$W$1000,0),0)</f>
        <v>0</v>
      </c>
    </row>
    <row r="381" spans="1:10" ht="82" customHeight="1" x14ac:dyDescent="0.35">
      <c r="A381" s="4" t="str">
        <f>IF($J381=0,"",IF(INDEX(Datos!$A$2:$A$1000,$J381)="","",INDEX(Datos!$A$2:$A$1000,$J381)))</f>
        <v/>
      </c>
      <c r="B381" s="5" t="str">
        <f>IF($J381=0,"",IF(INDEX(Datos!$E$2:$E$1000,$J381)="","",INDEX(Datos!$E$2:$E$1000,$J381)))</f>
        <v/>
      </c>
      <c r="C381" s="5" t="str">
        <f>IF($J381=0,"",IF(INDEX(Datos!$I$2:$I$1000,$J381)="","",INDEX(Datos!$I$2:$I$1000,$J381)))</f>
        <v/>
      </c>
      <c r="D381" s="6" t="str">
        <f>IF($J381=0,"",IF(INDEX(Datos!$F$2:$F$1000,$J381)="","",INDEX(Datos!$F$2:$F$1000,$J381)))</f>
        <v/>
      </c>
      <c r="E381" s="7" t="str">
        <f>IF($J381=0,"",IF(INDEX(Datos!$H$2:$H$1000,$J381)="","",INDEX(Datos!$H$2:$H$1000,$J381)))</f>
        <v/>
      </c>
      <c r="F381" s="6" t="str">
        <f>IF($J381=0,"",IF(INDEX(Datos!$N$2:$N$1000,$J381)="","",INDEX(Datos!$N$2:$N$1000,$J381)))</f>
        <v/>
      </c>
      <c r="G381" s="8" t="str">
        <f>IF($J381=0,"",IF(INDEX(Datos!$M$2:$M$1000,$J381)="","",INDEX(Datos!$M$2:$M$1000,$J381)))</f>
        <v/>
      </c>
      <c r="H381" s="6" t="str">
        <f>IF($J381=0,"",INDEX(Datos!$J$2:$J$1000,$J381)&amp;IF(INDEX(Datos!$Q$2:$Q$1000,$J381)="",""," | "&amp;INDEX(Datos!$Q$2:$Q$1000,$J381)))</f>
        <v/>
      </c>
      <c r="J381">
        <f>IFERROR(MATCH(ROW()-17,Datos!$W$2:$W$1000,0),0)</f>
        <v>0</v>
      </c>
    </row>
    <row r="382" spans="1:10" ht="82" customHeight="1" x14ac:dyDescent="0.35">
      <c r="A382" s="4" t="str">
        <f>IF($J382=0,"",IF(INDEX(Datos!$A$2:$A$1000,$J382)="","",INDEX(Datos!$A$2:$A$1000,$J382)))</f>
        <v/>
      </c>
      <c r="B382" s="5" t="str">
        <f>IF($J382=0,"",IF(INDEX(Datos!$E$2:$E$1000,$J382)="","",INDEX(Datos!$E$2:$E$1000,$J382)))</f>
        <v/>
      </c>
      <c r="C382" s="5" t="str">
        <f>IF($J382=0,"",IF(INDEX(Datos!$I$2:$I$1000,$J382)="","",INDEX(Datos!$I$2:$I$1000,$J382)))</f>
        <v/>
      </c>
      <c r="D382" s="6" t="str">
        <f>IF($J382=0,"",IF(INDEX(Datos!$F$2:$F$1000,$J382)="","",INDEX(Datos!$F$2:$F$1000,$J382)))</f>
        <v/>
      </c>
      <c r="E382" s="7" t="str">
        <f>IF($J382=0,"",IF(INDEX(Datos!$H$2:$H$1000,$J382)="","",INDEX(Datos!$H$2:$H$1000,$J382)))</f>
        <v/>
      </c>
      <c r="F382" s="6" t="str">
        <f>IF($J382=0,"",IF(INDEX(Datos!$N$2:$N$1000,$J382)="","",INDEX(Datos!$N$2:$N$1000,$J382)))</f>
        <v/>
      </c>
      <c r="G382" s="8" t="str">
        <f>IF($J382=0,"",IF(INDEX(Datos!$M$2:$M$1000,$J382)="","",INDEX(Datos!$M$2:$M$1000,$J382)))</f>
        <v/>
      </c>
      <c r="H382" s="6" t="str">
        <f>IF($J382=0,"",INDEX(Datos!$J$2:$J$1000,$J382)&amp;IF(INDEX(Datos!$Q$2:$Q$1000,$J382)="",""," | "&amp;INDEX(Datos!$Q$2:$Q$1000,$J382)))</f>
        <v/>
      </c>
      <c r="J382">
        <f>IFERROR(MATCH(ROW()-17,Datos!$W$2:$W$1000,0),0)</f>
        <v>0</v>
      </c>
    </row>
    <row r="383" spans="1:10" ht="82" customHeight="1" x14ac:dyDescent="0.35">
      <c r="A383" s="4" t="str">
        <f>IF($J383=0,"",IF(INDEX(Datos!$A$2:$A$1000,$J383)="","",INDEX(Datos!$A$2:$A$1000,$J383)))</f>
        <v/>
      </c>
      <c r="B383" s="5" t="str">
        <f>IF($J383=0,"",IF(INDEX(Datos!$E$2:$E$1000,$J383)="","",INDEX(Datos!$E$2:$E$1000,$J383)))</f>
        <v/>
      </c>
      <c r="C383" s="5" t="str">
        <f>IF($J383=0,"",IF(INDEX(Datos!$I$2:$I$1000,$J383)="","",INDEX(Datos!$I$2:$I$1000,$J383)))</f>
        <v/>
      </c>
      <c r="D383" s="6" t="str">
        <f>IF($J383=0,"",IF(INDEX(Datos!$F$2:$F$1000,$J383)="","",INDEX(Datos!$F$2:$F$1000,$J383)))</f>
        <v/>
      </c>
      <c r="E383" s="7" t="str">
        <f>IF($J383=0,"",IF(INDEX(Datos!$H$2:$H$1000,$J383)="","",INDEX(Datos!$H$2:$H$1000,$J383)))</f>
        <v/>
      </c>
      <c r="F383" s="6" t="str">
        <f>IF($J383=0,"",IF(INDEX(Datos!$N$2:$N$1000,$J383)="","",INDEX(Datos!$N$2:$N$1000,$J383)))</f>
        <v/>
      </c>
      <c r="G383" s="8" t="str">
        <f>IF($J383=0,"",IF(INDEX(Datos!$M$2:$M$1000,$J383)="","",INDEX(Datos!$M$2:$M$1000,$J383)))</f>
        <v/>
      </c>
      <c r="H383" s="6" t="str">
        <f>IF($J383=0,"",INDEX(Datos!$J$2:$J$1000,$J383)&amp;IF(INDEX(Datos!$Q$2:$Q$1000,$J383)="",""," | "&amp;INDEX(Datos!$Q$2:$Q$1000,$J383)))</f>
        <v/>
      </c>
      <c r="J383">
        <f>IFERROR(MATCH(ROW()-17,Datos!$W$2:$W$1000,0),0)</f>
        <v>0</v>
      </c>
    </row>
    <row r="384" spans="1:10" ht="82" customHeight="1" x14ac:dyDescent="0.35">
      <c r="A384" s="4" t="str">
        <f>IF($J384=0,"",IF(INDEX(Datos!$A$2:$A$1000,$J384)="","",INDEX(Datos!$A$2:$A$1000,$J384)))</f>
        <v/>
      </c>
      <c r="B384" s="5" t="str">
        <f>IF($J384=0,"",IF(INDEX(Datos!$E$2:$E$1000,$J384)="","",INDEX(Datos!$E$2:$E$1000,$J384)))</f>
        <v/>
      </c>
      <c r="C384" s="5" t="str">
        <f>IF($J384=0,"",IF(INDEX(Datos!$I$2:$I$1000,$J384)="","",INDEX(Datos!$I$2:$I$1000,$J384)))</f>
        <v/>
      </c>
      <c r="D384" s="6" t="str">
        <f>IF($J384=0,"",IF(INDEX(Datos!$F$2:$F$1000,$J384)="","",INDEX(Datos!$F$2:$F$1000,$J384)))</f>
        <v/>
      </c>
      <c r="E384" s="7" t="str">
        <f>IF($J384=0,"",IF(INDEX(Datos!$H$2:$H$1000,$J384)="","",INDEX(Datos!$H$2:$H$1000,$J384)))</f>
        <v/>
      </c>
      <c r="F384" s="6" t="str">
        <f>IF($J384=0,"",IF(INDEX(Datos!$N$2:$N$1000,$J384)="","",INDEX(Datos!$N$2:$N$1000,$J384)))</f>
        <v/>
      </c>
      <c r="G384" s="8" t="str">
        <f>IF($J384=0,"",IF(INDEX(Datos!$M$2:$M$1000,$J384)="","",INDEX(Datos!$M$2:$M$1000,$J384)))</f>
        <v/>
      </c>
      <c r="H384" s="6" t="str">
        <f>IF($J384=0,"",INDEX(Datos!$J$2:$J$1000,$J384)&amp;IF(INDEX(Datos!$Q$2:$Q$1000,$J384)="",""," | "&amp;INDEX(Datos!$Q$2:$Q$1000,$J384)))</f>
        <v/>
      </c>
      <c r="J384">
        <f>IFERROR(MATCH(ROW()-17,Datos!$W$2:$W$1000,0),0)</f>
        <v>0</v>
      </c>
    </row>
    <row r="385" spans="1:10" ht="82" customHeight="1" x14ac:dyDescent="0.35">
      <c r="A385" s="4" t="str">
        <f>IF($J385=0,"",IF(INDEX(Datos!$A$2:$A$1000,$J385)="","",INDEX(Datos!$A$2:$A$1000,$J385)))</f>
        <v/>
      </c>
      <c r="B385" s="5" t="str">
        <f>IF($J385=0,"",IF(INDEX(Datos!$E$2:$E$1000,$J385)="","",INDEX(Datos!$E$2:$E$1000,$J385)))</f>
        <v/>
      </c>
      <c r="C385" s="5" t="str">
        <f>IF($J385=0,"",IF(INDEX(Datos!$I$2:$I$1000,$J385)="","",INDEX(Datos!$I$2:$I$1000,$J385)))</f>
        <v/>
      </c>
      <c r="D385" s="6" t="str">
        <f>IF($J385=0,"",IF(INDEX(Datos!$F$2:$F$1000,$J385)="","",INDEX(Datos!$F$2:$F$1000,$J385)))</f>
        <v/>
      </c>
      <c r="E385" s="7" t="str">
        <f>IF($J385=0,"",IF(INDEX(Datos!$H$2:$H$1000,$J385)="","",INDEX(Datos!$H$2:$H$1000,$J385)))</f>
        <v/>
      </c>
      <c r="F385" s="6" t="str">
        <f>IF($J385=0,"",IF(INDEX(Datos!$N$2:$N$1000,$J385)="","",INDEX(Datos!$N$2:$N$1000,$J385)))</f>
        <v/>
      </c>
      <c r="G385" s="8" t="str">
        <f>IF($J385=0,"",IF(INDEX(Datos!$M$2:$M$1000,$J385)="","",INDEX(Datos!$M$2:$M$1000,$J385)))</f>
        <v/>
      </c>
      <c r="H385" s="6" t="str">
        <f>IF($J385=0,"",INDEX(Datos!$J$2:$J$1000,$J385)&amp;IF(INDEX(Datos!$Q$2:$Q$1000,$J385)="",""," | "&amp;INDEX(Datos!$Q$2:$Q$1000,$J385)))</f>
        <v/>
      </c>
      <c r="J385">
        <f>IFERROR(MATCH(ROW()-17,Datos!$W$2:$W$1000,0),0)</f>
        <v>0</v>
      </c>
    </row>
    <row r="386" spans="1:10" ht="82" customHeight="1" x14ac:dyDescent="0.35">
      <c r="A386" s="4" t="str">
        <f>IF($J386=0,"",IF(INDEX(Datos!$A$2:$A$1000,$J386)="","",INDEX(Datos!$A$2:$A$1000,$J386)))</f>
        <v/>
      </c>
      <c r="B386" s="5" t="str">
        <f>IF($J386=0,"",IF(INDEX(Datos!$E$2:$E$1000,$J386)="","",INDEX(Datos!$E$2:$E$1000,$J386)))</f>
        <v/>
      </c>
      <c r="C386" s="5" t="str">
        <f>IF($J386=0,"",IF(INDEX(Datos!$I$2:$I$1000,$J386)="","",INDEX(Datos!$I$2:$I$1000,$J386)))</f>
        <v/>
      </c>
      <c r="D386" s="6" t="str">
        <f>IF($J386=0,"",IF(INDEX(Datos!$F$2:$F$1000,$J386)="","",INDEX(Datos!$F$2:$F$1000,$J386)))</f>
        <v/>
      </c>
      <c r="E386" s="7" t="str">
        <f>IF($J386=0,"",IF(INDEX(Datos!$H$2:$H$1000,$J386)="","",INDEX(Datos!$H$2:$H$1000,$J386)))</f>
        <v/>
      </c>
      <c r="F386" s="6" t="str">
        <f>IF($J386=0,"",IF(INDEX(Datos!$N$2:$N$1000,$J386)="","",INDEX(Datos!$N$2:$N$1000,$J386)))</f>
        <v/>
      </c>
      <c r="G386" s="8" t="str">
        <f>IF($J386=0,"",IF(INDEX(Datos!$M$2:$M$1000,$J386)="","",INDEX(Datos!$M$2:$M$1000,$J386)))</f>
        <v/>
      </c>
      <c r="H386" s="6" t="str">
        <f>IF($J386=0,"",INDEX(Datos!$J$2:$J$1000,$J386)&amp;IF(INDEX(Datos!$Q$2:$Q$1000,$J386)="",""," | "&amp;INDEX(Datos!$Q$2:$Q$1000,$J386)))</f>
        <v/>
      </c>
      <c r="J386">
        <f>IFERROR(MATCH(ROW()-17,Datos!$W$2:$W$1000,0),0)</f>
        <v>0</v>
      </c>
    </row>
    <row r="387" spans="1:10" ht="82" customHeight="1" x14ac:dyDescent="0.35">
      <c r="A387" s="4" t="str">
        <f>IF($J387=0,"",IF(INDEX(Datos!$A$2:$A$1000,$J387)="","",INDEX(Datos!$A$2:$A$1000,$J387)))</f>
        <v/>
      </c>
      <c r="B387" s="5" t="str">
        <f>IF($J387=0,"",IF(INDEX(Datos!$E$2:$E$1000,$J387)="","",INDEX(Datos!$E$2:$E$1000,$J387)))</f>
        <v/>
      </c>
      <c r="C387" s="5" t="str">
        <f>IF($J387=0,"",IF(INDEX(Datos!$I$2:$I$1000,$J387)="","",INDEX(Datos!$I$2:$I$1000,$J387)))</f>
        <v/>
      </c>
      <c r="D387" s="6" t="str">
        <f>IF($J387=0,"",IF(INDEX(Datos!$F$2:$F$1000,$J387)="","",INDEX(Datos!$F$2:$F$1000,$J387)))</f>
        <v/>
      </c>
      <c r="E387" s="7" t="str">
        <f>IF($J387=0,"",IF(INDEX(Datos!$H$2:$H$1000,$J387)="","",INDEX(Datos!$H$2:$H$1000,$J387)))</f>
        <v/>
      </c>
      <c r="F387" s="6" t="str">
        <f>IF($J387=0,"",IF(INDEX(Datos!$N$2:$N$1000,$J387)="","",INDEX(Datos!$N$2:$N$1000,$J387)))</f>
        <v/>
      </c>
      <c r="G387" s="8" t="str">
        <f>IF($J387=0,"",IF(INDEX(Datos!$M$2:$M$1000,$J387)="","",INDEX(Datos!$M$2:$M$1000,$J387)))</f>
        <v/>
      </c>
      <c r="H387" s="6" t="str">
        <f>IF($J387=0,"",INDEX(Datos!$J$2:$J$1000,$J387)&amp;IF(INDEX(Datos!$Q$2:$Q$1000,$J387)="",""," | "&amp;INDEX(Datos!$Q$2:$Q$1000,$J387)))</f>
        <v/>
      </c>
      <c r="J387">
        <f>IFERROR(MATCH(ROW()-17,Datos!$W$2:$W$1000,0),0)</f>
        <v>0</v>
      </c>
    </row>
    <row r="388" spans="1:10" ht="82" customHeight="1" x14ac:dyDescent="0.35">
      <c r="A388" s="4" t="str">
        <f>IF($J388=0,"",IF(INDEX(Datos!$A$2:$A$1000,$J388)="","",INDEX(Datos!$A$2:$A$1000,$J388)))</f>
        <v/>
      </c>
      <c r="B388" s="5" t="str">
        <f>IF($J388=0,"",IF(INDEX(Datos!$E$2:$E$1000,$J388)="","",INDEX(Datos!$E$2:$E$1000,$J388)))</f>
        <v/>
      </c>
      <c r="C388" s="5" t="str">
        <f>IF($J388=0,"",IF(INDEX(Datos!$I$2:$I$1000,$J388)="","",INDEX(Datos!$I$2:$I$1000,$J388)))</f>
        <v/>
      </c>
      <c r="D388" s="6" t="str">
        <f>IF($J388=0,"",IF(INDEX(Datos!$F$2:$F$1000,$J388)="","",INDEX(Datos!$F$2:$F$1000,$J388)))</f>
        <v/>
      </c>
      <c r="E388" s="7" t="str">
        <f>IF($J388=0,"",IF(INDEX(Datos!$H$2:$H$1000,$J388)="","",INDEX(Datos!$H$2:$H$1000,$J388)))</f>
        <v/>
      </c>
      <c r="F388" s="6" t="str">
        <f>IF($J388=0,"",IF(INDEX(Datos!$N$2:$N$1000,$J388)="","",INDEX(Datos!$N$2:$N$1000,$J388)))</f>
        <v/>
      </c>
      <c r="G388" s="8" t="str">
        <f>IF($J388=0,"",IF(INDEX(Datos!$M$2:$M$1000,$J388)="","",INDEX(Datos!$M$2:$M$1000,$J388)))</f>
        <v/>
      </c>
      <c r="H388" s="6" t="str">
        <f>IF($J388=0,"",INDEX(Datos!$J$2:$J$1000,$J388)&amp;IF(INDEX(Datos!$Q$2:$Q$1000,$J388)="",""," | "&amp;INDEX(Datos!$Q$2:$Q$1000,$J388)))</f>
        <v/>
      </c>
      <c r="J388">
        <f>IFERROR(MATCH(ROW()-17,Datos!$W$2:$W$1000,0),0)</f>
        <v>0</v>
      </c>
    </row>
    <row r="389" spans="1:10" ht="82" customHeight="1" x14ac:dyDescent="0.35">
      <c r="A389" s="4" t="str">
        <f>IF($J389=0,"",IF(INDEX(Datos!$A$2:$A$1000,$J389)="","",INDEX(Datos!$A$2:$A$1000,$J389)))</f>
        <v/>
      </c>
      <c r="B389" s="5" t="str">
        <f>IF($J389=0,"",IF(INDEX(Datos!$E$2:$E$1000,$J389)="","",INDEX(Datos!$E$2:$E$1000,$J389)))</f>
        <v/>
      </c>
      <c r="C389" s="5" t="str">
        <f>IF($J389=0,"",IF(INDEX(Datos!$I$2:$I$1000,$J389)="","",INDEX(Datos!$I$2:$I$1000,$J389)))</f>
        <v/>
      </c>
      <c r="D389" s="6" t="str">
        <f>IF($J389=0,"",IF(INDEX(Datos!$F$2:$F$1000,$J389)="","",INDEX(Datos!$F$2:$F$1000,$J389)))</f>
        <v/>
      </c>
      <c r="E389" s="7" t="str">
        <f>IF($J389=0,"",IF(INDEX(Datos!$H$2:$H$1000,$J389)="","",INDEX(Datos!$H$2:$H$1000,$J389)))</f>
        <v/>
      </c>
      <c r="F389" s="6" t="str">
        <f>IF($J389=0,"",IF(INDEX(Datos!$N$2:$N$1000,$J389)="","",INDEX(Datos!$N$2:$N$1000,$J389)))</f>
        <v/>
      </c>
      <c r="G389" s="8" t="str">
        <f>IF($J389=0,"",IF(INDEX(Datos!$M$2:$M$1000,$J389)="","",INDEX(Datos!$M$2:$M$1000,$J389)))</f>
        <v/>
      </c>
      <c r="H389" s="6" t="str">
        <f>IF($J389=0,"",INDEX(Datos!$J$2:$J$1000,$J389)&amp;IF(INDEX(Datos!$Q$2:$Q$1000,$J389)="",""," | "&amp;INDEX(Datos!$Q$2:$Q$1000,$J389)))</f>
        <v/>
      </c>
      <c r="J389">
        <f>IFERROR(MATCH(ROW()-17,Datos!$W$2:$W$1000,0),0)</f>
        <v>0</v>
      </c>
    </row>
    <row r="390" spans="1:10" ht="82" customHeight="1" x14ac:dyDescent="0.35">
      <c r="A390" s="4" t="str">
        <f>IF($J390=0,"",IF(INDEX(Datos!$A$2:$A$1000,$J390)="","",INDEX(Datos!$A$2:$A$1000,$J390)))</f>
        <v/>
      </c>
      <c r="B390" s="5" t="str">
        <f>IF($J390=0,"",IF(INDEX(Datos!$E$2:$E$1000,$J390)="","",INDEX(Datos!$E$2:$E$1000,$J390)))</f>
        <v/>
      </c>
      <c r="C390" s="5" t="str">
        <f>IF($J390=0,"",IF(INDEX(Datos!$I$2:$I$1000,$J390)="","",INDEX(Datos!$I$2:$I$1000,$J390)))</f>
        <v/>
      </c>
      <c r="D390" s="6" t="str">
        <f>IF($J390=0,"",IF(INDEX(Datos!$F$2:$F$1000,$J390)="","",INDEX(Datos!$F$2:$F$1000,$J390)))</f>
        <v/>
      </c>
      <c r="E390" s="7" t="str">
        <f>IF($J390=0,"",IF(INDEX(Datos!$H$2:$H$1000,$J390)="","",INDEX(Datos!$H$2:$H$1000,$J390)))</f>
        <v/>
      </c>
      <c r="F390" s="6" t="str">
        <f>IF($J390=0,"",IF(INDEX(Datos!$N$2:$N$1000,$J390)="","",INDEX(Datos!$N$2:$N$1000,$J390)))</f>
        <v/>
      </c>
      <c r="G390" s="8" t="str">
        <f>IF($J390=0,"",IF(INDEX(Datos!$M$2:$M$1000,$J390)="","",INDEX(Datos!$M$2:$M$1000,$J390)))</f>
        <v/>
      </c>
      <c r="H390" s="6" t="str">
        <f>IF($J390=0,"",INDEX(Datos!$J$2:$J$1000,$J390)&amp;IF(INDEX(Datos!$Q$2:$Q$1000,$J390)="",""," | "&amp;INDEX(Datos!$Q$2:$Q$1000,$J390)))</f>
        <v/>
      </c>
      <c r="J390">
        <f>IFERROR(MATCH(ROW()-17,Datos!$W$2:$W$1000,0),0)</f>
        <v>0</v>
      </c>
    </row>
    <row r="391" spans="1:10" ht="82" customHeight="1" x14ac:dyDescent="0.35">
      <c r="A391" s="4" t="str">
        <f>IF($J391=0,"",IF(INDEX(Datos!$A$2:$A$1000,$J391)="","",INDEX(Datos!$A$2:$A$1000,$J391)))</f>
        <v/>
      </c>
      <c r="B391" s="5" t="str">
        <f>IF($J391=0,"",IF(INDEX(Datos!$E$2:$E$1000,$J391)="","",INDEX(Datos!$E$2:$E$1000,$J391)))</f>
        <v/>
      </c>
      <c r="C391" s="5" t="str">
        <f>IF($J391=0,"",IF(INDEX(Datos!$I$2:$I$1000,$J391)="","",INDEX(Datos!$I$2:$I$1000,$J391)))</f>
        <v/>
      </c>
      <c r="D391" s="6" t="str">
        <f>IF($J391=0,"",IF(INDEX(Datos!$F$2:$F$1000,$J391)="","",INDEX(Datos!$F$2:$F$1000,$J391)))</f>
        <v/>
      </c>
      <c r="E391" s="7" t="str">
        <f>IF($J391=0,"",IF(INDEX(Datos!$H$2:$H$1000,$J391)="","",INDEX(Datos!$H$2:$H$1000,$J391)))</f>
        <v/>
      </c>
      <c r="F391" s="6" t="str">
        <f>IF($J391=0,"",IF(INDEX(Datos!$N$2:$N$1000,$J391)="","",INDEX(Datos!$N$2:$N$1000,$J391)))</f>
        <v/>
      </c>
      <c r="G391" s="8" t="str">
        <f>IF($J391=0,"",IF(INDEX(Datos!$M$2:$M$1000,$J391)="","",INDEX(Datos!$M$2:$M$1000,$J391)))</f>
        <v/>
      </c>
      <c r="H391" s="6" t="str">
        <f>IF($J391=0,"",INDEX(Datos!$J$2:$J$1000,$J391)&amp;IF(INDEX(Datos!$Q$2:$Q$1000,$J391)="",""," | "&amp;INDEX(Datos!$Q$2:$Q$1000,$J391)))</f>
        <v/>
      </c>
      <c r="J391">
        <f>IFERROR(MATCH(ROW()-17,Datos!$W$2:$W$1000,0),0)</f>
        <v>0</v>
      </c>
    </row>
    <row r="392" spans="1:10" ht="82" customHeight="1" x14ac:dyDescent="0.35">
      <c r="A392" s="4" t="str">
        <f>IF($J392=0,"",IF(INDEX(Datos!$A$2:$A$1000,$J392)="","",INDEX(Datos!$A$2:$A$1000,$J392)))</f>
        <v/>
      </c>
      <c r="B392" s="5" t="str">
        <f>IF($J392=0,"",IF(INDEX(Datos!$E$2:$E$1000,$J392)="","",INDEX(Datos!$E$2:$E$1000,$J392)))</f>
        <v/>
      </c>
      <c r="C392" s="5" t="str">
        <f>IF($J392=0,"",IF(INDEX(Datos!$I$2:$I$1000,$J392)="","",INDEX(Datos!$I$2:$I$1000,$J392)))</f>
        <v/>
      </c>
      <c r="D392" s="6" t="str">
        <f>IF($J392=0,"",IF(INDEX(Datos!$F$2:$F$1000,$J392)="","",INDEX(Datos!$F$2:$F$1000,$J392)))</f>
        <v/>
      </c>
      <c r="E392" s="7" t="str">
        <f>IF($J392=0,"",IF(INDEX(Datos!$H$2:$H$1000,$J392)="","",INDEX(Datos!$H$2:$H$1000,$J392)))</f>
        <v/>
      </c>
      <c r="F392" s="6" t="str">
        <f>IF($J392=0,"",IF(INDEX(Datos!$N$2:$N$1000,$J392)="","",INDEX(Datos!$N$2:$N$1000,$J392)))</f>
        <v/>
      </c>
      <c r="G392" s="8" t="str">
        <f>IF($J392=0,"",IF(INDEX(Datos!$M$2:$M$1000,$J392)="","",INDEX(Datos!$M$2:$M$1000,$J392)))</f>
        <v/>
      </c>
      <c r="H392" s="6" t="str">
        <f>IF($J392=0,"",INDEX(Datos!$J$2:$J$1000,$J392)&amp;IF(INDEX(Datos!$Q$2:$Q$1000,$J392)="",""," | "&amp;INDEX(Datos!$Q$2:$Q$1000,$J392)))</f>
        <v/>
      </c>
      <c r="J392">
        <f>IFERROR(MATCH(ROW()-17,Datos!$W$2:$W$1000,0),0)</f>
        <v>0</v>
      </c>
    </row>
    <row r="393" spans="1:10" ht="82" customHeight="1" x14ac:dyDescent="0.35">
      <c r="A393" s="4" t="str">
        <f>IF($J393=0,"",IF(INDEX(Datos!$A$2:$A$1000,$J393)="","",INDEX(Datos!$A$2:$A$1000,$J393)))</f>
        <v/>
      </c>
      <c r="B393" s="5" t="str">
        <f>IF($J393=0,"",IF(INDEX(Datos!$E$2:$E$1000,$J393)="","",INDEX(Datos!$E$2:$E$1000,$J393)))</f>
        <v/>
      </c>
      <c r="C393" s="5" t="str">
        <f>IF($J393=0,"",IF(INDEX(Datos!$I$2:$I$1000,$J393)="","",INDEX(Datos!$I$2:$I$1000,$J393)))</f>
        <v/>
      </c>
      <c r="D393" s="6" t="str">
        <f>IF($J393=0,"",IF(INDEX(Datos!$F$2:$F$1000,$J393)="","",INDEX(Datos!$F$2:$F$1000,$J393)))</f>
        <v/>
      </c>
      <c r="E393" s="7" t="str">
        <f>IF($J393=0,"",IF(INDEX(Datos!$H$2:$H$1000,$J393)="","",INDEX(Datos!$H$2:$H$1000,$J393)))</f>
        <v/>
      </c>
      <c r="F393" s="6" t="str">
        <f>IF($J393=0,"",IF(INDEX(Datos!$N$2:$N$1000,$J393)="","",INDEX(Datos!$N$2:$N$1000,$J393)))</f>
        <v/>
      </c>
      <c r="G393" s="8" t="str">
        <f>IF($J393=0,"",IF(INDEX(Datos!$M$2:$M$1000,$J393)="","",INDEX(Datos!$M$2:$M$1000,$J393)))</f>
        <v/>
      </c>
      <c r="H393" s="6" t="str">
        <f>IF($J393=0,"",INDEX(Datos!$J$2:$J$1000,$J393)&amp;IF(INDEX(Datos!$Q$2:$Q$1000,$J393)="",""," | "&amp;INDEX(Datos!$Q$2:$Q$1000,$J393)))</f>
        <v/>
      </c>
      <c r="J393">
        <f>IFERROR(MATCH(ROW()-17,Datos!$W$2:$W$1000,0),0)</f>
        <v>0</v>
      </c>
    </row>
    <row r="394" spans="1:10" ht="82" customHeight="1" x14ac:dyDescent="0.35">
      <c r="A394" s="4" t="str">
        <f>IF($J394=0,"",IF(INDEX(Datos!$A$2:$A$1000,$J394)="","",INDEX(Datos!$A$2:$A$1000,$J394)))</f>
        <v/>
      </c>
      <c r="B394" s="5" t="str">
        <f>IF($J394=0,"",IF(INDEX(Datos!$E$2:$E$1000,$J394)="","",INDEX(Datos!$E$2:$E$1000,$J394)))</f>
        <v/>
      </c>
      <c r="C394" s="5" t="str">
        <f>IF($J394=0,"",IF(INDEX(Datos!$I$2:$I$1000,$J394)="","",INDEX(Datos!$I$2:$I$1000,$J394)))</f>
        <v/>
      </c>
      <c r="D394" s="6" t="str">
        <f>IF($J394=0,"",IF(INDEX(Datos!$F$2:$F$1000,$J394)="","",INDEX(Datos!$F$2:$F$1000,$J394)))</f>
        <v/>
      </c>
      <c r="E394" s="7" t="str">
        <f>IF($J394=0,"",IF(INDEX(Datos!$H$2:$H$1000,$J394)="","",INDEX(Datos!$H$2:$H$1000,$J394)))</f>
        <v/>
      </c>
      <c r="F394" s="6" t="str">
        <f>IF($J394=0,"",IF(INDEX(Datos!$N$2:$N$1000,$J394)="","",INDEX(Datos!$N$2:$N$1000,$J394)))</f>
        <v/>
      </c>
      <c r="G394" s="8" t="str">
        <f>IF($J394=0,"",IF(INDEX(Datos!$M$2:$M$1000,$J394)="","",INDEX(Datos!$M$2:$M$1000,$J394)))</f>
        <v/>
      </c>
      <c r="H394" s="6" t="str">
        <f>IF($J394=0,"",INDEX(Datos!$J$2:$J$1000,$J394)&amp;IF(INDEX(Datos!$Q$2:$Q$1000,$J394)="",""," | "&amp;INDEX(Datos!$Q$2:$Q$1000,$J394)))</f>
        <v/>
      </c>
      <c r="J394">
        <f>IFERROR(MATCH(ROW()-17,Datos!$W$2:$W$1000,0),0)</f>
        <v>0</v>
      </c>
    </row>
    <row r="395" spans="1:10" ht="82" customHeight="1" x14ac:dyDescent="0.35">
      <c r="A395" s="4" t="str">
        <f>IF($J395=0,"",IF(INDEX(Datos!$A$2:$A$1000,$J395)="","",INDEX(Datos!$A$2:$A$1000,$J395)))</f>
        <v/>
      </c>
      <c r="B395" s="5" t="str">
        <f>IF($J395=0,"",IF(INDEX(Datos!$E$2:$E$1000,$J395)="","",INDEX(Datos!$E$2:$E$1000,$J395)))</f>
        <v/>
      </c>
      <c r="C395" s="5" t="str">
        <f>IF($J395=0,"",IF(INDEX(Datos!$I$2:$I$1000,$J395)="","",INDEX(Datos!$I$2:$I$1000,$J395)))</f>
        <v/>
      </c>
      <c r="D395" s="6" t="str">
        <f>IF($J395=0,"",IF(INDEX(Datos!$F$2:$F$1000,$J395)="","",INDEX(Datos!$F$2:$F$1000,$J395)))</f>
        <v/>
      </c>
      <c r="E395" s="7" t="str">
        <f>IF($J395=0,"",IF(INDEX(Datos!$H$2:$H$1000,$J395)="","",INDEX(Datos!$H$2:$H$1000,$J395)))</f>
        <v/>
      </c>
      <c r="F395" s="6" t="str">
        <f>IF($J395=0,"",IF(INDEX(Datos!$N$2:$N$1000,$J395)="","",INDEX(Datos!$N$2:$N$1000,$J395)))</f>
        <v/>
      </c>
      <c r="G395" s="8" t="str">
        <f>IF($J395=0,"",IF(INDEX(Datos!$M$2:$M$1000,$J395)="","",INDEX(Datos!$M$2:$M$1000,$J395)))</f>
        <v/>
      </c>
      <c r="H395" s="6" t="str">
        <f>IF($J395=0,"",INDEX(Datos!$J$2:$J$1000,$J395)&amp;IF(INDEX(Datos!$Q$2:$Q$1000,$J395)="",""," | "&amp;INDEX(Datos!$Q$2:$Q$1000,$J395)))</f>
        <v/>
      </c>
      <c r="J395">
        <f>IFERROR(MATCH(ROW()-17,Datos!$W$2:$W$1000,0),0)</f>
        <v>0</v>
      </c>
    </row>
    <row r="396" spans="1:10" ht="82" customHeight="1" x14ac:dyDescent="0.35">
      <c r="A396" s="4" t="str">
        <f>IF($J396=0,"",IF(INDEX(Datos!$A$2:$A$1000,$J396)="","",INDEX(Datos!$A$2:$A$1000,$J396)))</f>
        <v/>
      </c>
      <c r="B396" s="5" t="str">
        <f>IF($J396=0,"",IF(INDEX(Datos!$E$2:$E$1000,$J396)="","",INDEX(Datos!$E$2:$E$1000,$J396)))</f>
        <v/>
      </c>
      <c r="C396" s="5" t="str">
        <f>IF($J396=0,"",IF(INDEX(Datos!$I$2:$I$1000,$J396)="","",INDEX(Datos!$I$2:$I$1000,$J396)))</f>
        <v/>
      </c>
      <c r="D396" s="6" t="str">
        <f>IF($J396=0,"",IF(INDEX(Datos!$F$2:$F$1000,$J396)="","",INDEX(Datos!$F$2:$F$1000,$J396)))</f>
        <v/>
      </c>
      <c r="E396" s="7" t="str">
        <f>IF($J396=0,"",IF(INDEX(Datos!$H$2:$H$1000,$J396)="","",INDEX(Datos!$H$2:$H$1000,$J396)))</f>
        <v/>
      </c>
      <c r="F396" s="6" t="str">
        <f>IF($J396=0,"",IF(INDEX(Datos!$N$2:$N$1000,$J396)="","",INDEX(Datos!$N$2:$N$1000,$J396)))</f>
        <v/>
      </c>
      <c r="G396" s="8" t="str">
        <f>IF($J396=0,"",IF(INDEX(Datos!$M$2:$M$1000,$J396)="","",INDEX(Datos!$M$2:$M$1000,$J396)))</f>
        <v/>
      </c>
      <c r="H396" s="6" t="str">
        <f>IF($J396=0,"",INDEX(Datos!$J$2:$J$1000,$J396)&amp;IF(INDEX(Datos!$Q$2:$Q$1000,$J396)="",""," | "&amp;INDEX(Datos!$Q$2:$Q$1000,$J396)))</f>
        <v/>
      </c>
      <c r="J396">
        <f>IFERROR(MATCH(ROW()-17,Datos!$W$2:$W$1000,0),0)</f>
        <v>0</v>
      </c>
    </row>
    <row r="397" spans="1:10" ht="82" customHeight="1" x14ac:dyDescent="0.35">
      <c r="A397" s="4" t="str">
        <f>IF($J397=0,"",IF(INDEX(Datos!$A$2:$A$1000,$J397)="","",INDEX(Datos!$A$2:$A$1000,$J397)))</f>
        <v/>
      </c>
      <c r="B397" s="5" t="str">
        <f>IF($J397=0,"",IF(INDEX(Datos!$E$2:$E$1000,$J397)="","",INDEX(Datos!$E$2:$E$1000,$J397)))</f>
        <v/>
      </c>
      <c r="C397" s="5" t="str">
        <f>IF($J397=0,"",IF(INDEX(Datos!$I$2:$I$1000,$J397)="","",INDEX(Datos!$I$2:$I$1000,$J397)))</f>
        <v/>
      </c>
      <c r="D397" s="6" t="str">
        <f>IF($J397=0,"",IF(INDEX(Datos!$F$2:$F$1000,$J397)="","",INDEX(Datos!$F$2:$F$1000,$J397)))</f>
        <v/>
      </c>
      <c r="E397" s="7" t="str">
        <f>IF($J397=0,"",IF(INDEX(Datos!$H$2:$H$1000,$J397)="","",INDEX(Datos!$H$2:$H$1000,$J397)))</f>
        <v/>
      </c>
      <c r="F397" s="6" t="str">
        <f>IF($J397=0,"",IF(INDEX(Datos!$N$2:$N$1000,$J397)="","",INDEX(Datos!$N$2:$N$1000,$J397)))</f>
        <v/>
      </c>
      <c r="G397" s="8" t="str">
        <f>IF($J397=0,"",IF(INDEX(Datos!$M$2:$M$1000,$J397)="","",INDEX(Datos!$M$2:$M$1000,$J397)))</f>
        <v/>
      </c>
      <c r="H397" s="6" t="str">
        <f>IF($J397=0,"",INDEX(Datos!$J$2:$J$1000,$J397)&amp;IF(INDEX(Datos!$Q$2:$Q$1000,$J397)="",""," | "&amp;INDEX(Datos!$Q$2:$Q$1000,$J397)))</f>
        <v/>
      </c>
      <c r="J397">
        <f>IFERROR(MATCH(ROW()-17,Datos!$W$2:$W$1000,0),0)</f>
        <v>0</v>
      </c>
    </row>
    <row r="398" spans="1:10" ht="82" customHeight="1" x14ac:dyDescent="0.35">
      <c r="A398" s="4" t="str">
        <f>IF($J398=0,"",IF(INDEX(Datos!$A$2:$A$1000,$J398)="","",INDEX(Datos!$A$2:$A$1000,$J398)))</f>
        <v/>
      </c>
      <c r="B398" s="5" t="str">
        <f>IF($J398=0,"",IF(INDEX(Datos!$E$2:$E$1000,$J398)="","",INDEX(Datos!$E$2:$E$1000,$J398)))</f>
        <v/>
      </c>
      <c r="C398" s="5" t="str">
        <f>IF($J398=0,"",IF(INDEX(Datos!$I$2:$I$1000,$J398)="","",INDEX(Datos!$I$2:$I$1000,$J398)))</f>
        <v/>
      </c>
      <c r="D398" s="6" t="str">
        <f>IF($J398=0,"",IF(INDEX(Datos!$F$2:$F$1000,$J398)="","",INDEX(Datos!$F$2:$F$1000,$J398)))</f>
        <v/>
      </c>
      <c r="E398" s="7" t="str">
        <f>IF($J398=0,"",IF(INDEX(Datos!$H$2:$H$1000,$J398)="","",INDEX(Datos!$H$2:$H$1000,$J398)))</f>
        <v/>
      </c>
      <c r="F398" s="6" t="str">
        <f>IF($J398=0,"",IF(INDEX(Datos!$N$2:$N$1000,$J398)="","",INDEX(Datos!$N$2:$N$1000,$J398)))</f>
        <v/>
      </c>
      <c r="G398" s="8" t="str">
        <f>IF($J398=0,"",IF(INDEX(Datos!$M$2:$M$1000,$J398)="","",INDEX(Datos!$M$2:$M$1000,$J398)))</f>
        <v/>
      </c>
      <c r="H398" s="6" t="str">
        <f>IF($J398=0,"",INDEX(Datos!$J$2:$J$1000,$J398)&amp;IF(INDEX(Datos!$Q$2:$Q$1000,$J398)="",""," | "&amp;INDEX(Datos!$Q$2:$Q$1000,$J398)))</f>
        <v/>
      </c>
      <c r="J398">
        <f>IFERROR(MATCH(ROW()-17,Datos!$W$2:$W$1000,0),0)</f>
        <v>0</v>
      </c>
    </row>
    <row r="399" spans="1:10" ht="82" customHeight="1" x14ac:dyDescent="0.35">
      <c r="A399" s="4" t="str">
        <f>IF($J399=0,"",IF(INDEX(Datos!$A$2:$A$1000,$J399)="","",INDEX(Datos!$A$2:$A$1000,$J399)))</f>
        <v/>
      </c>
      <c r="B399" s="5" t="str">
        <f>IF($J399=0,"",IF(INDEX(Datos!$E$2:$E$1000,$J399)="","",INDEX(Datos!$E$2:$E$1000,$J399)))</f>
        <v/>
      </c>
      <c r="C399" s="5" t="str">
        <f>IF($J399=0,"",IF(INDEX(Datos!$I$2:$I$1000,$J399)="","",INDEX(Datos!$I$2:$I$1000,$J399)))</f>
        <v/>
      </c>
      <c r="D399" s="6" t="str">
        <f>IF($J399=0,"",IF(INDEX(Datos!$F$2:$F$1000,$J399)="","",INDEX(Datos!$F$2:$F$1000,$J399)))</f>
        <v/>
      </c>
      <c r="E399" s="7" t="str">
        <f>IF($J399=0,"",IF(INDEX(Datos!$H$2:$H$1000,$J399)="","",INDEX(Datos!$H$2:$H$1000,$J399)))</f>
        <v/>
      </c>
      <c r="F399" s="6" t="str">
        <f>IF($J399=0,"",IF(INDEX(Datos!$N$2:$N$1000,$J399)="","",INDEX(Datos!$N$2:$N$1000,$J399)))</f>
        <v/>
      </c>
      <c r="G399" s="8" t="str">
        <f>IF($J399=0,"",IF(INDEX(Datos!$M$2:$M$1000,$J399)="","",INDEX(Datos!$M$2:$M$1000,$J399)))</f>
        <v/>
      </c>
      <c r="H399" s="6" t="str">
        <f>IF($J399=0,"",INDEX(Datos!$J$2:$J$1000,$J399)&amp;IF(INDEX(Datos!$Q$2:$Q$1000,$J399)="",""," | "&amp;INDEX(Datos!$Q$2:$Q$1000,$J399)))</f>
        <v/>
      </c>
      <c r="J399">
        <f>IFERROR(MATCH(ROW()-17,Datos!$W$2:$W$1000,0),0)</f>
        <v>0</v>
      </c>
    </row>
    <row r="400" spans="1:10" ht="82" customHeight="1" x14ac:dyDescent="0.35">
      <c r="A400" s="4" t="str">
        <f>IF($J400=0,"",IF(INDEX(Datos!$A$2:$A$1000,$J400)="","",INDEX(Datos!$A$2:$A$1000,$J400)))</f>
        <v/>
      </c>
      <c r="B400" s="5" t="str">
        <f>IF($J400=0,"",IF(INDEX(Datos!$E$2:$E$1000,$J400)="","",INDEX(Datos!$E$2:$E$1000,$J400)))</f>
        <v/>
      </c>
      <c r="C400" s="5" t="str">
        <f>IF($J400=0,"",IF(INDEX(Datos!$I$2:$I$1000,$J400)="","",INDEX(Datos!$I$2:$I$1000,$J400)))</f>
        <v/>
      </c>
      <c r="D400" s="6" t="str">
        <f>IF($J400=0,"",IF(INDEX(Datos!$F$2:$F$1000,$J400)="","",INDEX(Datos!$F$2:$F$1000,$J400)))</f>
        <v/>
      </c>
      <c r="E400" s="7" t="str">
        <f>IF($J400=0,"",IF(INDEX(Datos!$H$2:$H$1000,$J400)="","",INDEX(Datos!$H$2:$H$1000,$J400)))</f>
        <v/>
      </c>
      <c r="F400" s="6" t="str">
        <f>IF($J400=0,"",IF(INDEX(Datos!$N$2:$N$1000,$J400)="","",INDEX(Datos!$N$2:$N$1000,$J400)))</f>
        <v/>
      </c>
      <c r="G400" s="8" t="str">
        <f>IF($J400=0,"",IF(INDEX(Datos!$M$2:$M$1000,$J400)="","",INDEX(Datos!$M$2:$M$1000,$J400)))</f>
        <v/>
      </c>
      <c r="H400" s="6" t="str">
        <f>IF($J400=0,"",INDEX(Datos!$J$2:$J$1000,$J400)&amp;IF(INDEX(Datos!$Q$2:$Q$1000,$J400)="",""," | "&amp;INDEX(Datos!$Q$2:$Q$1000,$J400)))</f>
        <v/>
      </c>
      <c r="J400">
        <f>IFERROR(MATCH(ROW()-17,Datos!$W$2:$W$1000,0),0)</f>
        <v>0</v>
      </c>
    </row>
    <row r="401" spans="1:10" ht="82" customHeight="1" x14ac:dyDescent="0.35">
      <c r="A401" s="4" t="str">
        <f>IF($J401=0,"",IF(INDEX(Datos!$A$2:$A$1000,$J401)="","",INDEX(Datos!$A$2:$A$1000,$J401)))</f>
        <v/>
      </c>
      <c r="B401" s="5" t="str">
        <f>IF($J401=0,"",IF(INDEX(Datos!$E$2:$E$1000,$J401)="","",INDEX(Datos!$E$2:$E$1000,$J401)))</f>
        <v/>
      </c>
      <c r="C401" s="5" t="str">
        <f>IF($J401=0,"",IF(INDEX(Datos!$I$2:$I$1000,$J401)="","",INDEX(Datos!$I$2:$I$1000,$J401)))</f>
        <v/>
      </c>
      <c r="D401" s="6" t="str">
        <f>IF($J401=0,"",IF(INDEX(Datos!$F$2:$F$1000,$J401)="","",INDEX(Datos!$F$2:$F$1000,$J401)))</f>
        <v/>
      </c>
      <c r="E401" s="7" t="str">
        <f>IF($J401=0,"",IF(INDEX(Datos!$H$2:$H$1000,$J401)="","",INDEX(Datos!$H$2:$H$1000,$J401)))</f>
        <v/>
      </c>
      <c r="F401" s="6" t="str">
        <f>IF($J401=0,"",IF(INDEX(Datos!$N$2:$N$1000,$J401)="","",INDEX(Datos!$N$2:$N$1000,$J401)))</f>
        <v/>
      </c>
      <c r="G401" s="8" t="str">
        <f>IF($J401=0,"",IF(INDEX(Datos!$M$2:$M$1000,$J401)="","",INDEX(Datos!$M$2:$M$1000,$J401)))</f>
        <v/>
      </c>
      <c r="H401" s="6" t="str">
        <f>IF($J401=0,"",INDEX(Datos!$J$2:$J$1000,$J401)&amp;IF(INDEX(Datos!$Q$2:$Q$1000,$J401)="",""," | "&amp;INDEX(Datos!$Q$2:$Q$1000,$J401)))</f>
        <v/>
      </c>
      <c r="J401">
        <f>IFERROR(MATCH(ROW()-17,Datos!$W$2:$W$1000,0),0)</f>
        <v>0</v>
      </c>
    </row>
    <row r="402" spans="1:10" ht="82" customHeight="1" x14ac:dyDescent="0.35">
      <c r="A402" s="4" t="str">
        <f>IF($J402=0,"",IF(INDEX(Datos!$A$2:$A$1000,$J402)="","",INDEX(Datos!$A$2:$A$1000,$J402)))</f>
        <v/>
      </c>
      <c r="B402" s="5" t="str">
        <f>IF($J402=0,"",IF(INDEX(Datos!$E$2:$E$1000,$J402)="","",INDEX(Datos!$E$2:$E$1000,$J402)))</f>
        <v/>
      </c>
      <c r="C402" s="5" t="str">
        <f>IF($J402=0,"",IF(INDEX(Datos!$I$2:$I$1000,$J402)="","",INDEX(Datos!$I$2:$I$1000,$J402)))</f>
        <v/>
      </c>
      <c r="D402" s="6" t="str">
        <f>IF($J402=0,"",IF(INDEX(Datos!$F$2:$F$1000,$J402)="","",INDEX(Datos!$F$2:$F$1000,$J402)))</f>
        <v/>
      </c>
      <c r="E402" s="7" t="str">
        <f>IF($J402=0,"",IF(INDEX(Datos!$H$2:$H$1000,$J402)="","",INDEX(Datos!$H$2:$H$1000,$J402)))</f>
        <v/>
      </c>
      <c r="F402" s="6" t="str">
        <f>IF($J402=0,"",IF(INDEX(Datos!$N$2:$N$1000,$J402)="","",INDEX(Datos!$N$2:$N$1000,$J402)))</f>
        <v/>
      </c>
      <c r="G402" s="8" t="str">
        <f>IF($J402=0,"",IF(INDEX(Datos!$M$2:$M$1000,$J402)="","",INDEX(Datos!$M$2:$M$1000,$J402)))</f>
        <v/>
      </c>
      <c r="H402" s="6" t="str">
        <f>IF($J402=0,"",INDEX(Datos!$J$2:$J$1000,$J402)&amp;IF(INDEX(Datos!$Q$2:$Q$1000,$J402)="",""," | "&amp;INDEX(Datos!$Q$2:$Q$1000,$J402)))</f>
        <v/>
      </c>
      <c r="J402">
        <f>IFERROR(MATCH(ROW()-17,Datos!$W$2:$W$1000,0),0)</f>
        <v>0</v>
      </c>
    </row>
    <row r="403" spans="1:10" ht="82" customHeight="1" x14ac:dyDescent="0.35">
      <c r="A403" s="4" t="str">
        <f>IF($J403=0,"",IF(INDEX(Datos!$A$2:$A$1000,$J403)="","",INDEX(Datos!$A$2:$A$1000,$J403)))</f>
        <v/>
      </c>
      <c r="B403" s="5" t="str">
        <f>IF($J403=0,"",IF(INDEX(Datos!$E$2:$E$1000,$J403)="","",INDEX(Datos!$E$2:$E$1000,$J403)))</f>
        <v/>
      </c>
      <c r="C403" s="5" t="str">
        <f>IF($J403=0,"",IF(INDEX(Datos!$I$2:$I$1000,$J403)="","",INDEX(Datos!$I$2:$I$1000,$J403)))</f>
        <v/>
      </c>
      <c r="D403" s="6" t="str">
        <f>IF($J403=0,"",IF(INDEX(Datos!$F$2:$F$1000,$J403)="","",INDEX(Datos!$F$2:$F$1000,$J403)))</f>
        <v/>
      </c>
      <c r="E403" s="7" t="str">
        <f>IF($J403=0,"",IF(INDEX(Datos!$H$2:$H$1000,$J403)="","",INDEX(Datos!$H$2:$H$1000,$J403)))</f>
        <v/>
      </c>
      <c r="F403" s="6" t="str">
        <f>IF($J403=0,"",IF(INDEX(Datos!$N$2:$N$1000,$J403)="","",INDEX(Datos!$N$2:$N$1000,$J403)))</f>
        <v/>
      </c>
      <c r="G403" s="8" t="str">
        <f>IF($J403=0,"",IF(INDEX(Datos!$M$2:$M$1000,$J403)="","",INDEX(Datos!$M$2:$M$1000,$J403)))</f>
        <v/>
      </c>
      <c r="H403" s="6" t="str">
        <f>IF($J403=0,"",INDEX(Datos!$J$2:$J$1000,$J403)&amp;IF(INDEX(Datos!$Q$2:$Q$1000,$J403)="",""," | "&amp;INDEX(Datos!$Q$2:$Q$1000,$J403)))</f>
        <v/>
      </c>
      <c r="J403">
        <f>IFERROR(MATCH(ROW()-17,Datos!$W$2:$W$1000,0),0)</f>
        <v>0</v>
      </c>
    </row>
    <row r="404" spans="1:10" ht="82" customHeight="1" x14ac:dyDescent="0.35">
      <c r="A404" s="4" t="str">
        <f>IF($J404=0,"",IF(INDEX(Datos!$A$2:$A$1000,$J404)="","",INDEX(Datos!$A$2:$A$1000,$J404)))</f>
        <v/>
      </c>
      <c r="B404" s="5" t="str">
        <f>IF($J404=0,"",IF(INDEX(Datos!$E$2:$E$1000,$J404)="","",INDEX(Datos!$E$2:$E$1000,$J404)))</f>
        <v/>
      </c>
      <c r="C404" s="5" t="str">
        <f>IF($J404=0,"",IF(INDEX(Datos!$I$2:$I$1000,$J404)="","",INDEX(Datos!$I$2:$I$1000,$J404)))</f>
        <v/>
      </c>
      <c r="D404" s="6" t="str">
        <f>IF($J404=0,"",IF(INDEX(Datos!$F$2:$F$1000,$J404)="","",INDEX(Datos!$F$2:$F$1000,$J404)))</f>
        <v/>
      </c>
      <c r="E404" s="7" t="str">
        <f>IF($J404=0,"",IF(INDEX(Datos!$H$2:$H$1000,$J404)="","",INDEX(Datos!$H$2:$H$1000,$J404)))</f>
        <v/>
      </c>
      <c r="F404" s="6" t="str">
        <f>IF($J404=0,"",IF(INDEX(Datos!$N$2:$N$1000,$J404)="","",INDEX(Datos!$N$2:$N$1000,$J404)))</f>
        <v/>
      </c>
      <c r="G404" s="8" t="str">
        <f>IF($J404=0,"",IF(INDEX(Datos!$M$2:$M$1000,$J404)="","",INDEX(Datos!$M$2:$M$1000,$J404)))</f>
        <v/>
      </c>
      <c r="H404" s="6" t="str">
        <f>IF($J404=0,"",INDEX(Datos!$J$2:$J$1000,$J404)&amp;IF(INDEX(Datos!$Q$2:$Q$1000,$J404)="",""," | "&amp;INDEX(Datos!$Q$2:$Q$1000,$J404)))</f>
        <v/>
      </c>
      <c r="J404">
        <f>IFERROR(MATCH(ROW()-17,Datos!$W$2:$W$1000,0),0)</f>
        <v>0</v>
      </c>
    </row>
    <row r="405" spans="1:10" ht="82" customHeight="1" x14ac:dyDescent="0.35">
      <c r="A405" s="4" t="str">
        <f>IF($J405=0,"",IF(INDEX(Datos!$A$2:$A$1000,$J405)="","",INDEX(Datos!$A$2:$A$1000,$J405)))</f>
        <v/>
      </c>
      <c r="B405" s="5" t="str">
        <f>IF($J405=0,"",IF(INDEX(Datos!$E$2:$E$1000,$J405)="","",INDEX(Datos!$E$2:$E$1000,$J405)))</f>
        <v/>
      </c>
      <c r="C405" s="5" t="str">
        <f>IF($J405=0,"",IF(INDEX(Datos!$I$2:$I$1000,$J405)="","",INDEX(Datos!$I$2:$I$1000,$J405)))</f>
        <v/>
      </c>
      <c r="D405" s="6" t="str">
        <f>IF($J405=0,"",IF(INDEX(Datos!$F$2:$F$1000,$J405)="","",INDEX(Datos!$F$2:$F$1000,$J405)))</f>
        <v/>
      </c>
      <c r="E405" s="7" t="str">
        <f>IF($J405=0,"",IF(INDEX(Datos!$H$2:$H$1000,$J405)="","",INDEX(Datos!$H$2:$H$1000,$J405)))</f>
        <v/>
      </c>
      <c r="F405" s="6" t="str">
        <f>IF($J405=0,"",IF(INDEX(Datos!$N$2:$N$1000,$J405)="","",INDEX(Datos!$N$2:$N$1000,$J405)))</f>
        <v/>
      </c>
      <c r="G405" s="8" t="str">
        <f>IF($J405=0,"",IF(INDEX(Datos!$M$2:$M$1000,$J405)="","",INDEX(Datos!$M$2:$M$1000,$J405)))</f>
        <v/>
      </c>
      <c r="H405" s="6" t="str">
        <f>IF($J405=0,"",INDEX(Datos!$J$2:$J$1000,$J405)&amp;IF(INDEX(Datos!$Q$2:$Q$1000,$J405)="",""," | "&amp;INDEX(Datos!$Q$2:$Q$1000,$J405)))</f>
        <v/>
      </c>
      <c r="J405">
        <f>IFERROR(MATCH(ROW()-17,Datos!$W$2:$W$1000,0),0)</f>
        <v>0</v>
      </c>
    </row>
    <row r="406" spans="1:10" ht="82" customHeight="1" x14ac:dyDescent="0.35">
      <c r="A406" s="4" t="str">
        <f>IF($J406=0,"",IF(INDEX(Datos!$A$2:$A$1000,$J406)="","",INDEX(Datos!$A$2:$A$1000,$J406)))</f>
        <v/>
      </c>
      <c r="B406" s="5" t="str">
        <f>IF($J406=0,"",IF(INDEX(Datos!$E$2:$E$1000,$J406)="","",INDEX(Datos!$E$2:$E$1000,$J406)))</f>
        <v/>
      </c>
      <c r="C406" s="5" t="str">
        <f>IF($J406=0,"",IF(INDEX(Datos!$I$2:$I$1000,$J406)="","",INDEX(Datos!$I$2:$I$1000,$J406)))</f>
        <v/>
      </c>
      <c r="D406" s="6" t="str">
        <f>IF($J406=0,"",IF(INDEX(Datos!$F$2:$F$1000,$J406)="","",INDEX(Datos!$F$2:$F$1000,$J406)))</f>
        <v/>
      </c>
      <c r="E406" s="7" t="str">
        <f>IF($J406=0,"",IF(INDEX(Datos!$H$2:$H$1000,$J406)="","",INDEX(Datos!$H$2:$H$1000,$J406)))</f>
        <v/>
      </c>
      <c r="F406" s="6" t="str">
        <f>IF($J406=0,"",IF(INDEX(Datos!$N$2:$N$1000,$J406)="","",INDEX(Datos!$N$2:$N$1000,$J406)))</f>
        <v/>
      </c>
      <c r="G406" s="8" t="str">
        <f>IF($J406=0,"",IF(INDEX(Datos!$M$2:$M$1000,$J406)="","",INDEX(Datos!$M$2:$M$1000,$J406)))</f>
        <v/>
      </c>
      <c r="H406" s="6" t="str">
        <f>IF($J406=0,"",INDEX(Datos!$J$2:$J$1000,$J406)&amp;IF(INDEX(Datos!$Q$2:$Q$1000,$J406)="",""," | "&amp;INDEX(Datos!$Q$2:$Q$1000,$J406)))</f>
        <v/>
      </c>
      <c r="J406">
        <f>IFERROR(MATCH(ROW()-17,Datos!$W$2:$W$1000,0),0)</f>
        <v>0</v>
      </c>
    </row>
    <row r="407" spans="1:10" ht="82" customHeight="1" x14ac:dyDescent="0.35">
      <c r="A407" s="4" t="str">
        <f>IF($J407=0,"",IF(INDEX(Datos!$A$2:$A$1000,$J407)="","",INDEX(Datos!$A$2:$A$1000,$J407)))</f>
        <v/>
      </c>
      <c r="B407" s="5" t="str">
        <f>IF($J407=0,"",IF(INDEX(Datos!$E$2:$E$1000,$J407)="","",INDEX(Datos!$E$2:$E$1000,$J407)))</f>
        <v/>
      </c>
      <c r="C407" s="5" t="str">
        <f>IF($J407=0,"",IF(INDEX(Datos!$I$2:$I$1000,$J407)="","",INDEX(Datos!$I$2:$I$1000,$J407)))</f>
        <v/>
      </c>
      <c r="D407" s="6" t="str">
        <f>IF($J407=0,"",IF(INDEX(Datos!$F$2:$F$1000,$J407)="","",INDEX(Datos!$F$2:$F$1000,$J407)))</f>
        <v/>
      </c>
      <c r="E407" s="7" t="str">
        <f>IF($J407=0,"",IF(INDEX(Datos!$H$2:$H$1000,$J407)="","",INDEX(Datos!$H$2:$H$1000,$J407)))</f>
        <v/>
      </c>
      <c r="F407" s="6" t="str">
        <f>IF($J407=0,"",IF(INDEX(Datos!$N$2:$N$1000,$J407)="","",INDEX(Datos!$N$2:$N$1000,$J407)))</f>
        <v/>
      </c>
      <c r="G407" s="8" t="str">
        <f>IF($J407=0,"",IF(INDEX(Datos!$M$2:$M$1000,$J407)="","",INDEX(Datos!$M$2:$M$1000,$J407)))</f>
        <v/>
      </c>
      <c r="H407" s="6" t="str">
        <f>IF($J407=0,"",INDEX(Datos!$J$2:$J$1000,$J407)&amp;IF(INDEX(Datos!$Q$2:$Q$1000,$J407)="",""," | "&amp;INDEX(Datos!$Q$2:$Q$1000,$J407)))</f>
        <v/>
      </c>
      <c r="J407">
        <f>IFERROR(MATCH(ROW()-17,Datos!$W$2:$W$1000,0),0)</f>
        <v>0</v>
      </c>
    </row>
    <row r="408" spans="1:10" ht="82" customHeight="1" x14ac:dyDescent="0.35">
      <c r="A408" s="4" t="str">
        <f>IF($J408=0,"",IF(INDEX(Datos!$A$2:$A$1000,$J408)="","",INDEX(Datos!$A$2:$A$1000,$J408)))</f>
        <v/>
      </c>
      <c r="B408" s="5" t="str">
        <f>IF($J408=0,"",IF(INDEX(Datos!$E$2:$E$1000,$J408)="","",INDEX(Datos!$E$2:$E$1000,$J408)))</f>
        <v/>
      </c>
      <c r="C408" s="5" t="str">
        <f>IF($J408=0,"",IF(INDEX(Datos!$I$2:$I$1000,$J408)="","",INDEX(Datos!$I$2:$I$1000,$J408)))</f>
        <v/>
      </c>
      <c r="D408" s="6" t="str">
        <f>IF($J408=0,"",IF(INDEX(Datos!$F$2:$F$1000,$J408)="","",INDEX(Datos!$F$2:$F$1000,$J408)))</f>
        <v/>
      </c>
      <c r="E408" s="7" t="str">
        <f>IF($J408=0,"",IF(INDEX(Datos!$H$2:$H$1000,$J408)="","",INDEX(Datos!$H$2:$H$1000,$J408)))</f>
        <v/>
      </c>
      <c r="F408" s="6" t="str">
        <f>IF($J408=0,"",IF(INDEX(Datos!$N$2:$N$1000,$J408)="","",INDEX(Datos!$N$2:$N$1000,$J408)))</f>
        <v/>
      </c>
      <c r="G408" s="8" t="str">
        <f>IF($J408=0,"",IF(INDEX(Datos!$M$2:$M$1000,$J408)="","",INDEX(Datos!$M$2:$M$1000,$J408)))</f>
        <v/>
      </c>
      <c r="H408" s="6" t="str">
        <f>IF($J408=0,"",INDEX(Datos!$J$2:$J$1000,$J408)&amp;IF(INDEX(Datos!$Q$2:$Q$1000,$J408)="",""," | "&amp;INDEX(Datos!$Q$2:$Q$1000,$J408)))</f>
        <v/>
      </c>
      <c r="J408">
        <f>IFERROR(MATCH(ROW()-17,Datos!$W$2:$W$1000,0),0)</f>
        <v>0</v>
      </c>
    </row>
    <row r="409" spans="1:10" ht="82" customHeight="1" x14ac:dyDescent="0.35">
      <c r="A409" s="4" t="str">
        <f>IF($J409=0,"",IF(INDEX(Datos!$A$2:$A$1000,$J409)="","",INDEX(Datos!$A$2:$A$1000,$J409)))</f>
        <v/>
      </c>
      <c r="B409" s="5" t="str">
        <f>IF($J409=0,"",IF(INDEX(Datos!$E$2:$E$1000,$J409)="","",INDEX(Datos!$E$2:$E$1000,$J409)))</f>
        <v/>
      </c>
      <c r="C409" s="5" t="str">
        <f>IF($J409=0,"",IF(INDEX(Datos!$I$2:$I$1000,$J409)="","",INDEX(Datos!$I$2:$I$1000,$J409)))</f>
        <v/>
      </c>
      <c r="D409" s="6" t="str">
        <f>IF($J409=0,"",IF(INDEX(Datos!$F$2:$F$1000,$J409)="","",INDEX(Datos!$F$2:$F$1000,$J409)))</f>
        <v/>
      </c>
      <c r="E409" s="7" t="str">
        <f>IF($J409=0,"",IF(INDEX(Datos!$H$2:$H$1000,$J409)="","",INDEX(Datos!$H$2:$H$1000,$J409)))</f>
        <v/>
      </c>
      <c r="F409" s="6" t="str">
        <f>IF($J409=0,"",IF(INDEX(Datos!$N$2:$N$1000,$J409)="","",INDEX(Datos!$N$2:$N$1000,$J409)))</f>
        <v/>
      </c>
      <c r="G409" s="8" t="str">
        <f>IF($J409=0,"",IF(INDEX(Datos!$M$2:$M$1000,$J409)="","",INDEX(Datos!$M$2:$M$1000,$J409)))</f>
        <v/>
      </c>
      <c r="H409" s="6" t="str">
        <f>IF($J409=0,"",INDEX(Datos!$J$2:$J$1000,$J409)&amp;IF(INDEX(Datos!$Q$2:$Q$1000,$J409)="",""," | "&amp;INDEX(Datos!$Q$2:$Q$1000,$J409)))</f>
        <v/>
      </c>
      <c r="J409">
        <f>IFERROR(MATCH(ROW()-17,Datos!$W$2:$W$1000,0),0)</f>
        <v>0</v>
      </c>
    </row>
    <row r="410" spans="1:10" ht="82" customHeight="1" x14ac:dyDescent="0.35">
      <c r="A410" s="4" t="str">
        <f>IF($J410=0,"",IF(INDEX(Datos!$A$2:$A$1000,$J410)="","",INDEX(Datos!$A$2:$A$1000,$J410)))</f>
        <v/>
      </c>
      <c r="B410" s="5" t="str">
        <f>IF($J410=0,"",IF(INDEX(Datos!$E$2:$E$1000,$J410)="","",INDEX(Datos!$E$2:$E$1000,$J410)))</f>
        <v/>
      </c>
      <c r="C410" s="5" t="str">
        <f>IF($J410=0,"",IF(INDEX(Datos!$I$2:$I$1000,$J410)="","",INDEX(Datos!$I$2:$I$1000,$J410)))</f>
        <v/>
      </c>
      <c r="D410" s="6" t="str">
        <f>IF($J410=0,"",IF(INDEX(Datos!$F$2:$F$1000,$J410)="","",INDEX(Datos!$F$2:$F$1000,$J410)))</f>
        <v/>
      </c>
      <c r="E410" s="7" t="str">
        <f>IF($J410=0,"",IF(INDEX(Datos!$H$2:$H$1000,$J410)="","",INDEX(Datos!$H$2:$H$1000,$J410)))</f>
        <v/>
      </c>
      <c r="F410" s="6" t="str">
        <f>IF($J410=0,"",IF(INDEX(Datos!$N$2:$N$1000,$J410)="","",INDEX(Datos!$N$2:$N$1000,$J410)))</f>
        <v/>
      </c>
      <c r="G410" s="8" t="str">
        <f>IF($J410=0,"",IF(INDEX(Datos!$M$2:$M$1000,$J410)="","",INDEX(Datos!$M$2:$M$1000,$J410)))</f>
        <v/>
      </c>
      <c r="H410" s="6" t="str">
        <f>IF($J410=0,"",INDEX(Datos!$J$2:$J$1000,$J410)&amp;IF(INDEX(Datos!$Q$2:$Q$1000,$J410)="",""," | "&amp;INDEX(Datos!$Q$2:$Q$1000,$J410)))</f>
        <v/>
      </c>
      <c r="J410">
        <f>IFERROR(MATCH(ROW()-17,Datos!$W$2:$W$1000,0),0)</f>
        <v>0</v>
      </c>
    </row>
    <row r="411" spans="1:10" ht="82" customHeight="1" x14ac:dyDescent="0.35">
      <c r="A411" s="4" t="str">
        <f>IF($J411=0,"",IF(INDEX(Datos!$A$2:$A$1000,$J411)="","",INDEX(Datos!$A$2:$A$1000,$J411)))</f>
        <v/>
      </c>
      <c r="B411" s="5" t="str">
        <f>IF($J411=0,"",IF(INDEX(Datos!$E$2:$E$1000,$J411)="","",INDEX(Datos!$E$2:$E$1000,$J411)))</f>
        <v/>
      </c>
      <c r="C411" s="5" t="str">
        <f>IF($J411=0,"",IF(INDEX(Datos!$I$2:$I$1000,$J411)="","",INDEX(Datos!$I$2:$I$1000,$J411)))</f>
        <v/>
      </c>
      <c r="D411" s="6" t="str">
        <f>IF($J411=0,"",IF(INDEX(Datos!$F$2:$F$1000,$J411)="","",INDEX(Datos!$F$2:$F$1000,$J411)))</f>
        <v/>
      </c>
      <c r="E411" s="7" t="str">
        <f>IF($J411=0,"",IF(INDEX(Datos!$H$2:$H$1000,$J411)="","",INDEX(Datos!$H$2:$H$1000,$J411)))</f>
        <v/>
      </c>
      <c r="F411" s="6" t="str">
        <f>IF($J411=0,"",IF(INDEX(Datos!$N$2:$N$1000,$J411)="","",INDEX(Datos!$N$2:$N$1000,$J411)))</f>
        <v/>
      </c>
      <c r="G411" s="8" t="str">
        <f>IF($J411=0,"",IF(INDEX(Datos!$M$2:$M$1000,$J411)="","",INDEX(Datos!$M$2:$M$1000,$J411)))</f>
        <v/>
      </c>
      <c r="H411" s="6" t="str">
        <f>IF($J411=0,"",INDEX(Datos!$J$2:$J$1000,$J411)&amp;IF(INDEX(Datos!$Q$2:$Q$1000,$J411)="",""," | "&amp;INDEX(Datos!$Q$2:$Q$1000,$J411)))</f>
        <v/>
      </c>
      <c r="J411">
        <f>IFERROR(MATCH(ROW()-17,Datos!$W$2:$W$1000,0),0)</f>
        <v>0</v>
      </c>
    </row>
    <row r="412" spans="1:10" ht="82" customHeight="1" x14ac:dyDescent="0.35">
      <c r="A412" s="4" t="str">
        <f>IF($J412=0,"",IF(INDEX(Datos!$A$2:$A$1000,$J412)="","",INDEX(Datos!$A$2:$A$1000,$J412)))</f>
        <v/>
      </c>
      <c r="B412" s="5" t="str">
        <f>IF($J412=0,"",IF(INDEX(Datos!$E$2:$E$1000,$J412)="","",INDEX(Datos!$E$2:$E$1000,$J412)))</f>
        <v/>
      </c>
      <c r="C412" s="5" t="str">
        <f>IF($J412=0,"",IF(INDEX(Datos!$I$2:$I$1000,$J412)="","",INDEX(Datos!$I$2:$I$1000,$J412)))</f>
        <v/>
      </c>
      <c r="D412" s="6" t="str">
        <f>IF($J412=0,"",IF(INDEX(Datos!$F$2:$F$1000,$J412)="","",INDEX(Datos!$F$2:$F$1000,$J412)))</f>
        <v/>
      </c>
      <c r="E412" s="7" t="str">
        <f>IF($J412=0,"",IF(INDEX(Datos!$H$2:$H$1000,$J412)="","",INDEX(Datos!$H$2:$H$1000,$J412)))</f>
        <v/>
      </c>
      <c r="F412" s="6" t="str">
        <f>IF($J412=0,"",IF(INDEX(Datos!$N$2:$N$1000,$J412)="","",INDEX(Datos!$N$2:$N$1000,$J412)))</f>
        <v/>
      </c>
      <c r="G412" s="8" t="str">
        <f>IF($J412=0,"",IF(INDEX(Datos!$M$2:$M$1000,$J412)="","",INDEX(Datos!$M$2:$M$1000,$J412)))</f>
        <v/>
      </c>
      <c r="H412" s="6" t="str">
        <f>IF($J412=0,"",INDEX(Datos!$J$2:$J$1000,$J412)&amp;IF(INDEX(Datos!$Q$2:$Q$1000,$J412)="",""," | "&amp;INDEX(Datos!$Q$2:$Q$1000,$J412)))</f>
        <v/>
      </c>
      <c r="J412">
        <f>IFERROR(MATCH(ROW()-17,Datos!$W$2:$W$1000,0),0)</f>
        <v>0</v>
      </c>
    </row>
    <row r="413" spans="1:10" ht="82" customHeight="1" x14ac:dyDescent="0.35">
      <c r="A413" s="4" t="str">
        <f>IF($J413=0,"",IF(INDEX(Datos!$A$2:$A$1000,$J413)="","",INDEX(Datos!$A$2:$A$1000,$J413)))</f>
        <v/>
      </c>
      <c r="B413" s="5" t="str">
        <f>IF($J413=0,"",IF(INDEX(Datos!$E$2:$E$1000,$J413)="","",INDEX(Datos!$E$2:$E$1000,$J413)))</f>
        <v/>
      </c>
      <c r="C413" s="5" t="str">
        <f>IF($J413=0,"",IF(INDEX(Datos!$I$2:$I$1000,$J413)="","",INDEX(Datos!$I$2:$I$1000,$J413)))</f>
        <v/>
      </c>
      <c r="D413" s="6" t="str">
        <f>IF($J413=0,"",IF(INDEX(Datos!$F$2:$F$1000,$J413)="","",INDEX(Datos!$F$2:$F$1000,$J413)))</f>
        <v/>
      </c>
      <c r="E413" s="7" t="str">
        <f>IF($J413=0,"",IF(INDEX(Datos!$H$2:$H$1000,$J413)="","",INDEX(Datos!$H$2:$H$1000,$J413)))</f>
        <v/>
      </c>
      <c r="F413" s="6" t="str">
        <f>IF($J413=0,"",IF(INDEX(Datos!$N$2:$N$1000,$J413)="","",INDEX(Datos!$N$2:$N$1000,$J413)))</f>
        <v/>
      </c>
      <c r="G413" s="8" t="str">
        <f>IF($J413=0,"",IF(INDEX(Datos!$M$2:$M$1000,$J413)="","",INDEX(Datos!$M$2:$M$1000,$J413)))</f>
        <v/>
      </c>
      <c r="H413" s="6" t="str">
        <f>IF($J413=0,"",INDEX(Datos!$J$2:$J$1000,$J413)&amp;IF(INDEX(Datos!$Q$2:$Q$1000,$J413)="",""," | "&amp;INDEX(Datos!$Q$2:$Q$1000,$J413)))</f>
        <v/>
      </c>
      <c r="J413">
        <f>IFERROR(MATCH(ROW()-17,Datos!$W$2:$W$1000,0),0)</f>
        <v>0</v>
      </c>
    </row>
    <row r="414" spans="1:10" ht="82" customHeight="1" x14ac:dyDescent="0.35">
      <c r="A414" s="4" t="str">
        <f>IF($J414=0,"",IF(INDEX(Datos!$A$2:$A$1000,$J414)="","",INDEX(Datos!$A$2:$A$1000,$J414)))</f>
        <v/>
      </c>
      <c r="B414" s="5" t="str">
        <f>IF($J414=0,"",IF(INDEX(Datos!$E$2:$E$1000,$J414)="","",INDEX(Datos!$E$2:$E$1000,$J414)))</f>
        <v/>
      </c>
      <c r="C414" s="5" t="str">
        <f>IF($J414=0,"",IF(INDEX(Datos!$I$2:$I$1000,$J414)="","",INDEX(Datos!$I$2:$I$1000,$J414)))</f>
        <v/>
      </c>
      <c r="D414" s="6" t="str">
        <f>IF($J414=0,"",IF(INDEX(Datos!$F$2:$F$1000,$J414)="","",INDEX(Datos!$F$2:$F$1000,$J414)))</f>
        <v/>
      </c>
      <c r="E414" s="7" t="str">
        <f>IF($J414=0,"",IF(INDEX(Datos!$H$2:$H$1000,$J414)="","",INDEX(Datos!$H$2:$H$1000,$J414)))</f>
        <v/>
      </c>
      <c r="F414" s="6" t="str">
        <f>IF($J414=0,"",IF(INDEX(Datos!$N$2:$N$1000,$J414)="","",INDEX(Datos!$N$2:$N$1000,$J414)))</f>
        <v/>
      </c>
      <c r="G414" s="8" t="str">
        <f>IF($J414=0,"",IF(INDEX(Datos!$M$2:$M$1000,$J414)="","",INDEX(Datos!$M$2:$M$1000,$J414)))</f>
        <v/>
      </c>
      <c r="H414" s="6" t="str">
        <f>IF($J414=0,"",INDEX(Datos!$J$2:$J$1000,$J414)&amp;IF(INDEX(Datos!$Q$2:$Q$1000,$J414)="",""," | "&amp;INDEX(Datos!$Q$2:$Q$1000,$J414)))</f>
        <v/>
      </c>
      <c r="J414">
        <f>IFERROR(MATCH(ROW()-17,Datos!$W$2:$W$1000,0),0)</f>
        <v>0</v>
      </c>
    </row>
    <row r="415" spans="1:10" ht="82" customHeight="1" x14ac:dyDescent="0.35">
      <c r="A415" s="4" t="str">
        <f>IF($J415=0,"",IF(INDEX(Datos!$A$2:$A$1000,$J415)="","",INDEX(Datos!$A$2:$A$1000,$J415)))</f>
        <v/>
      </c>
      <c r="B415" s="5" t="str">
        <f>IF($J415=0,"",IF(INDEX(Datos!$E$2:$E$1000,$J415)="","",INDEX(Datos!$E$2:$E$1000,$J415)))</f>
        <v/>
      </c>
      <c r="C415" s="5" t="str">
        <f>IF($J415=0,"",IF(INDEX(Datos!$I$2:$I$1000,$J415)="","",INDEX(Datos!$I$2:$I$1000,$J415)))</f>
        <v/>
      </c>
      <c r="D415" s="6" t="str">
        <f>IF($J415=0,"",IF(INDEX(Datos!$F$2:$F$1000,$J415)="","",INDEX(Datos!$F$2:$F$1000,$J415)))</f>
        <v/>
      </c>
      <c r="E415" s="7" t="str">
        <f>IF($J415=0,"",IF(INDEX(Datos!$H$2:$H$1000,$J415)="","",INDEX(Datos!$H$2:$H$1000,$J415)))</f>
        <v/>
      </c>
      <c r="F415" s="6" t="str">
        <f>IF($J415=0,"",IF(INDEX(Datos!$N$2:$N$1000,$J415)="","",INDEX(Datos!$N$2:$N$1000,$J415)))</f>
        <v/>
      </c>
      <c r="G415" s="8" t="str">
        <f>IF($J415=0,"",IF(INDEX(Datos!$M$2:$M$1000,$J415)="","",INDEX(Datos!$M$2:$M$1000,$J415)))</f>
        <v/>
      </c>
      <c r="H415" s="6" t="str">
        <f>IF($J415=0,"",INDEX(Datos!$J$2:$J$1000,$J415)&amp;IF(INDEX(Datos!$Q$2:$Q$1000,$J415)="",""," | "&amp;INDEX(Datos!$Q$2:$Q$1000,$J415)))</f>
        <v/>
      </c>
      <c r="J415">
        <f>IFERROR(MATCH(ROW()-17,Datos!$W$2:$W$1000,0),0)</f>
        <v>0</v>
      </c>
    </row>
    <row r="416" spans="1:10" ht="82" customHeight="1" x14ac:dyDescent="0.35">
      <c r="A416" s="4" t="str">
        <f>IF($J416=0,"",IF(INDEX(Datos!$A$2:$A$1000,$J416)="","",INDEX(Datos!$A$2:$A$1000,$J416)))</f>
        <v/>
      </c>
      <c r="B416" s="5" t="str">
        <f>IF($J416=0,"",IF(INDEX(Datos!$E$2:$E$1000,$J416)="","",INDEX(Datos!$E$2:$E$1000,$J416)))</f>
        <v/>
      </c>
      <c r="C416" s="5" t="str">
        <f>IF($J416=0,"",IF(INDEX(Datos!$I$2:$I$1000,$J416)="","",INDEX(Datos!$I$2:$I$1000,$J416)))</f>
        <v/>
      </c>
      <c r="D416" s="6" t="str">
        <f>IF($J416=0,"",IF(INDEX(Datos!$F$2:$F$1000,$J416)="","",INDEX(Datos!$F$2:$F$1000,$J416)))</f>
        <v/>
      </c>
      <c r="E416" s="7" t="str">
        <f>IF($J416=0,"",IF(INDEX(Datos!$H$2:$H$1000,$J416)="","",INDEX(Datos!$H$2:$H$1000,$J416)))</f>
        <v/>
      </c>
      <c r="F416" s="6" t="str">
        <f>IF($J416=0,"",IF(INDEX(Datos!$N$2:$N$1000,$J416)="","",INDEX(Datos!$N$2:$N$1000,$J416)))</f>
        <v/>
      </c>
      <c r="G416" s="8" t="str">
        <f>IF($J416=0,"",IF(INDEX(Datos!$M$2:$M$1000,$J416)="","",INDEX(Datos!$M$2:$M$1000,$J416)))</f>
        <v/>
      </c>
      <c r="H416" s="6" t="str">
        <f>IF($J416=0,"",INDEX(Datos!$J$2:$J$1000,$J416)&amp;IF(INDEX(Datos!$Q$2:$Q$1000,$J416)="",""," | "&amp;INDEX(Datos!$Q$2:$Q$1000,$J416)))</f>
        <v/>
      </c>
      <c r="J416">
        <f>IFERROR(MATCH(ROW()-17,Datos!$W$2:$W$1000,0),0)</f>
        <v>0</v>
      </c>
    </row>
    <row r="417" spans="1:10" ht="82" customHeight="1" x14ac:dyDescent="0.35">
      <c r="A417" s="4" t="str">
        <f>IF($J417=0,"",IF(INDEX(Datos!$A$2:$A$1000,$J417)="","",INDEX(Datos!$A$2:$A$1000,$J417)))</f>
        <v/>
      </c>
      <c r="B417" s="5" t="str">
        <f>IF($J417=0,"",IF(INDEX(Datos!$E$2:$E$1000,$J417)="","",INDEX(Datos!$E$2:$E$1000,$J417)))</f>
        <v/>
      </c>
      <c r="C417" s="5" t="str">
        <f>IF($J417=0,"",IF(INDEX(Datos!$I$2:$I$1000,$J417)="","",INDEX(Datos!$I$2:$I$1000,$J417)))</f>
        <v/>
      </c>
      <c r="D417" s="6" t="str">
        <f>IF($J417=0,"",IF(INDEX(Datos!$F$2:$F$1000,$J417)="","",INDEX(Datos!$F$2:$F$1000,$J417)))</f>
        <v/>
      </c>
      <c r="E417" s="7" t="str">
        <f>IF($J417=0,"",IF(INDEX(Datos!$H$2:$H$1000,$J417)="","",INDEX(Datos!$H$2:$H$1000,$J417)))</f>
        <v/>
      </c>
      <c r="F417" s="6" t="str">
        <f>IF($J417=0,"",IF(INDEX(Datos!$N$2:$N$1000,$J417)="","",INDEX(Datos!$N$2:$N$1000,$J417)))</f>
        <v/>
      </c>
      <c r="G417" s="8" t="str">
        <f>IF($J417=0,"",IF(INDEX(Datos!$M$2:$M$1000,$J417)="","",INDEX(Datos!$M$2:$M$1000,$J417)))</f>
        <v/>
      </c>
      <c r="H417" s="6" t="str">
        <f>IF($J417=0,"",INDEX(Datos!$J$2:$J$1000,$J417)&amp;IF(INDEX(Datos!$Q$2:$Q$1000,$J417)="",""," | "&amp;INDEX(Datos!$Q$2:$Q$1000,$J417)))</f>
        <v/>
      </c>
      <c r="J417">
        <f>IFERROR(MATCH(ROW()-17,Datos!$W$2:$W$1000,0),0)</f>
        <v>0</v>
      </c>
    </row>
    <row r="418" spans="1:10" ht="82" customHeight="1" x14ac:dyDescent="0.35">
      <c r="A418" s="4" t="str">
        <f>IF($J418=0,"",IF(INDEX(Datos!$A$2:$A$1000,$J418)="","",INDEX(Datos!$A$2:$A$1000,$J418)))</f>
        <v/>
      </c>
      <c r="B418" s="5" t="str">
        <f>IF($J418=0,"",IF(INDEX(Datos!$E$2:$E$1000,$J418)="","",INDEX(Datos!$E$2:$E$1000,$J418)))</f>
        <v/>
      </c>
      <c r="C418" s="5" t="str">
        <f>IF($J418=0,"",IF(INDEX(Datos!$I$2:$I$1000,$J418)="","",INDEX(Datos!$I$2:$I$1000,$J418)))</f>
        <v/>
      </c>
      <c r="D418" s="6" t="str">
        <f>IF($J418=0,"",IF(INDEX(Datos!$F$2:$F$1000,$J418)="","",INDEX(Datos!$F$2:$F$1000,$J418)))</f>
        <v/>
      </c>
      <c r="E418" s="7" t="str">
        <f>IF($J418=0,"",IF(INDEX(Datos!$H$2:$H$1000,$J418)="","",INDEX(Datos!$H$2:$H$1000,$J418)))</f>
        <v/>
      </c>
      <c r="F418" s="6" t="str">
        <f>IF($J418=0,"",IF(INDEX(Datos!$N$2:$N$1000,$J418)="","",INDEX(Datos!$N$2:$N$1000,$J418)))</f>
        <v/>
      </c>
      <c r="G418" s="8" t="str">
        <f>IF($J418=0,"",IF(INDEX(Datos!$M$2:$M$1000,$J418)="","",INDEX(Datos!$M$2:$M$1000,$J418)))</f>
        <v/>
      </c>
      <c r="H418" s="6" t="str">
        <f>IF($J418=0,"",INDEX(Datos!$J$2:$J$1000,$J418)&amp;IF(INDEX(Datos!$Q$2:$Q$1000,$J418)="",""," | "&amp;INDEX(Datos!$Q$2:$Q$1000,$J418)))</f>
        <v/>
      </c>
      <c r="J418">
        <f>IFERROR(MATCH(ROW()-17,Datos!$W$2:$W$1000,0),0)</f>
        <v>0</v>
      </c>
    </row>
    <row r="419" spans="1:10" ht="82" customHeight="1" x14ac:dyDescent="0.35">
      <c r="A419" s="4" t="str">
        <f>IF($J419=0,"",IF(INDEX(Datos!$A$2:$A$1000,$J419)="","",INDEX(Datos!$A$2:$A$1000,$J419)))</f>
        <v/>
      </c>
      <c r="B419" s="5" t="str">
        <f>IF($J419=0,"",IF(INDEX(Datos!$E$2:$E$1000,$J419)="","",INDEX(Datos!$E$2:$E$1000,$J419)))</f>
        <v/>
      </c>
      <c r="C419" s="5" t="str">
        <f>IF($J419=0,"",IF(INDEX(Datos!$I$2:$I$1000,$J419)="","",INDEX(Datos!$I$2:$I$1000,$J419)))</f>
        <v/>
      </c>
      <c r="D419" s="6" t="str">
        <f>IF($J419=0,"",IF(INDEX(Datos!$F$2:$F$1000,$J419)="","",INDEX(Datos!$F$2:$F$1000,$J419)))</f>
        <v/>
      </c>
      <c r="E419" s="7" t="str">
        <f>IF($J419=0,"",IF(INDEX(Datos!$H$2:$H$1000,$J419)="","",INDEX(Datos!$H$2:$H$1000,$J419)))</f>
        <v/>
      </c>
      <c r="F419" s="6" t="str">
        <f>IF($J419=0,"",IF(INDEX(Datos!$N$2:$N$1000,$J419)="","",INDEX(Datos!$N$2:$N$1000,$J419)))</f>
        <v/>
      </c>
      <c r="G419" s="8" t="str">
        <f>IF($J419=0,"",IF(INDEX(Datos!$M$2:$M$1000,$J419)="","",INDEX(Datos!$M$2:$M$1000,$J419)))</f>
        <v/>
      </c>
      <c r="H419" s="6" t="str">
        <f>IF($J419=0,"",INDEX(Datos!$J$2:$J$1000,$J419)&amp;IF(INDEX(Datos!$Q$2:$Q$1000,$J419)="",""," | "&amp;INDEX(Datos!$Q$2:$Q$1000,$J419)))</f>
        <v/>
      </c>
      <c r="J419">
        <f>IFERROR(MATCH(ROW()-17,Datos!$W$2:$W$1000,0),0)</f>
        <v>0</v>
      </c>
    </row>
    <row r="420" spans="1:10" ht="82" customHeight="1" x14ac:dyDescent="0.35">
      <c r="A420" s="4" t="str">
        <f>IF($J420=0,"",IF(INDEX(Datos!$A$2:$A$1000,$J420)="","",INDEX(Datos!$A$2:$A$1000,$J420)))</f>
        <v/>
      </c>
      <c r="B420" s="5" t="str">
        <f>IF($J420=0,"",IF(INDEX(Datos!$E$2:$E$1000,$J420)="","",INDEX(Datos!$E$2:$E$1000,$J420)))</f>
        <v/>
      </c>
      <c r="C420" s="5" t="str">
        <f>IF($J420=0,"",IF(INDEX(Datos!$I$2:$I$1000,$J420)="","",INDEX(Datos!$I$2:$I$1000,$J420)))</f>
        <v/>
      </c>
      <c r="D420" s="6" t="str">
        <f>IF($J420=0,"",IF(INDEX(Datos!$F$2:$F$1000,$J420)="","",INDEX(Datos!$F$2:$F$1000,$J420)))</f>
        <v/>
      </c>
      <c r="E420" s="7" t="str">
        <f>IF($J420=0,"",IF(INDEX(Datos!$H$2:$H$1000,$J420)="","",INDEX(Datos!$H$2:$H$1000,$J420)))</f>
        <v/>
      </c>
      <c r="F420" s="6" t="str">
        <f>IF($J420=0,"",IF(INDEX(Datos!$N$2:$N$1000,$J420)="","",INDEX(Datos!$N$2:$N$1000,$J420)))</f>
        <v/>
      </c>
      <c r="G420" s="8" t="str">
        <f>IF($J420=0,"",IF(INDEX(Datos!$M$2:$M$1000,$J420)="","",INDEX(Datos!$M$2:$M$1000,$J420)))</f>
        <v/>
      </c>
      <c r="H420" s="6" t="str">
        <f>IF($J420=0,"",INDEX(Datos!$J$2:$J$1000,$J420)&amp;IF(INDEX(Datos!$Q$2:$Q$1000,$J420)="",""," | "&amp;INDEX(Datos!$Q$2:$Q$1000,$J420)))</f>
        <v/>
      </c>
      <c r="J420">
        <f>IFERROR(MATCH(ROW()-17,Datos!$W$2:$W$1000,0),0)</f>
        <v>0</v>
      </c>
    </row>
    <row r="421" spans="1:10" ht="82" customHeight="1" x14ac:dyDescent="0.35">
      <c r="A421" s="4" t="str">
        <f>IF($J421=0,"",IF(INDEX(Datos!$A$2:$A$1000,$J421)="","",INDEX(Datos!$A$2:$A$1000,$J421)))</f>
        <v/>
      </c>
      <c r="B421" s="5" t="str">
        <f>IF($J421=0,"",IF(INDEX(Datos!$E$2:$E$1000,$J421)="","",INDEX(Datos!$E$2:$E$1000,$J421)))</f>
        <v/>
      </c>
      <c r="C421" s="5" t="str">
        <f>IF($J421=0,"",IF(INDEX(Datos!$I$2:$I$1000,$J421)="","",INDEX(Datos!$I$2:$I$1000,$J421)))</f>
        <v/>
      </c>
      <c r="D421" s="6" t="str">
        <f>IF($J421=0,"",IF(INDEX(Datos!$F$2:$F$1000,$J421)="","",INDEX(Datos!$F$2:$F$1000,$J421)))</f>
        <v/>
      </c>
      <c r="E421" s="7" t="str">
        <f>IF($J421=0,"",IF(INDEX(Datos!$H$2:$H$1000,$J421)="","",INDEX(Datos!$H$2:$H$1000,$J421)))</f>
        <v/>
      </c>
      <c r="F421" s="6" t="str">
        <f>IF($J421=0,"",IF(INDEX(Datos!$N$2:$N$1000,$J421)="","",INDEX(Datos!$N$2:$N$1000,$J421)))</f>
        <v/>
      </c>
      <c r="G421" s="8" t="str">
        <f>IF($J421=0,"",IF(INDEX(Datos!$M$2:$M$1000,$J421)="","",INDEX(Datos!$M$2:$M$1000,$J421)))</f>
        <v/>
      </c>
      <c r="H421" s="6" t="str">
        <f>IF($J421=0,"",INDEX(Datos!$J$2:$J$1000,$J421)&amp;IF(INDEX(Datos!$Q$2:$Q$1000,$J421)="",""," | "&amp;INDEX(Datos!$Q$2:$Q$1000,$J421)))</f>
        <v/>
      </c>
      <c r="J421">
        <f>IFERROR(MATCH(ROW()-17,Datos!$W$2:$W$1000,0),0)</f>
        <v>0</v>
      </c>
    </row>
    <row r="422" spans="1:10" ht="82" customHeight="1" x14ac:dyDescent="0.35">
      <c r="A422" s="4" t="str">
        <f>IF($J422=0,"",IF(INDEX(Datos!$A$2:$A$1000,$J422)="","",INDEX(Datos!$A$2:$A$1000,$J422)))</f>
        <v/>
      </c>
      <c r="B422" s="5" t="str">
        <f>IF($J422=0,"",IF(INDEX(Datos!$E$2:$E$1000,$J422)="","",INDEX(Datos!$E$2:$E$1000,$J422)))</f>
        <v/>
      </c>
      <c r="C422" s="5" t="str">
        <f>IF($J422=0,"",IF(INDEX(Datos!$I$2:$I$1000,$J422)="","",INDEX(Datos!$I$2:$I$1000,$J422)))</f>
        <v/>
      </c>
      <c r="D422" s="6" t="str">
        <f>IF($J422=0,"",IF(INDEX(Datos!$F$2:$F$1000,$J422)="","",INDEX(Datos!$F$2:$F$1000,$J422)))</f>
        <v/>
      </c>
      <c r="E422" s="7" t="str">
        <f>IF($J422=0,"",IF(INDEX(Datos!$H$2:$H$1000,$J422)="","",INDEX(Datos!$H$2:$H$1000,$J422)))</f>
        <v/>
      </c>
      <c r="F422" s="6" t="str">
        <f>IF($J422=0,"",IF(INDEX(Datos!$N$2:$N$1000,$J422)="","",INDEX(Datos!$N$2:$N$1000,$J422)))</f>
        <v/>
      </c>
      <c r="G422" s="8" t="str">
        <f>IF($J422=0,"",IF(INDEX(Datos!$M$2:$M$1000,$J422)="","",INDEX(Datos!$M$2:$M$1000,$J422)))</f>
        <v/>
      </c>
      <c r="H422" s="6" t="str">
        <f>IF($J422=0,"",INDEX(Datos!$J$2:$J$1000,$J422)&amp;IF(INDEX(Datos!$Q$2:$Q$1000,$J422)="",""," | "&amp;INDEX(Datos!$Q$2:$Q$1000,$J422)))</f>
        <v/>
      </c>
      <c r="J422">
        <f>IFERROR(MATCH(ROW()-17,Datos!$W$2:$W$1000,0),0)</f>
        <v>0</v>
      </c>
    </row>
    <row r="423" spans="1:10" ht="82" customHeight="1" x14ac:dyDescent="0.35">
      <c r="A423" s="4" t="str">
        <f>IF($J423=0,"",IF(INDEX(Datos!$A$2:$A$1000,$J423)="","",INDEX(Datos!$A$2:$A$1000,$J423)))</f>
        <v/>
      </c>
      <c r="B423" s="5" t="str">
        <f>IF($J423=0,"",IF(INDEX(Datos!$E$2:$E$1000,$J423)="","",INDEX(Datos!$E$2:$E$1000,$J423)))</f>
        <v/>
      </c>
      <c r="C423" s="5" t="str">
        <f>IF($J423=0,"",IF(INDEX(Datos!$I$2:$I$1000,$J423)="","",INDEX(Datos!$I$2:$I$1000,$J423)))</f>
        <v/>
      </c>
      <c r="D423" s="6" t="str">
        <f>IF($J423=0,"",IF(INDEX(Datos!$F$2:$F$1000,$J423)="","",INDEX(Datos!$F$2:$F$1000,$J423)))</f>
        <v/>
      </c>
      <c r="E423" s="7" t="str">
        <f>IF($J423=0,"",IF(INDEX(Datos!$H$2:$H$1000,$J423)="","",INDEX(Datos!$H$2:$H$1000,$J423)))</f>
        <v/>
      </c>
      <c r="F423" s="6" t="str">
        <f>IF($J423=0,"",IF(INDEX(Datos!$N$2:$N$1000,$J423)="","",INDEX(Datos!$N$2:$N$1000,$J423)))</f>
        <v/>
      </c>
      <c r="G423" s="8" t="str">
        <f>IF($J423=0,"",IF(INDEX(Datos!$M$2:$M$1000,$J423)="","",INDEX(Datos!$M$2:$M$1000,$J423)))</f>
        <v/>
      </c>
      <c r="H423" s="6" t="str">
        <f>IF($J423=0,"",INDEX(Datos!$J$2:$J$1000,$J423)&amp;IF(INDEX(Datos!$Q$2:$Q$1000,$J423)="",""," | "&amp;INDEX(Datos!$Q$2:$Q$1000,$J423)))</f>
        <v/>
      </c>
      <c r="J423">
        <f>IFERROR(MATCH(ROW()-17,Datos!$W$2:$W$1000,0),0)</f>
        <v>0</v>
      </c>
    </row>
    <row r="424" spans="1:10" ht="82" customHeight="1" x14ac:dyDescent="0.35">
      <c r="A424" s="4" t="str">
        <f>IF($J424=0,"",IF(INDEX(Datos!$A$2:$A$1000,$J424)="","",INDEX(Datos!$A$2:$A$1000,$J424)))</f>
        <v/>
      </c>
      <c r="B424" s="5" t="str">
        <f>IF($J424=0,"",IF(INDEX(Datos!$E$2:$E$1000,$J424)="","",INDEX(Datos!$E$2:$E$1000,$J424)))</f>
        <v/>
      </c>
      <c r="C424" s="5" t="str">
        <f>IF($J424=0,"",IF(INDEX(Datos!$I$2:$I$1000,$J424)="","",INDEX(Datos!$I$2:$I$1000,$J424)))</f>
        <v/>
      </c>
      <c r="D424" s="6" t="str">
        <f>IF($J424=0,"",IF(INDEX(Datos!$F$2:$F$1000,$J424)="","",INDEX(Datos!$F$2:$F$1000,$J424)))</f>
        <v/>
      </c>
      <c r="E424" s="7" t="str">
        <f>IF($J424=0,"",IF(INDEX(Datos!$H$2:$H$1000,$J424)="","",INDEX(Datos!$H$2:$H$1000,$J424)))</f>
        <v/>
      </c>
      <c r="F424" s="6" t="str">
        <f>IF($J424=0,"",IF(INDEX(Datos!$N$2:$N$1000,$J424)="","",INDEX(Datos!$N$2:$N$1000,$J424)))</f>
        <v/>
      </c>
      <c r="G424" s="8" t="str">
        <f>IF($J424=0,"",IF(INDEX(Datos!$M$2:$M$1000,$J424)="","",INDEX(Datos!$M$2:$M$1000,$J424)))</f>
        <v/>
      </c>
      <c r="H424" s="6" t="str">
        <f>IF($J424=0,"",INDEX(Datos!$J$2:$J$1000,$J424)&amp;IF(INDEX(Datos!$Q$2:$Q$1000,$J424)="",""," | "&amp;INDEX(Datos!$Q$2:$Q$1000,$J424)))</f>
        <v/>
      </c>
      <c r="J424">
        <f>IFERROR(MATCH(ROW()-17,Datos!$W$2:$W$1000,0),0)</f>
        <v>0</v>
      </c>
    </row>
    <row r="425" spans="1:10" ht="82" customHeight="1" x14ac:dyDescent="0.35">
      <c r="A425" s="4" t="str">
        <f>IF($J425=0,"",IF(INDEX(Datos!$A$2:$A$1000,$J425)="","",INDEX(Datos!$A$2:$A$1000,$J425)))</f>
        <v/>
      </c>
      <c r="B425" s="5" t="str">
        <f>IF($J425=0,"",IF(INDEX(Datos!$E$2:$E$1000,$J425)="","",INDEX(Datos!$E$2:$E$1000,$J425)))</f>
        <v/>
      </c>
      <c r="C425" s="5" t="str">
        <f>IF($J425=0,"",IF(INDEX(Datos!$I$2:$I$1000,$J425)="","",INDEX(Datos!$I$2:$I$1000,$J425)))</f>
        <v/>
      </c>
      <c r="D425" s="6" t="str">
        <f>IF($J425=0,"",IF(INDEX(Datos!$F$2:$F$1000,$J425)="","",INDEX(Datos!$F$2:$F$1000,$J425)))</f>
        <v/>
      </c>
      <c r="E425" s="7" t="str">
        <f>IF($J425=0,"",IF(INDEX(Datos!$H$2:$H$1000,$J425)="","",INDEX(Datos!$H$2:$H$1000,$J425)))</f>
        <v/>
      </c>
      <c r="F425" s="6" t="str">
        <f>IF($J425=0,"",IF(INDEX(Datos!$N$2:$N$1000,$J425)="","",INDEX(Datos!$N$2:$N$1000,$J425)))</f>
        <v/>
      </c>
      <c r="G425" s="8" t="str">
        <f>IF($J425=0,"",IF(INDEX(Datos!$M$2:$M$1000,$J425)="","",INDEX(Datos!$M$2:$M$1000,$J425)))</f>
        <v/>
      </c>
      <c r="H425" s="6" t="str">
        <f>IF($J425=0,"",INDEX(Datos!$J$2:$J$1000,$J425)&amp;IF(INDEX(Datos!$Q$2:$Q$1000,$J425)="",""," | "&amp;INDEX(Datos!$Q$2:$Q$1000,$J425)))</f>
        <v/>
      </c>
      <c r="J425">
        <f>IFERROR(MATCH(ROW()-17,Datos!$W$2:$W$1000,0),0)</f>
        <v>0</v>
      </c>
    </row>
    <row r="426" spans="1:10" ht="82" customHeight="1" x14ac:dyDescent="0.35">
      <c r="A426" s="4" t="str">
        <f>IF($J426=0,"",IF(INDEX(Datos!$A$2:$A$1000,$J426)="","",INDEX(Datos!$A$2:$A$1000,$J426)))</f>
        <v/>
      </c>
      <c r="B426" s="5" t="str">
        <f>IF($J426=0,"",IF(INDEX(Datos!$E$2:$E$1000,$J426)="","",INDEX(Datos!$E$2:$E$1000,$J426)))</f>
        <v/>
      </c>
      <c r="C426" s="5" t="str">
        <f>IF($J426=0,"",IF(INDEX(Datos!$I$2:$I$1000,$J426)="","",INDEX(Datos!$I$2:$I$1000,$J426)))</f>
        <v/>
      </c>
      <c r="D426" s="6" t="str">
        <f>IF($J426=0,"",IF(INDEX(Datos!$F$2:$F$1000,$J426)="","",INDEX(Datos!$F$2:$F$1000,$J426)))</f>
        <v/>
      </c>
      <c r="E426" s="7" t="str">
        <f>IF($J426=0,"",IF(INDEX(Datos!$H$2:$H$1000,$J426)="","",INDEX(Datos!$H$2:$H$1000,$J426)))</f>
        <v/>
      </c>
      <c r="F426" s="6" t="str">
        <f>IF($J426=0,"",IF(INDEX(Datos!$N$2:$N$1000,$J426)="","",INDEX(Datos!$N$2:$N$1000,$J426)))</f>
        <v/>
      </c>
      <c r="G426" s="8" t="str">
        <f>IF($J426=0,"",IF(INDEX(Datos!$M$2:$M$1000,$J426)="","",INDEX(Datos!$M$2:$M$1000,$J426)))</f>
        <v/>
      </c>
      <c r="H426" s="6" t="str">
        <f>IF($J426=0,"",INDEX(Datos!$J$2:$J$1000,$J426)&amp;IF(INDEX(Datos!$Q$2:$Q$1000,$J426)="",""," | "&amp;INDEX(Datos!$Q$2:$Q$1000,$J426)))</f>
        <v/>
      </c>
      <c r="J426">
        <f>IFERROR(MATCH(ROW()-17,Datos!$W$2:$W$1000,0),0)</f>
        <v>0</v>
      </c>
    </row>
    <row r="427" spans="1:10" ht="82" customHeight="1" x14ac:dyDescent="0.35">
      <c r="A427" s="4" t="str">
        <f>IF($J427=0,"",IF(INDEX(Datos!$A$2:$A$1000,$J427)="","",INDEX(Datos!$A$2:$A$1000,$J427)))</f>
        <v/>
      </c>
      <c r="B427" s="5" t="str">
        <f>IF($J427=0,"",IF(INDEX(Datos!$E$2:$E$1000,$J427)="","",INDEX(Datos!$E$2:$E$1000,$J427)))</f>
        <v/>
      </c>
      <c r="C427" s="5" t="str">
        <f>IF($J427=0,"",IF(INDEX(Datos!$I$2:$I$1000,$J427)="","",INDEX(Datos!$I$2:$I$1000,$J427)))</f>
        <v/>
      </c>
      <c r="D427" s="6" t="str">
        <f>IF($J427=0,"",IF(INDEX(Datos!$F$2:$F$1000,$J427)="","",INDEX(Datos!$F$2:$F$1000,$J427)))</f>
        <v/>
      </c>
      <c r="E427" s="7" t="str">
        <f>IF($J427=0,"",IF(INDEX(Datos!$H$2:$H$1000,$J427)="","",INDEX(Datos!$H$2:$H$1000,$J427)))</f>
        <v/>
      </c>
      <c r="F427" s="6" t="str">
        <f>IF($J427=0,"",IF(INDEX(Datos!$N$2:$N$1000,$J427)="","",INDEX(Datos!$N$2:$N$1000,$J427)))</f>
        <v/>
      </c>
      <c r="G427" s="8" t="str">
        <f>IF($J427=0,"",IF(INDEX(Datos!$M$2:$M$1000,$J427)="","",INDEX(Datos!$M$2:$M$1000,$J427)))</f>
        <v/>
      </c>
      <c r="H427" s="6" t="str">
        <f>IF($J427=0,"",INDEX(Datos!$J$2:$J$1000,$J427)&amp;IF(INDEX(Datos!$Q$2:$Q$1000,$J427)="",""," | "&amp;INDEX(Datos!$Q$2:$Q$1000,$J427)))</f>
        <v/>
      </c>
      <c r="J427">
        <f>IFERROR(MATCH(ROW()-17,Datos!$W$2:$W$1000,0),0)</f>
        <v>0</v>
      </c>
    </row>
    <row r="428" spans="1:10" ht="82" customHeight="1" x14ac:dyDescent="0.35">
      <c r="A428" s="4" t="str">
        <f>IF($J428=0,"",IF(INDEX(Datos!$A$2:$A$1000,$J428)="","",INDEX(Datos!$A$2:$A$1000,$J428)))</f>
        <v/>
      </c>
      <c r="B428" s="5" t="str">
        <f>IF($J428=0,"",IF(INDEX(Datos!$E$2:$E$1000,$J428)="","",INDEX(Datos!$E$2:$E$1000,$J428)))</f>
        <v/>
      </c>
      <c r="C428" s="5" t="str">
        <f>IF($J428=0,"",IF(INDEX(Datos!$I$2:$I$1000,$J428)="","",INDEX(Datos!$I$2:$I$1000,$J428)))</f>
        <v/>
      </c>
      <c r="D428" s="6" t="str">
        <f>IF($J428=0,"",IF(INDEX(Datos!$F$2:$F$1000,$J428)="","",INDEX(Datos!$F$2:$F$1000,$J428)))</f>
        <v/>
      </c>
      <c r="E428" s="7" t="str">
        <f>IF($J428=0,"",IF(INDEX(Datos!$H$2:$H$1000,$J428)="","",INDEX(Datos!$H$2:$H$1000,$J428)))</f>
        <v/>
      </c>
      <c r="F428" s="6" t="str">
        <f>IF($J428=0,"",IF(INDEX(Datos!$N$2:$N$1000,$J428)="","",INDEX(Datos!$N$2:$N$1000,$J428)))</f>
        <v/>
      </c>
      <c r="G428" s="8" t="str">
        <f>IF($J428=0,"",IF(INDEX(Datos!$M$2:$M$1000,$J428)="","",INDEX(Datos!$M$2:$M$1000,$J428)))</f>
        <v/>
      </c>
      <c r="H428" s="6" t="str">
        <f>IF($J428=0,"",INDEX(Datos!$J$2:$J$1000,$J428)&amp;IF(INDEX(Datos!$Q$2:$Q$1000,$J428)="",""," | "&amp;INDEX(Datos!$Q$2:$Q$1000,$J428)))</f>
        <v/>
      </c>
      <c r="J428">
        <f>IFERROR(MATCH(ROW()-17,Datos!$W$2:$W$1000,0),0)</f>
        <v>0</v>
      </c>
    </row>
    <row r="429" spans="1:10" ht="82" customHeight="1" x14ac:dyDescent="0.35">
      <c r="A429" s="4" t="str">
        <f>IF($J429=0,"",IF(INDEX(Datos!$A$2:$A$1000,$J429)="","",INDEX(Datos!$A$2:$A$1000,$J429)))</f>
        <v/>
      </c>
      <c r="B429" s="5" t="str">
        <f>IF($J429=0,"",IF(INDEX(Datos!$E$2:$E$1000,$J429)="","",INDEX(Datos!$E$2:$E$1000,$J429)))</f>
        <v/>
      </c>
      <c r="C429" s="5" t="str">
        <f>IF($J429=0,"",IF(INDEX(Datos!$I$2:$I$1000,$J429)="","",INDEX(Datos!$I$2:$I$1000,$J429)))</f>
        <v/>
      </c>
      <c r="D429" s="6" t="str">
        <f>IF($J429=0,"",IF(INDEX(Datos!$F$2:$F$1000,$J429)="","",INDEX(Datos!$F$2:$F$1000,$J429)))</f>
        <v/>
      </c>
      <c r="E429" s="7" t="str">
        <f>IF($J429=0,"",IF(INDEX(Datos!$H$2:$H$1000,$J429)="","",INDEX(Datos!$H$2:$H$1000,$J429)))</f>
        <v/>
      </c>
      <c r="F429" s="6" t="str">
        <f>IF($J429=0,"",IF(INDEX(Datos!$N$2:$N$1000,$J429)="","",INDEX(Datos!$N$2:$N$1000,$J429)))</f>
        <v/>
      </c>
      <c r="G429" s="8" t="str">
        <f>IF($J429=0,"",IF(INDEX(Datos!$M$2:$M$1000,$J429)="","",INDEX(Datos!$M$2:$M$1000,$J429)))</f>
        <v/>
      </c>
      <c r="H429" s="6" t="str">
        <f>IF($J429=0,"",INDEX(Datos!$J$2:$J$1000,$J429)&amp;IF(INDEX(Datos!$Q$2:$Q$1000,$J429)="",""," | "&amp;INDEX(Datos!$Q$2:$Q$1000,$J429)))</f>
        <v/>
      </c>
      <c r="J429">
        <f>IFERROR(MATCH(ROW()-17,Datos!$W$2:$W$1000,0),0)</f>
        <v>0</v>
      </c>
    </row>
    <row r="430" spans="1:10" ht="82" customHeight="1" x14ac:dyDescent="0.35">
      <c r="A430" s="4" t="str">
        <f>IF($J430=0,"",IF(INDEX(Datos!$A$2:$A$1000,$J430)="","",INDEX(Datos!$A$2:$A$1000,$J430)))</f>
        <v/>
      </c>
      <c r="B430" s="5" t="str">
        <f>IF($J430=0,"",IF(INDEX(Datos!$E$2:$E$1000,$J430)="","",INDEX(Datos!$E$2:$E$1000,$J430)))</f>
        <v/>
      </c>
      <c r="C430" s="5" t="str">
        <f>IF($J430=0,"",IF(INDEX(Datos!$I$2:$I$1000,$J430)="","",INDEX(Datos!$I$2:$I$1000,$J430)))</f>
        <v/>
      </c>
      <c r="D430" s="6" t="str">
        <f>IF($J430=0,"",IF(INDEX(Datos!$F$2:$F$1000,$J430)="","",INDEX(Datos!$F$2:$F$1000,$J430)))</f>
        <v/>
      </c>
      <c r="E430" s="7" t="str">
        <f>IF($J430=0,"",IF(INDEX(Datos!$H$2:$H$1000,$J430)="","",INDEX(Datos!$H$2:$H$1000,$J430)))</f>
        <v/>
      </c>
      <c r="F430" s="6" t="str">
        <f>IF($J430=0,"",IF(INDEX(Datos!$N$2:$N$1000,$J430)="","",INDEX(Datos!$N$2:$N$1000,$J430)))</f>
        <v/>
      </c>
      <c r="G430" s="8" t="str">
        <f>IF($J430=0,"",IF(INDEX(Datos!$M$2:$M$1000,$J430)="","",INDEX(Datos!$M$2:$M$1000,$J430)))</f>
        <v/>
      </c>
      <c r="H430" s="6" t="str">
        <f>IF($J430=0,"",INDEX(Datos!$J$2:$J$1000,$J430)&amp;IF(INDEX(Datos!$Q$2:$Q$1000,$J430)="",""," | "&amp;INDEX(Datos!$Q$2:$Q$1000,$J430)))</f>
        <v/>
      </c>
      <c r="J430">
        <f>IFERROR(MATCH(ROW()-17,Datos!$W$2:$W$1000,0),0)</f>
        <v>0</v>
      </c>
    </row>
    <row r="431" spans="1:10" ht="82" customHeight="1" x14ac:dyDescent="0.35">
      <c r="A431" s="4" t="str">
        <f>IF($J431=0,"",IF(INDEX(Datos!$A$2:$A$1000,$J431)="","",INDEX(Datos!$A$2:$A$1000,$J431)))</f>
        <v/>
      </c>
      <c r="B431" s="5" t="str">
        <f>IF($J431=0,"",IF(INDEX(Datos!$E$2:$E$1000,$J431)="","",INDEX(Datos!$E$2:$E$1000,$J431)))</f>
        <v/>
      </c>
      <c r="C431" s="5" t="str">
        <f>IF($J431=0,"",IF(INDEX(Datos!$I$2:$I$1000,$J431)="","",INDEX(Datos!$I$2:$I$1000,$J431)))</f>
        <v/>
      </c>
      <c r="D431" s="6" t="str">
        <f>IF($J431=0,"",IF(INDEX(Datos!$F$2:$F$1000,$J431)="","",INDEX(Datos!$F$2:$F$1000,$J431)))</f>
        <v/>
      </c>
      <c r="E431" s="7" t="str">
        <f>IF($J431=0,"",IF(INDEX(Datos!$H$2:$H$1000,$J431)="","",INDEX(Datos!$H$2:$H$1000,$J431)))</f>
        <v/>
      </c>
      <c r="F431" s="6" t="str">
        <f>IF($J431=0,"",IF(INDEX(Datos!$N$2:$N$1000,$J431)="","",INDEX(Datos!$N$2:$N$1000,$J431)))</f>
        <v/>
      </c>
      <c r="G431" s="8" t="str">
        <f>IF($J431=0,"",IF(INDEX(Datos!$M$2:$M$1000,$J431)="","",INDEX(Datos!$M$2:$M$1000,$J431)))</f>
        <v/>
      </c>
      <c r="H431" s="6" t="str">
        <f>IF($J431=0,"",INDEX(Datos!$J$2:$J$1000,$J431)&amp;IF(INDEX(Datos!$Q$2:$Q$1000,$J431)="",""," | "&amp;INDEX(Datos!$Q$2:$Q$1000,$J431)))</f>
        <v/>
      </c>
      <c r="J431">
        <f>IFERROR(MATCH(ROW()-17,Datos!$W$2:$W$1000,0),0)</f>
        <v>0</v>
      </c>
    </row>
    <row r="432" spans="1:10" ht="82" customHeight="1" x14ac:dyDescent="0.35">
      <c r="A432" s="4" t="str">
        <f>IF($J432=0,"",IF(INDEX(Datos!$A$2:$A$1000,$J432)="","",INDEX(Datos!$A$2:$A$1000,$J432)))</f>
        <v/>
      </c>
      <c r="B432" s="5" t="str">
        <f>IF($J432=0,"",IF(INDEX(Datos!$E$2:$E$1000,$J432)="","",INDEX(Datos!$E$2:$E$1000,$J432)))</f>
        <v/>
      </c>
      <c r="C432" s="5" t="str">
        <f>IF($J432=0,"",IF(INDEX(Datos!$I$2:$I$1000,$J432)="","",INDEX(Datos!$I$2:$I$1000,$J432)))</f>
        <v/>
      </c>
      <c r="D432" s="6" t="str">
        <f>IF($J432=0,"",IF(INDEX(Datos!$F$2:$F$1000,$J432)="","",INDEX(Datos!$F$2:$F$1000,$J432)))</f>
        <v/>
      </c>
      <c r="E432" s="7" t="str">
        <f>IF($J432=0,"",IF(INDEX(Datos!$H$2:$H$1000,$J432)="","",INDEX(Datos!$H$2:$H$1000,$J432)))</f>
        <v/>
      </c>
      <c r="F432" s="6" t="str">
        <f>IF($J432=0,"",IF(INDEX(Datos!$N$2:$N$1000,$J432)="","",INDEX(Datos!$N$2:$N$1000,$J432)))</f>
        <v/>
      </c>
      <c r="G432" s="8" t="str">
        <f>IF($J432=0,"",IF(INDEX(Datos!$M$2:$M$1000,$J432)="","",INDEX(Datos!$M$2:$M$1000,$J432)))</f>
        <v/>
      </c>
      <c r="H432" s="6" t="str">
        <f>IF($J432=0,"",INDEX(Datos!$J$2:$J$1000,$J432)&amp;IF(INDEX(Datos!$Q$2:$Q$1000,$J432)="",""," | "&amp;INDEX(Datos!$Q$2:$Q$1000,$J432)))</f>
        <v/>
      </c>
      <c r="J432">
        <f>IFERROR(MATCH(ROW()-17,Datos!$W$2:$W$1000,0),0)</f>
        <v>0</v>
      </c>
    </row>
    <row r="433" spans="1:10" ht="82" customHeight="1" x14ac:dyDescent="0.35">
      <c r="A433" s="4" t="str">
        <f>IF($J433=0,"",IF(INDEX(Datos!$A$2:$A$1000,$J433)="","",INDEX(Datos!$A$2:$A$1000,$J433)))</f>
        <v/>
      </c>
      <c r="B433" s="5" t="str">
        <f>IF($J433=0,"",IF(INDEX(Datos!$E$2:$E$1000,$J433)="","",INDEX(Datos!$E$2:$E$1000,$J433)))</f>
        <v/>
      </c>
      <c r="C433" s="5" t="str">
        <f>IF($J433=0,"",IF(INDEX(Datos!$I$2:$I$1000,$J433)="","",INDEX(Datos!$I$2:$I$1000,$J433)))</f>
        <v/>
      </c>
      <c r="D433" s="6" t="str">
        <f>IF($J433=0,"",IF(INDEX(Datos!$F$2:$F$1000,$J433)="","",INDEX(Datos!$F$2:$F$1000,$J433)))</f>
        <v/>
      </c>
      <c r="E433" s="7" t="str">
        <f>IF($J433=0,"",IF(INDEX(Datos!$H$2:$H$1000,$J433)="","",INDEX(Datos!$H$2:$H$1000,$J433)))</f>
        <v/>
      </c>
      <c r="F433" s="6" t="str">
        <f>IF($J433=0,"",IF(INDEX(Datos!$N$2:$N$1000,$J433)="","",INDEX(Datos!$N$2:$N$1000,$J433)))</f>
        <v/>
      </c>
      <c r="G433" s="8" t="str">
        <f>IF($J433=0,"",IF(INDEX(Datos!$M$2:$M$1000,$J433)="","",INDEX(Datos!$M$2:$M$1000,$J433)))</f>
        <v/>
      </c>
      <c r="H433" s="6" t="str">
        <f>IF($J433=0,"",INDEX(Datos!$J$2:$J$1000,$J433)&amp;IF(INDEX(Datos!$Q$2:$Q$1000,$J433)="",""," | "&amp;INDEX(Datos!$Q$2:$Q$1000,$J433)))</f>
        <v/>
      </c>
      <c r="J433">
        <f>IFERROR(MATCH(ROW()-17,Datos!$W$2:$W$1000,0),0)</f>
        <v>0</v>
      </c>
    </row>
    <row r="434" spans="1:10" ht="82" customHeight="1" x14ac:dyDescent="0.35">
      <c r="A434" s="4" t="str">
        <f>IF($J434=0,"",IF(INDEX(Datos!$A$2:$A$1000,$J434)="","",INDEX(Datos!$A$2:$A$1000,$J434)))</f>
        <v/>
      </c>
      <c r="B434" s="5" t="str">
        <f>IF($J434=0,"",IF(INDEX(Datos!$E$2:$E$1000,$J434)="","",INDEX(Datos!$E$2:$E$1000,$J434)))</f>
        <v/>
      </c>
      <c r="C434" s="5" t="str">
        <f>IF($J434=0,"",IF(INDEX(Datos!$I$2:$I$1000,$J434)="","",INDEX(Datos!$I$2:$I$1000,$J434)))</f>
        <v/>
      </c>
      <c r="D434" s="6" t="str">
        <f>IF($J434=0,"",IF(INDEX(Datos!$F$2:$F$1000,$J434)="","",INDEX(Datos!$F$2:$F$1000,$J434)))</f>
        <v/>
      </c>
      <c r="E434" s="7" t="str">
        <f>IF($J434=0,"",IF(INDEX(Datos!$H$2:$H$1000,$J434)="","",INDEX(Datos!$H$2:$H$1000,$J434)))</f>
        <v/>
      </c>
      <c r="F434" s="6" t="str">
        <f>IF($J434=0,"",IF(INDEX(Datos!$N$2:$N$1000,$J434)="","",INDEX(Datos!$N$2:$N$1000,$J434)))</f>
        <v/>
      </c>
      <c r="G434" s="8" t="str">
        <f>IF($J434=0,"",IF(INDEX(Datos!$M$2:$M$1000,$J434)="","",INDEX(Datos!$M$2:$M$1000,$J434)))</f>
        <v/>
      </c>
      <c r="H434" s="6" t="str">
        <f>IF($J434=0,"",INDEX(Datos!$J$2:$J$1000,$J434)&amp;IF(INDEX(Datos!$Q$2:$Q$1000,$J434)="",""," | "&amp;INDEX(Datos!$Q$2:$Q$1000,$J434)))</f>
        <v/>
      </c>
      <c r="J434">
        <f>IFERROR(MATCH(ROW()-17,Datos!$W$2:$W$1000,0),0)</f>
        <v>0</v>
      </c>
    </row>
    <row r="435" spans="1:10" ht="82" customHeight="1" x14ac:dyDescent="0.35">
      <c r="A435" s="4" t="str">
        <f>IF($J435=0,"",IF(INDEX(Datos!$A$2:$A$1000,$J435)="","",INDEX(Datos!$A$2:$A$1000,$J435)))</f>
        <v/>
      </c>
      <c r="B435" s="5" t="str">
        <f>IF($J435=0,"",IF(INDEX(Datos!$E$2:$E$1000,$J435)="","",INDEX(Datos!$E$2:$E$1000,$J435)))</f>
        <v/>
      </c>
      <c r="C435" s="5" t="str">
        <f>IF($J435=0,"",IF(INDEX(Datos!$I$2:$I$1000,$J435)="","",INDEX(Datos!$I$2:$I$1000,$J435)))</f>
        <v/>
      </c>
      <c r="D435" s="6" t="str">
        <f>IF($J435=0,"",IF(INDEX(Datos!$F$2:$F$1000,$J435)="","",INDEX(Datos!$F$2:$F$1000,$J435)))</f>
        <v/>
      </c>
      <c r="E435" s="7" t="str">
        <f>IF($J435=0,"",IF(INDEX(Datos!$H$2:$H$1000,$J435)="","",INDEX(Datos!$H$2:$H$1000,$J435)))</f>
        <v/>
      </c>
      <c r="F435" s="6" t="str">
        <f>IF($J435=0,"",IF(INDEX(Datos!$N$2:$N$1000,$J435)="","",INDEX(Datos!$N$2:$N$1000,$J435)))</f>
        <v/>
      </c>
      <c r="G435" s="8" t="str">
        <f>IF($J435=0,"",IF(INDEX(Datos!$M$2:$M$1000,$J435)="","",INDEX(Datos!$M$2:$M$1000,$J435)))</f>
        <v/>
      </c>
      <c r="H435" s="6" t="str">
        <f>IF($J435=0,"",INDEX(Datos!$J$2:$J$1000,$J435)&amp;IF(INDEX(Datos!$Q$2:$Q$1000,$J435)="",""," | "&amp;INDEX(Datos!$Q$2:$Q$1000,$J435)))</f>
        <v/>
      </c>
      <c r="J435">
        <f>IFERROR(MATCH(ROW()-17,Datos!$W$2:$W$1000,0),0)</f>
        <v>0</v>
      </c>
    </row>
    <row r="436" spans="1:10" ht="82" customHeight="1" x14ac:dyDescent="0.35">
      <c r="A436" s="4" t="str">
        <f>IF($J436=0,"",IF(INDEX(Datos!$A$2:$A$1000,$J436)="","",INDEX(Datos!$A$2:$A$1000,$J436)))</f>
        <v/>
      </c>
      <c r="B436" s="5" t="str">
        <f>IF($J436=0,"",IF(INDEX(Datos!$E$2:$E$1000,$J436)="","",INDEX(Datos!$E$2:$E$1000,$J436)))</f>
        <v/>
      </c>
      <c r="C436" s="5" t="str">
        <f>IF($J436=0,"",IF(INDEX(Datos!$I$2:$I$1000,$J436)="","",INDEX(Datos!$I$2:$I$1000,$J436)))</f>
        <v/>
      </c>
      <c r="D436" s="6" t="str">
        <f>IF($J436=0,"",IF(INDEX(Datos!$F$2:$F$1000,$J436)="","",INDEX(Datos!$F$2:$F$1000,$J436)))</f>
        <v/>
      </c>
      <c r="E436" s="7" t="str">
        <f>IF($J436=0,"",IF(INDEX(Datos!$H$2:$H$1000,$J436)="","",INDEX(Datos!$H$2:$H$1000,$J436)))</f>
        <v/>
      </c>
      <c r="F436" s="6" t="str">
        <f>IF($J436=0,"",IF(INDEX(Datos!$N$2:$N$1000,$J436)="","",INDEX(Datos!$N$2:$N$1000,$J436)))</f>
        <v/>
      </c>
      <c r="G436" s="8" t="str">
        <f>IF($J436=0,"",IF(INDEX(Datos!$M$2:$M$1000,$J436)="","",INDEX(Datos!$M$2:$M$1000,$J436)))</f>
        <v/>
      </c>
      <c r="H436" s="6" t="str">
        <f>IF($J436=0,"",INDEX(Datos!$J$2:$J$1000,$J436)&amp;IF(INDEX(Datos!$Q$2:$Q$1000,$J436)="",""," | "&amp;INDEX(Datos!$Q$2:$Q$1000,$J436)))</f>
        <v/>
      </c>
      <c r="J436">
        <f>IFERROR(MATCH(ROW()-17,Datos!$W$2:$W$1000,0),0)</f>
        <v>0</v>
      </c>
    </row>
    <row r="437" spans="1:10" ht="82" customHeight="1" x14ac:dyDescent="0.35">
      <c r="A437" s="4" t="str">
        <f>IF($J437=0,"",IF(INDEX(Datos!$A$2:$A$1000,$J437)="","",INDEX(Datos!$A$2:$A$1000,$J437)))</f>
        <v/>
      </c>
      <c r="B437" s="5" t="str">
        <f>IF($J437=0,"",IF(INDEX(Datos!$E$2:$E$1000,$J437)="","",INDEX(Datos!$E$2:$E$1000,$J437)))</f>
        <v/>
      </c>
      <c r="C437" s="5" t="str">
        <f>IF($J437=0,"",IF(INDEX(Datos!$I$2:$I$1000,$J437)="","",INDEX(Datos!$I$2:$I$1000,$J437)))</f>
        <v/>
      </c>
      <c r="D437" s="6" t="str">
        <f>IF($J437=0,"",IF(INDEX(Datos!$F$2:$F$1000,$J437)="","",INDEX(Datos!$F$2:$F$1000,$J437)))</f>
        <v/>
      </c>
      <c r="E437" s="7" t="str">
        <f>IF($J437=0,"",IF(INDEX(Datos!$H$2:$H$1000,$J437)="","",INDEX(Datos!$H$2:$H$1000,$J437)))</f>
        <v/>
      </c>
      <c r="F437" s="6" t="str">
        <f>IF($J437=0,"",IF(INDEX(Datos!$N$2:$N$1000,$J437)="","",INDEX(Datos!$N$2:$N$1000,$J437)))</f>
        <v/>
      </c>
      <c r="G437" s="8" t="str">
        <f>IF($J437=0,"",IF(INDEX(Datos!$M$2:$M$1000,$J437)="","",INDEX(Datos!$M$2:$M$1000,$J437)))</f>
        <v/>
      </c>
      <c r="H437" s="6" t="str">
        <f>IF($J437=0,"",INDEX(Datos!$J$2:$J$1000,$J437)&amp;IF(INDEX(Datos!$Q$2:$Q$1000,$J437)="",""," | "&amp;INDEX(Datos!$Q$2:$Q$1000,$J437)))</f>
        <v/>
      </c>
      <c r="J437">
        <f>IFERROR(MATCH(ROW()-17,Datos!$W$2:$W$1000,0),0)</f>
        <v>0</v>
      </c>
    </row>
    <row r="438" spans="1:10" ht="82" customHeight="1" x14ac:dyDescent="0.35">
      <c r="A438" s="4" t="str">
        <f>IF($J438=0,"",IF(INDEX(Datos!$A$2:$A$1000,$J438)="","",INDEX(Datos!$A$2:$A$1000,$J438)))</f>
        <v/>
      </c>
      <c r="B438" s="5" t="str">
        <f>IF($J438=0,"",IF(INDEX(Datos!$E$2:$E$1000,$J438)="","",INDEX(Datos!$E$2:$E$1000,$J438)))</f>
        <v/>
      </c>
      <c r="C438" s="5" t="str">
        <f>IF($J438=0,"",IF(INDEX(Datos!$I$2:$I$1000,$J438)="","",INDEX(Datos!$I$2:$I$1000,$J438)))</f>
        <v/>
      </c>
      <c r="D438" s="6" t="str">
        <f>IF($J438=0,"",IF(INDEX(Datos!$F$2:$F$1000,$J438)="","",INDEX(Datos!$F$2:$F$1000,$J438)))</f>
        <v/>
      </c>
      <c r="E438" s="7" t="str">
        <f>IF($J438=0,"",IF(INDEX(Datos!$H$2:$H$1000,$J438)="","",INDEX(Datos!$H$2:$H$1000,$J438)))</f>
        <v/>
      </c>
      <c r="F438" s="6" t="str">
        <f>IF($J438=0,"",IF(INDEX(Datos!$N$2:$N$1000,$J438)="","",INDEX(Datos!$N$2:$N$1000,$J438)))</f>
        <v/>
      </c>
      <c r="G438" s="8" t="str">
        <f>IF($J438=0,"",IF(INDEX(Datos!$M$2:$M$1000,$J438)="","",INDEX(Datos!$M$2:$M$1000,$J438)))</f>
        <v/>
      </c>
      <c r="H438" s="6" t="str">
        <f>IF($J438=0,"",INDEX(Datos!$J$2:$J$1000,$J438)&amp;IF(INDEX(Datos!$Q$2:$Q$1000,$J438)="",""," | "&amp;INDEX(Datos!$Q$2:$Q$1000,$J438)))</f>
        <v/>
      </c>
      <c r="J438">
        <f>IFERROR(MATCH(ROW()-17,Datos!$W$2:$W$1000,0),0)</f>
        <v>0</v>
      </c>
    </row>
    <row r="439" spans="1:10" ht="82" customHeight="1" x14ac:dyDescent="0.35">
      <c r="A439" s="4" t="str">
        <f>IF($J439=0,"",IF(INDEX(Datos!$A$2:$A$1000,$J439)="","",INDEX(Datos!$A$2:$A$1000,$J439)))</f>
        <v/>
      </c>
      <c r="B439" s="5" t="str">
        <f>IF($J439=0,"",IF(INDEX(Datos!$E$2:$E$1000,$J439)="","",INDEX(Datos!$E$2:$E$1000,$J439)))</f>
        <v/>
      </c>
      <c r="C439" s="5" t="str">
        <f>IF($J439=0,"",IF(INDEX(Datos!$I$2:$I$1000,$J439)="","",INDEX(Datos!$I$2:$I$1000,$J439)))</f>
        <v/>
      </c>
      <c r="D439" s="6" t="str">
        <f>IF($J439=0,"",IF(INDEX(Datos!$F$2:$F$1000,$J439)="","",INDEX(Datos!$F$2:$F$1000,$J439)))</f>
        <v/>
      </c>
      <c r="E439" s="7" t="str">
        <f>IF($J439=0,"",IF(INDEX(Datos!$H$2:$H$1000,$J439)="","",INDEX(Datos!$H$2:$H$1000,$J439)))</f>
        <v/>
      </c>
      <c r="F439" s="6" t="str">
        <f>IF($J439=0,"",IF(INDEX(Datos!$N$2:$N$1000,$J439)="","",INDEX(Datos!$N$2:$N$1000,$J439)))</f>
        <v/>
      </c>
      <c r="G439" s="8" t="str">
        <f>IF($J439=0,"",IF(INDEX(Datos!$M$2:$M$1000,$J439)="","",INDEX(Datos!$M$2:$M$1000,$J439)))</f>
        <v/>
      </c>
      <c r="H439" s="6" t="str">
        <f>IF($J439=0,"",INDEX(Datos!$J$2:$J$1000,$J439)&amp;IF(INDEX(Datos!$Q$2:$Q$1000,$J439)="",""," | "&amp;INDEX(Datos!$Q$2:$Q$1000,$J439)))</f>
        <v/>
      </c>
      <c r="J439">
        <f>IFERROR(MATCH(ROW()-17,Datos!$W$2:$W$1000,0),0)</f>
        <v>0</v>
      </c>
    </row>
    <row r="440" spans="1:10" ht="82" customHeight="1" x14ac:dyDescent="0.35">
      <c r="A440" s="4" t="str">
        <f>IF($J440=0,"",IF(INDEX(Datos!$A$2:$A$1000,$J440)="","",INDEX(Datos!$A$2:$A$1000,$J440)))</f>
        <v/>
      </c>
      <c r="B440" s="5" t="str">
        <f>IF($J440=0,"",IF(INDEX(Datos!$E$2:$E$1000,$J440)="","",INDEX(Datos!$E$2:$E$1000,$J440)))</f>
        <v/>
      </c>
      <c r="C440" s="5" t="str">
        <f>IF($J440=0,"",IF(INDEX(Datos!$I$2:$I$1000,$J440)="","",INDEX(Datos!$I$2:$I$1000,$J440)))</f>
        <v/>
      </c>
      <c r="D440" s="6" t="str">
        <f>IF($J440=0,"",IF(INDEX(Datos!$F$2:$F$1000,$J440)="","",INDEX(Datos!$F$2:$F$1000,$J440)))</f>
        <v/>
      </c>
      <c r="E440" s="7" t="str">
        <f>IF($J440=0,"",IF(INDEX(Datos!$H$2:$H$1000,$J440)="","",INDEX(Datos!$H$2:$H$1000,$J440)))</f>
        <v/>
      </c>
      <c r="F440" s="6" t="str">
        <f>IF($J440=0,"",IF(INDEX(Datos!$N$2:$N$1000,$J440)="","",INDEX(Datos!$N$2:$N$1000,$J440)))</f>
        <v/>
      </c>
      <c r="G440" s="8" t="str">
        <f>IF($J440=0,"",IF(INDEX(Datos!$M$2:$M$1000,$J440)="","",INDEX(Datos!$M$2:$M$1000,$J440)))</f>
        <v/>
      </c>
      <c r="H440" s="6" t="str">
        <f>IF($J440=0,"",INDEX(Datos!$J$2:$J$1000,$J440)&amp;IF(INDEX(Datos!$Q$2:$Q$1000,$J440)="",""," | "&amp;INDEX(Datos!$Q$2:$Q$1000,$J440)))</f>
        <v/>
      </c>
      <c r="J440">
        <f>IFERROR(MATCH(ROW()-17,Datos!$W$2:$W$1000,0),0)</f>
        <v>0</v>
      </c>
    </row>
    <row r="441" spans="1:10" ht="82" customHeight="1" x14ac:dyDescent="0.35">
      <c r="A441" s="4" t="str">
        <f>IF($J441=0,"",IF(INDEX(Datos!$A$2:$A$1000,$J441)="","",INDEX(Datos!$A$2:$A$1000,$J441)))</f>
        <v/>
      </c>
      <c r="B441" s="5" t="str">
        <f>IF($J441=0,"",IF(INDEX(Datos!$E$2:$E$1000,$J441)="","",INDEX(Datos!$E$2:$E$1000,$J441)))</f>
        <v/>
      </c>
      <c r="C441" s="5" t="str">
        <f>IF($J441=0,"",IF(INDEX(Datos!$I$2:$I$1000,$J441)="","",INDEX(Datos!$I$2:$I$1000,$J441)))</f>
        <v/>
      </c>
      <c r="D441" s="6" t="str">
        <f>IF($J441=0,"",IF(INDEX(Datos!$F$2:$F$1000,$J441)="","",INDEX(Datos!$F$2:$F$1000,$J441)))</f>
        <v/>
      </c>
      <c r="E441" s="7" t="str">
        <f>IF($J441=0,"",IF(INDEX(Datos!$H$2:$H$1000,$J441)="","",INDEX(Datos!$H$2:$H$1000,$J441)))</f>
        <v/>
      </c>
      <c r="F441" s="6" t="str">
        <f>IF($J441=0,"",IF(INDEX(Datos!$N$2:$N$1000,$J441)="","",INDEX(Datos!$N$2:$N$1000,$J441)))</f>
        <v/>
      </c>
      <c r="G441" s="8" t="str">
        <f>IF($J441=0,"",IF(INDEX(Datos!$M$2:$M$1000,$J441)="","",INDEX(Datos!$M$2:$M$1000,$J441)))</f>
        <v/>
      </c>
      <c r="H441" s="6" t="str">
        <f>IF($J441=0,"",INDEX(Datos!$J$2:$J$1000,$J441)&amp;IF(INDEX(Datos!$Q$2:$Q$1000,$J441)="",""," | "&amp;INDEX(Datos!$Q$2:$Q$1000,$J441)))</f>
        <v/>
      </c>
      <c r="J441">
        <f>IFERROR(MATCH(ROW()-17,Datos!$W$2:$W$1000,0),0)</f>
        <v>0</v>
      </c>
    </row>
    <row r="442" spans="1:10" ht="82" customHeight="1" x14ac:dyDescent="0.35">
      <c r="A442" s="4" t="str">
        <f>IF($J442=0,"",IF(INDEX(Datos!$A$2:$A$1000,$J442)="","",INDEX(Datos!$A$2:$A$1000,$J442)))</f>
        <v/>
      </c>
      <c r="B442" s="5" t="str">
        <f>IF($J442=0,"",IF(INDEX(Datos!$E$2:$E$1000,$J442)="","",INDEX(Datos!$E$2:$E$1000,$J442)))</f>
        <v/>
      </c>
      <c r="C442" s="5" t="str">
        <f>IF($J442=0,"",IF(INDEX(Datos!$I$2:$I$1000,$J442)="","",INDEX(Datos!$I$2:$I$1000,$J442)))</f>
        <v/>
      </c>
      <c r="D442" s="6" t="str">
        <f>IF($J442=0,"",IF(INDEX(Datos!$F$2:$F$1000,$J442)="","",INDEX(Datos!$F$2:$F$1000,$J442)))</f>
        <v/>
      </c>
      <c r="E442" s="7" t="str">
        <f>IF($J442=0,"",IF(INDEX(Datos!$H$2:$H$1000,$J442)="","",INDEX(Datos!$H$2:$H$1000,$J442)))</f>
        <v/>
      </c>
      <c r="F442" s="6" t="str">
        <f>IF($J442=0,"",IF(INDEX(Datos!$N$2:$N$1000,$J442)="","",INDEX(Datos!$N$2:$N$1000,$J442)))</f>
        <v/>
      </c>
      <c r="G442" s="8" t="str">
        <f>IF($J442=0,"",IF(INDEX(Datos!$M$2:$M$1000,$J442)="","",INDEX(Datos!$M$2:$M$1000,$J442)))</f>
        <v/>
      </c>
      <c r="H442" s="6" t="str">
        <f>IF($J442=0,"",INDEX(Datos!$J$2:$J$1000,$J442)&amp;IF(INDEX(Datos!$Q$2:$Q$1000,$J442)="",""," | "&amp;INDEX(Datos!$Q$2:$Q$1000,$J442)))</f>
        <v/>
      </c>
      <c r="J442">
        <f>IFERROR(MATCH(ROW()-17,Datos!$W$2:$W$1000,0),0)</f>
        <v>0</v>
      </c>
    </row>
    <row r="443" spans="1:10" ht="82" customHeight="1" x14ac:dyDescent="0.35">
      <c r="A443" s="4" t="str">
        <f>IF($J443=0,"",IF(INDEX(Datos!$A$2:$A$1000,$J443)="","",INDEX(Datos!$A$2:$A$1000,$J443)))</f>
        <v/>
      </c>
      <c r="B443" s="5" t="str">
        <f>IF($J443=0,"",IF(INDEX(Datos!$E$2:$E$1000,$J443)="","",INDEX(Datos!$E$2:$E$1000,$J443)))</f>
        <v/>
      </c>
      <c r="C443" s="5" t="str">
        <f>IF($J443=0,"",IF(INDEX(Datos!$I$2:$I$1000,$J443)="","",INDEX(Datos!$I$2:$I$1000,$J443)))</f>
        <v/>
      </c>
      <c r="D443" s="6" t="str">
        <f>IF($J443=0,"",IF(INDEX(Datos!$F$2:$F$1000,$J443)="","",INDEX(Datos!$F$2:$F$1000,$J443)))</f>
        <v/>
      </c>
      <c r="E443" s="7" t="str">
        <f>IF($J443=0,"",IF(INDEX(Datos!$H$2:$H$1000,$J443)="","",INDEX(Datos!$H$2:$H$1000,$J443)))</f>
        <v/>
      </c>
      <c r="F443" s="6" t="str">
        <f>IF($J443=0,"",IF(INDEX(Datos!$N$2:$N$1000,$J443)="","",INDEX(Datos!$N$2:$N$1000,$J443)))</f>
        <v/>
      </c>
      <c r="G443" s="8" t="str">
        <f>IF($J443=0,"",IF(INDEX(Datos!$M$2:$M$1000,$J443)="","",INDEX(Datos!$M$2:$M$1000,$J443)))</f>
        <v/>
      </c>
      <c r="H443" s="6" t="str">
        <f>IF($J443=0,"",INDEX(Datos!$J$2:$J$1000,$J443)&amp;IF(INDEX(Datos!$Q$2:$Q$1000,$J443)="",""," | "&amp;INDEX(Datos!$Q$2:$Q$1000,$J443)))</f>
        <v/>
      </c>
      <c r="J443">
        <f>IFERROR(MATCH(ROW()-17,Datos!$W$2:$W$1000,0),0)</f>
        <v>0</v>
      </c>
    </row>
    <row r="444" spans="1:10" ht="82" customHeight="1" x14ac:dyDescent="0.35">
      <c r="A444" s="4" t="str">
        <f>IF($J444=0,"",IF(INDEX(Datos!$A$2:$A$1000,$J444)="","",INDEX(Datos!$A$2:$A$1000,$J444)))</f>
        <v/>
      </c>
      <c r="B444" s="5" t="str">
        <f>IF($J444=0,"",IF(INDEX(Datos!$E$2:$E$1000,$J444)="","",INDEX(Datos!$E$2:$E$1000,$J444)))</f>
        <v/>
      </c>
      <c r="C444" s="5" t="str">
        <f>IF($J444=0,"",IF(INDEX(Datos!$I$2:$I$1000,$J444)="","",INDEX(Datos!$I$2:$I$1000,$J444)))</f>
        <v/>
      </c>
      <c r="D444" s="6" t="str">
        <f>IF($J444=0,"",IF(INDEX(Datos!$F$2:$F$1000,$J444)="","",INDEX(Datos!$F$2:$F$1000,$J444)))</f>
        <v/>
      </c>
      <c r="E444" s="7" t="str">
        <f>IF($J444=0,"",IF(INDEX(Datos!$H$2:$H$1000,$J444)="","",INDEX(Datos!$H$2:$H$1000,$J444)))</f>
        <v/>
      </c>
      <c r="F444" s="6" t="str">
        <f>IF($J444=0,"",IF(INDEX(Datos!$N$2:$N$1000,$J444)="","",INDEX(Datos!$N$2:$N$1000,$J444)))</f>
        <v/>
      </c>
      <c r="G444" s="8" t="str">
        <f>IF($J444=0,"",IF(INDEX(Datos!$M$2:$M$1000,$J444)="","",INDEX(Datos!$M$2:$M$1000,$J444)))</f>
        <v/>
      </c>
      <c r="H444" s="6" t="str">
        <f>IF($J444=0,"",INDEX(Datos!$J$2:$J$1000,$J444)&amp;IF(INDEX(Datos!$Q$2:$Q$1000,$J444)="",""," | "&amp;INDEX(Datos!$Q$2:$Q$1000,$J444)))</f>
        <v/>
      </c>
      <c r="J444">
        <f>IFERROR(MATCH(ROW()-17,Datos!$W$2:$W$1000,0),0)</f>
        <v>0</v>
      </c>
    </row>
    <row r="445" spans="1:10" ht="82" customHeight="1" x14ac:dyDescent="0.35">
      <c r="A445" s="4" t="str">
        <f>IF($J445=0,"",IF(INDEX(Datos!$A$2:$A$1000,$J445)="","",INDEX(Datos!$A$2:$A$1000,$J445)))</f>
        <v/>
      </c>
      <c r="B445" s="5" t="str">
        <f>IF($J445=0,"",IF(INDEX(Datos!$E$2:$E$1000,$J445)="","",INDEX(Datos!$E$2:$E$1000,$J445)))</f>
        <v/>
      </c>
      <c r="C445" s="5" t="str">
        <f>IF($J445=0,"",IF(INDEX(Datos!$I$2:$I$1000,$J445)="","",INDEX(Datos!$I$2:$I$1000,$J445)))</f>
        <v/>
      </c>
      <c r="D445" s="6" t="str">
        <f>IF($J445=0,"",IF(INDEX(Datos!$F$2:$F$1000,$J445)="","",INDEX(Datos!$F$2:$F$1000,$J445)))</f>
        <v/>
      </c>
      <c r="E445" s="7" t="str">
        <f>IF($J445=0,"",IF(INDEX(Datos!$H$2:$H$1000,$J445)="","",INDEX(Datos!$H$2:$H$1000,$J445)))</f>
        <v/>
      </c>
      <c r="F445" s="6" t="str">
        <f>IF($J445=0,"",IF(INDEX(Datos!$N$2:$N$1000,$J445)="","",INDEX(Datos!$N$2:$N$1000,$J445)))</f>
        <v/>
      </c>
      <c r="G445" s="8" t="str">
        <f>IF($J445=0,"",IF(INDEX(Datos!$M$2:$M$1000,$J445)="","",INDEX(Datos!$M$2:$M$1000,$J445)))</f>
        <v/>
      </c>
      <c r="H445" s="6" t="str">
        <f>IF($J445=0,"",INDEX(Datos!$J$2:$J$1000,$J445)&amp;IF(INDEX(Datos!$Q$2:$Q$1000,$J445)="",""," | "&amp;INDEX(Datos!$Q$2:$Q$1000,$J445)))</f>
        <v/>
      </c>
      <c r="J445">
        <f>IFERROR(MATCH(ROW()-17,Datos!$W$2:$W$1000,0),0)</f>
        <v>0</v>
      </c>
    </row>
    <row r="446" spans="1:10" ht="82" customHeight="1" x14ac:dyDescent="0.35">
      <c r="A446" s="4" t="str">
        <f>IF($J446=0,"",IF(INDEX(Datos!$A$2:$A$1000,$J446)="","",INDEX(Datos!$A$2:$A$1000,$J446)))</f>
        <v/>
      </c>
      <c r="B446" s="5" t="str">
        <f>IF($J446=0,"",IF(INDEX(Datos!$E$2:$E$1000,$J446)="","",INDEX(Datos!$E$2:$E$1000,$J446)))</f>
        <v/>
      </c>
      <c r="C446" s="5" t="str">
        <f>IF($J446=0,"",IF(INDEX(Datos!$I$2:$I$1000,$J446)="","",INDEX(Datos!$I$2:$I$1000,$J446)))</f>
        <v/>
      </c>
      <c r="D446" s="6" t="str">
        <f>IF($J446=0,"",IF(INDEX(Datos!$F$2:$F$1000,$J446)="","",INDEX(Datos!$F$2:$F$1000,$J446)))</f>
        <v/>
      </c>
      <c r="E446" s="7" t="str">
        <f>IF($J446=0,"",IF(INDEX(Datos!$H$2:$H$1000,$J446)="","",INDEX(Datos!$H$2:$H$1000,$J446)))</f>
        <v/>
      </c>
      <c r="F446" s="6" t="str">
        <f>IF($J446=0,"",IF(INDEX(Datos!$N$2:$N$1000,$J446)="","",INDEX(Datos!$N$2:$N$1000,$J446)))</f>
        <v/>
      </c>
      <c r="G446" s="8" t="str">
        <f>IF($J446=0,"",IF(INDEX(Datos!$M$2:$M$1000,$J446)="","",INDEX(Datos!$M$2:$M$1000,$J446)))</f>
        <v/>
      </c>
      <c r="H446" s="6" t="str">
        <f>IF($J446=0,"",INDEX(Datos!$J$2:$J$1000,$J446)&amp;IF(INDEX(Datos!$Q$2:$Q$1000,$J446)="",""," | "&amp;INDEX(Datos!$Q$2:$Q$1000,$J446)))</f>
        <v/>
      </c>
      <c r="J446">
        <f>IFERROR(MATCH(ROW()-17,Datos!$W$2:$W$1000,0),0)</f>
        <v>0</v>
      </c>
    </row>
    <row r="447" spans="1:10" ht="82" customHeight="1" x14ac:dyDescent="0.35">
      <c r="A447" s="4" t="str">
        <f>IF($J447=0,"",IF(INDEX(Datos!$A$2:$A$1000,$J447)="","",INDEX(Datos!$A$2:$A$1000,$J447)))</f>
        <v/>
      </c>
      <c r="B447" s="5" t="str">
        <f>IF($J447=0,"",IF(INDEX(Datos!$E$2:$E$1000,$J447)="","",INDEX(Datos!$E$2:$E$1000,$J447)))</f>
        <v/>
      </c>
      <c r="C447" s="5" t="str">
        <f>IF($J447=0,"",IF(INDEX(Datos!$I$2:$I$1000,$J447)="","",INDEX(Datos!$I$2:$I$1000,$J447)))</f>
        <v/>
      </c>
      <c r="D447" s="6" t="str">
        <f>IF($J447=0,"",IF(INDEX(Datos!$F$2:$F$1000,$J447)="","",INDEX(Datos!$F$2:$F$1000,$J447)))</f>
        <v/>
      </c>
      <c r="E447" s="7" t="str">
        <f>IF($J447=0,"",IF(INDEX(Datos!$H$2:$H$1000,$J447)="","",INDEX(Datos!$H$2:$H$1000,$J447)))</f>
        <v/>
      </c>
      <c r="F447" s="6" t="str">
        <f>IF($J447=0,"",IF(INDEX(Datos!$N$2:$N$1000,$J447)="","",INDEX(Datos!$N$2:$N$1000,$J447)))</f>
        <v/>
      </c>
      <c r="G447" s="8" t="str">
        <f>IF($J447=0,"",IF(INDEX(Datos!$M$2:$M$1000,$J447)="","",INDEX(Datos!$M$2:$M$1000,$J447)))</f>
        <v/>
      </c>
      <c r="H447" s="6" t="str">
        <f>IF($J447=0,"",INDEX(Datos!$J$2:$J$1000,$J447)&amp;IF(INDEX(Datos!$Q$2:$Q$1000,$J447)="",""," | "&amp;INDEX(Datos!$Q$2:$Q$1000,$J447)))</f>
        <v/>
      </c>
      <c r="J447">
        <f>IFERROR(MATCH(ROW()-17,Datos!$W$2:$W$1000,0),0)</f>
        <v>0</v>
      </c>
    </row>
    <row r="448" spans="1:10" ht="82" customHeight="1" x14ac:dyDescent="0.35">
      <c r="A448" s="4" t="str">
        <f>IF($J448=0,"",IF(INDEX(Datos!$A$2:$A$1000,$J448)="","",INDEX(Datos!$A$2:$A$1000,$J448)))</f>
        <v/>
      </c>
      <c r="B448" s="5" t="str">
        <f>IF($J448=0,"",IF(INDEX(Datos!$E$2:$E$1000,$J448)="","",INDEX(Datos!$E$2:$E$1000,$J448)))</f>
        <v/>
      </c>
      <c r="C448" s="5" t="str">
        <f>IF($J448=0,"",IF(INDEX(Datos!$I$2:$I$1000,$J448)="","",INDEX(Datos!$I$2:$I$1000,$J448)))</f>
        <v/>
      </c>
      <c r="D448" s="6" t="str">
        <f>IF($J448=0,"",IF(INDEX(Datos!$F$2:$F$1000,$J448)="","",INDEX(Datos!$F$2:$F$1000,$J448)))</f>
        <v/>
      </c>
      <c r="E448" s="7" t="str">
        <f>IF($J448=0,"",IF(INDEX(Datos!$H$2:$H$1000,$J448)="","",INDEX(Datos!$H$2:$H$1000,$J448)))</f>
        <v/>
      </c>
      <c r="F448" s="6" t="str">
        <f>IF($J448=0,"",IF(INDEX(Datos!$N$2:$N$1000,$J448)="","",INDEX(Datos!$N$2:$N$1000,$J448)))</f>
        <v/>
      </c>
      <c r="G448" s="8" t="str">
        <f>IF($J448=0,"",IF(INDEX(Datos!$M$2:$M$1000,$J448)="","",INDEX(Datos!$M$2:$M$1000,$J448)))</f>
        <v/>
      </c>
      <c r="H448" s="6" t="str">
        <f>IF($J448=0,"",INDEX(Datos!$J$2:$J$1000,$J448)&amp;IF(INDEX(Datos!$Q$2:$Q$1000,$J448)="",""," | "&amp;INDEX(Datos!$Q$2:$Q$1000,$J448)))</f>
        <v/>
      </c>
      <c r="J448">
        <f>IFERROR(MATCH(ROW()-17,Datos!$W$2:$W$1000,0),0)</f>
        <v>0</v>
      </c>
    </row>
    <row r="449" spans="1:10" ht="82" customHeight="1" x14ac:dyDescent="0.35">
      <c r="A449" s="4" t="str">
        <f>IF($J449=0,"",IF(INDEX(Datos!$A$2:$A$1000,$J449)="","",INDEX(Datos!$A$2:$A$1000,$J449)))</f>
        <v/>
      </c>
      <c r="B449" s="5" t="str">
        <f>IF($J449=0,"",IF(INDEX(Datos!$E$2:$E$1000,$J449)="","",INDEX(Datos!$E$2:$E$1000,$J449)))</f>
        <v/>
      </c>
      <c r="C449" s="5" t="str">
        <f>IF($J449=0,"",IF(INDEX(Datos!$I$2:$I$1000,$J449)="","",INDEX(Datos!$I$2:$I$1000,$J449)))</f>
        <v/>
      </c>
      <c r="D449" s="6" t="str">
        <f>IF($J449=0,"",IF(INDEX(Datos!$F$2:$F$1000,$J449)="","",INDEX(Datos!$F$2:$F$1000,$J449)))</f>
        <v/>
      </c>
      <c r="E449" s="7" t="str">
        <f>IF($J449=0,"",IF(INDEX(Datos!$H$2:$H$1000,$J449)="","",INDEX(Datos!$H$2:$H$1000,$J449)))</f>
        <v/>
      </c>
      <c r="F449" s="6" t="str">
        <f>IF($J449=0,"",IF(INDEX(Datos!$N$2:$N$1000,$J449)="","",INDEX(Datos!$N$2:$N$1000,$J449)))</f>
        <v/>
      </c>
      <c r="G449" s="8" t="str">
        <f>IF($J449=0,"",IF(INDEX(Datos!$M$2:$M$1000,$J449)="","",INDEX(Datos!$M$2:$M$1000,$J449)))</f>
        <v/>
      </c>
      <c r="H449" s="6" t="str">
        <f>IF($J449=0,"",INDEX(Datos!$J$2:$J$1000,$J449)&amp;IF(INDEX(Datos!$Q$2:$Q$1000,$J449)="",""," | "&amp;INDEX(Datos!$Q$2:$Q$1000,$J449)))</f>
        <v/>
      </c>
      <c r="J449">
        <f>IFERROR(MATCH(ROW()-17,Datos!$W$2:$W$1000,0),0)</f>
        <v>0</v>
      </c>
    </row>
    <row r="450" spans="1:10" ht="82" customHeight="1" x14ac:dyDescent="0.35">
      <c r="A450" s="4" t="str">
        <f>IF($J450=0,"",IF(INDEX(Datos!$A$2:$A$1000,$J450)="","",INDEX(Datos!$A$2:$A$1000,$J450)))</f>
        <v/>
      </c>
      <c r="B450" s="5" t="str">
        <f>IF($J450=0,"",IF(INDEX(Datos!$E$2:$E$1000,$J450)="","",INDEX(Datos!$E$2:$E$1000,$J450)))</f>
        <v/>
      </c>
      <c r="C450" s="5" t="str">
        <f>IF($J450=0,"",IF(INDEX(Datos!$I$2:$I$1000,$J450)="","",INDEX(Datos!$I$2:$I$1000,$J450)))</f>
        <v/>
      </c>
      <c r="D450" s="6" t="str">
        <f>IF($J450=0,"",IF(INDEX(Datos!$F$2:$F$1000,$J450)="","",INDEX(Datos!$F$2:$F$1000,$J450)))</f>
        <v/>
      </c>
      <c r="E450" s="7" t="str">
        <f>IF($J450=0,"",IF(INDEX(Datos!$H$2:$H$1000,$J450)="","",INDEX(Datos!$H$2:$H$1000,$J450)))</f>
        <v/>
      </c>
      <c r="F450" s="6" t="str">
        <f>IF($J450=0,"",IF(INDEX(Datos!$N$2:$N$1000,$J450)="","",INDEX(Datos!$N$2:$N$1000,$J450)))</f>
        <v/>
      </c>
      <c r="G450" s="8" t="str">
        <f>IF($J450=0,"",IF(INDEX(Datos!$M$2:$M$1000,$J450)="","",INDEX(Datos!$M$2:$M$1000,$J450)))</f>
        <v/>
      </c>
      <c r="H450" s="6" t="str">
        <f>IF($J450=0,"",INDEX(Datos!$J$2:$J$1000,$J450)&amp;IF(INDEX(Datos!$Q$2:$Q$1000,$J450)="",""," | "&amp;INDEX(Datos!$Q$2:$Q$1000,$J450)))</f>
        <v/>
      </c>
      <c r="J450">
        <f>IFERROR(MATCH(ROW()-17,Datos!$W$2:$W$1000,0),0)</f>
        <v>0</v>
      </c>
    </row>
    <row r="451" spans="1:10" ht="82" customHeight="1" x14ac:dyDescent="0.35">
      <c r="A451" s="4" t="str">
        <f>IF($J451=0,"",IF(INDEX(Datos!$A$2:$A$1000,$J451)="","",INDEX(Datos!$A$2:$A$1000,$J451)))</f>
        <v/>
      </c>
      <c r="B451" s="5" t="str">
        <f>IF($J451=0,"",IF(INDEX(Datos!$E$2:$E$1000,$J451)="","",INDEX(Datos!$E$2:$E$1000,$J451)))</f>
        <v/>
      </c>
      <c r="C451" s="5" t="str">
        <f>IF($J451=0,"",IF(INDEX(Datos!$I$2:$I$1000,$J451)="","",INDEX(Datos!$I$2:$I$1000,$J451)))</f>
        <v/>
      </c>
      <c r="D451" s="6" t="str">
        <f>IF($J451=0,"",IF(INDEX(Datos!$F$2:$F$1000,$J451)="","",INDEX(Datos!$F$2:$F$1000,$J451)))</f>
        <v/>
      </c>
      <c r="E451" s="7" t="str">
        <f>IF($J451=0,"",IF(INDEX(Datos!$H$2:$H$1000,$J451)="","",INDEX(Datos!$H$2:$H$1000,$J451)))</f>
        <v/>
      </c>
      <c r="F451" s="6" t="str">
        <f>IF($J451=0,"",IF(INDEX(Datos!$N$2:$N$1000,$J451)="","",INDEX(Datos!$N$2:$N$1000,$J451)))</f>
        <v/>
      </c>
      <c r="G451" s="8" t="str">
        <f>IF($J451=0,"",IF(INDEX(Datos!$M$2:$M$1000,$J451)="","",INDEX(Datos!$M$2:$M$1000,$J451)))</f>
        <v/>
      </c>
      <c r="H451" s="6" t="str">
        <f>IF($J451=0,"",INDEX(Datos!$J$2:$J$1000,$J451)&amp;IF(INDEX(Datos!$Q$2:$Q$1000,$J451)="",""," | "&amp;INDEX(Datos!$Q$2:$Q$1000,$J451)))</f>
        <v/>
      </c>
      <c r="J451">
        <f>IFERROR(MATCH(ROW()-17,Datos!$W$2:$W$1000,0),0)</f>
        <v>0</v>
      </c>
    </row>
    <row r="452" spans="1:10" ht="82" customHeight="1" x14ac:dyDescent="0.35">
      <c r="A452" s="4" t="str">
        <f>IF($J452=0,"",IF(INDEX(Datos!$A$2:$A$1000,$J452)="","",INDEX(Datos!$A$2:$A$1000,$J452)))</f>
        <v/>
      </c>
      <c r="B452" s="5" t="str">
        <f>IF($J452=0,"",IF(INDEX(Datos!$E$2:$E$1000,$J452)="","",INDEX(Datos!$E$2:$E$1000,$J452)))</f>
        <v/>
      </c>
      <c r="C452" s="5" t="str">
        <f>IF($J452=0,"",IF(INDEX(Datos!$I$2:$I$1000,$J452)="","",INDEX(Datos!$I$2:$I$1000,$J452)))</f>
        <v/>
      </c>
      <c r="D452" s="6" t="str">
        <f>IF($J452=0,"",IF(INDEX(Datos!$F$2:$F$1000,$J452)="","",INDEX(Datos!$F$2:$F$1000,$J452)))</f>
        <v/>
      </c>
      <c r="E452" s="7" t="str">
        <f>IF($J452=0,"",IF(INDEX(Datos!$H$2:$H$1000,$J452)="","",INDEX(Datos!$H$2:$H$1000,$J452)))</f>
        <v/>
      </c>
      <c r="F452" s="6" t="str">
        <f>IF($J452=0,"",IF(INDEX(Datos!$N$2:$N$1000,$J452)="","",INDEX(Datos!$N$2:$N$1000,$J452)))</f>
        <v/>
      </c>
      <c r="G452" s="8" t="str">
        <f>IF($J452=0,"",IF(INDEX(Datos!$M$2:$M$1000,$J452)="","",INDEX(Datos!$M$2:$M$1000,$J452)))</f>
        <v/>
      </c>
      <c r="H452" s="6" t="str">
        <f>IF($J452=0,"",INDEX(Datos!$J$2:$J$1000,$J452)&amp;IF(INDEX(Datos!$Q$2:$Q$1000,$J452)="",""," | "&amp;INDEX(Datos!$Q$2:$Q$1000,$J452)))</f>
        <v/>
      </c>
      <c r="J452">
        <f>IFERROR(MATCH(ROW()-17,Datos!$W$2:$W$1000,0),0)</f>
        <v>0</v>
      </c>
    </row>
    <row r="453" spans="1:10" ht="82" customHeight="1" x14ac:dyDescent="0.35">
      <c r="A453" s="4" t="str">
        <f>IF($J453=0,"",IF(INDEX(Datos!$A$2:$A$1000,$J453)="","",INDEX(Datos!$A$2:$A$1000,$J453)))</f>
        <v/>
      </c>
      <c r="B453" s="5" t="str">
        <f>IF($J453=0,"",IF(INDEX(Datos!$E$2:$E$1000,$J453)="","",INDEX(Datos!$E$2:$E$1000,$J453)))</f>
        <v/>
      </c>
      <c r="C453" s="5" t="str">
        <f>IF($J453=0,"",IF(INDEX(Datos!$I$2:$I$1000,$J453)="","",INDEX(Datos!$I$2:$I$1000,$J453)))</f>
        <v/>
      </c>
      <c r="D453" s="6" t="str">
        <f>IF($J453=0,"",IF(INDEX(Datos!$F$2:$F$1000,$J453)="","",INDEX(Datos!$F$2:$F$1000,$J453)))</f>
        <v/>
      </c>
      <c r="E453" s="7" t="str">
        <f>IF($J453=0,"",IF(INDEX(Datos!$H$2:$H$1000,$J453)="","",INDEX(Datos!$H$2:$H$1000,$J453)))</f>
        <v/>
      </c>
      <c r="F453" s="6" t="str">
        <f>IF($J453=0,"",IF(INDEX(Datos!$N$2:$N$1000,$J453)="","",INDEX(Datos!$N$2:$N$1000,$J453)))</f>
        <v/>
      </c>
      <c r="G453" s="8" t="str">
        <f>IF($J453=0,"",IF(INDEX(Datos!$M$2:$M$1000,$J453)="","",INDEX(Datos!$M$2:$M$1000,$J453)))</f>
        <v/>
      </c>
      <c r="H453" s="6" t="str">
        <f>IF($J453=0,"",INDEX(Datos!$J$2:$J$1000,$J453)&amp;IF(INDEX(Datos!$Q$2:$Q$1000,$J453)="",""," | "&amp;INDEX(Datos!$Q$2:$Q$1000,$J453)))</f>
        <v/>
      </c>
      <c r="J453">
        <f>IFERROR(MATCH(ROW()-17,Datos!$W$2:$W$1000,0),0)</f>
        <v>0</v>
      </c>
    </row>
    <row r="454" spans="1:10" ht="82" customHeight="1" x14ac:dyDescent="0.35">
      <c r="A454" s="4" t="str">
        <f>IF($J454=0,"",IF(INDEX(Datos!$A$2:$A$1000,$J454)="","",INDEX(Datos!$A$2:$A$1000,$J454)))</f>
        <v/>
      </c>
      <c r="B454" s="5" t="str">
        <f>IF($J454=0,"",IF(INDEX(Datos!$E$2:$E$1000,$J454)="","",INDEX(Datos!$E$2:$E$1000,$J454)))</f>
        <v/>
      </c>
      <c r="C454" s="5" t="str">
        <f>IF($J454=0,"",IF(INDEX(Datos!$I$2:$I$1000,$J454)="","",INDEX(Datos!$I$2:$I$1000,$J454)))</f>
        <v/>
      </c>
      <c r="D454" s="6" t="str">
        <f>IF($J454=0,"",IF(INDEX(Datos!$F$2:$F$1000,$J454)="","",INDEX(Datos!$F$2:$F$1000,$J454)))</f>
        <v/>
      </c>
      <c r="E454" s="7" t="str">
        <f>IF($J454=0,"",IF(INDEX(Datos!$H$2:$H$1000,$J454)="","",INDEX(Datos!$H$2:$H$1000,$J454)))</f>
        <v/>
      </c>
      <c r="F454" s="6" t="str">
        <f>IF($J454=0,"",IF(INDEX(Datos!$N$2:$N$1000,$J454)="","",INDEX(Datos!$N$2:$N$1000,$J454)))</f>
        <v/>
      </c>
      <c r="G454" s="8" t="str">
        <f>IF($J454=0,"",IF(INDEX(Datos!$M$2:$M$1000,$J454)="","",INDEX(Datos!$M$2:$M$1000,$J454)))</f>
        <v/>
      </c>
      <c r="H454" s="6" t="str">
        <f>IF($J454=0,"",INDEX(Datos!$J$2:$J$1000,$J454)&amp;IF(INDEX(Datos!$Q$2:$Q$1000,$J454)="",""," | "&amp;INDEX(Datos!$Q$2:$Q$1000,$J454)))</f>
        <v/>
      </c>
      <c r="J454">
        <f>IFERROR(MATCH(ROW()-17,Datos!$W$2:$W$1000,0),0)</f>
        <v>0</v>
      </c>
    </row>
    <row r="455" spans="1:10" ht="82" customHeight="1" x14ac:dyDescent="0.35">
      <c r="A455" s="4" t="str">
        <f>IF($J455=0,"",IF(INDEX(Datos!$A$2:$A$1000,$J455)="","",INDEX(Datos!$A$2:$A$1000,$J455)))</f>
        <v/>
      </c>
      <c r="B455" s="5" t="str">
        <f>IF($J455=0,"",IF(INDEX(Datos!$E$2:$E$1000,$J455)="","",INDEX(Datos!$E$2:$E$1000,$J455)))</f>
        <v/>
      </c>
      <c r="C455" s="5" t="str">
        <f>IF($J455=0,"",IF(INDEX(Datos!$I$2:$I$1000,$J455)="","",INDEX(Datos!$I$2:$I$1000,$J455)))</f>
        <v/>
      </c>
      <c r="D455" s="6" t="str">
        <f>IF($J455=0,"",IF(INDEX(Datos!$F$2:$F$1000,$J455)="","",INDEX(Datos!$F$2:$F$1000,$J455)))</f>
        <v/>
      </c>
      <c r="E455" s="7" t="str">
        <f>IF($J455=0,"",IF(INDEX(Datos!$H$2:$H$1000,$J455)="","",INDEX(Datos!$H$2:$H$1000,$J455)))</f>
        <v/>
      </c>
      <c r="F455" s="6" t="str">
        <f>IF($J455=0,"",IF(INDEX(Datos!$N$2:$N$1000,$J455)="","",INDEX(Datos!$N$2:$N$1000,$J455)))</f>
        <v/>
      </c>
      <c r="G455" s="8" t="str">
        <f>IF($J455=0,"",IF(INDEX(Datos!$M$2:$M$1000,$J455)="","",INDEX(Datos!$M$2:$M$1000,$J455)))</f>
        <v/>
      </c>
      <c r="H455" s="6" t="str">
        <f>IF($J455=0,"",INDEX(Datos!$J$2:$J$1000,$J455)&amp;IF(INDEX(Datos!$Q$2:$Q$1000,$J455)="",""," | "&amp;INDEX(Datos!$Q$2:$Q$1000,$J455)))</f>
        <v/>
      </c>
      <c r="J455">
        <f>IFERROR(MATCH(ROW()-17,Datos!$W$2:$W$1000,0),0)</f>
        <v>0</v>
      </c>
    </row>
    <row r="456" spans="1:10" ht="82" customHeight="1" x14ac:dyDescent="0.35">
      <c r="A456" s="4" t="str">
        <f>IF($J456=0,"",IF(INDEX(Datos!$A$2:$A$1000,$J456)="","",INDEX(Datos!$A$2:$A$1000,$J456)))</f>
        <v/>
      </c>
      <c r="B456" s="5" t="str">
        <f>IF($J456=0,"",IF(INDEX(Datos!$E$2:$E$1000,$J456)="","",INDEX(Datos!$E$2:$E$1000,$J456)))</f>
        <v/>
      </c>
      <c r="C456" s="5" t="str">
        <f>IF($J456=0,"",IF(INDEX(Datos!$I$2:$I$1000,$J456)="","",INDEX(Datos!$I$2:$I$1000,$J456)))</f>
        <v/>
      </c>
      <c r="D456" s="6" t="str">
        <f>IF($J456=0,"",IF(INDEX(Datos!$F$2:$F$1000,$J456)="","",INDEX(Datos!$F$2:$F$1000,$J456)))</f>
        <v/>
      </c>
      <c r="E456" s="7" t="str">
        <f>IF($J456=0,"",IF(INDEX(Datos!$H$2:$H$1000,$J456)="","",INDEX(Datos!$H$2:$H$1000,$J456)))</f>
        <v/>
      </c>
      <c r="F456" s="6" t="str">
        <f>IF($J456=0,"",IF(INDEX(Datos!$N$2:$N$1000,$J456)="","",INDEX(Datos!$N$2:$N$1000,$J456)))</f>
        <v/>
      </c>
      <c r="G456" s="8" t="str">
        <f>IF($J456=0,"",IF(INDEX(Datos!$M$2:$M$1000,$J456)="","",INDEX(Datos!$M$2:$M$1000,$J456)))</f>
        <v/>
      </c>
      <c r="H456" s="6" t="str">
        <f>IF($J456=0,"",INDEX(Datos!$J$2:$J$1000,$J456)&amp;IF(INDEX(Datos!$Q$2:$Q$1000,$J456)="",""," | "&amp;INDEX(Datos!$Q$2:$Q$1000,$J456)))</f>
        <v/>
      </c>
      <c r="J456">
        <f>IFERROR(MATCH(ROW()-17,Datos!$W$2:$W$1000,0),0)</f>
        <v>0</v>
      </c>
    </row>
    <row r="457" spans="1:10" ht="82" customHeight="1" x14ac:dyDescent="0.35">
      <c r="A457" s="4" t="str">
        <f>IF($J457=0,"",IF(INDEX(Datos!$A$2:$A$1000,$J457)="","",INDEX(Datos!$A$2:$A$1000,$J457)))</f>
        <v/>
      </c>
      <c r="B457" s="5" t="str">
        <f>IF($J457=0,"",IF(INDEX(Datos!$E$2:$E$1000,$J457)="","",INDEX(Datos!$E$2:$E$1000,$J457)))</f>
        <v/>
      </c>
      <c r="C457" s="5" t="str">
        <f>IF($J457=0,"",IF(INDEX(Datos!$I$2:$I$1000,$J457)="","",INDEX(Datos!$I$2:$I$1000,$J457)))</f>
        <v/>
      </c>
      <c r="D457" s="6" t="str">
        <f>IF($J457=0,"",IF(INDEX(Datos!$F$2:$F$1000,$J457)="","",INDEX(Datos!$F$2:$F$1000,$J457)))</f>
        <v/>
      </c>
      <c r="E457" s="7" t="str">
        <f>IF($J457=0,"",IF(INDEX(Datos!$H$2:$H$1000,$J457)="","",INDEX(Datos!$H$2:$H$1000,$J457)))</f>
        <v/>
      </c>
      <c r="F457" s="6" t="str">
        <f>IF($J457=0,"",IF(INDEX(Datos!$N$2:$N$1000,$J457)="","",INDEX(Datos!$N$2:$N$1000,$J457)))</f>
        <v/>
      </c>
      <c r="G457" s="8" t="str">
        <f>IF($J457=0,"",IF(INDEX(Datos!$M$2:$M$1000,$J457)="","",INDEX(Datos!$M$2:$M$1000,$J457)))</f>
        <v/>
      </c>
      <c r="H457" s="6" t="str">
        <f>IF($J457=0,"",INDEX(Datos!$J$2:$J$1000,$J457)&amp;IF(INDEX(Datos!$Q$2:$Q$1000,$J457)="",""," | "&amp;INDEX(Datos!$Q$2:$Q$1000,$J457)))</f>
        <v/>
      </c>
      <c r="J457">
        <f>IFERROR(MATCH(ROW()-17,Datos!$W$2:$W$1000,0),0)</f>
        <v>0</v>
      </c>
    </row>
    <row r="458" spans="1:10" ht="82" customHeight="1" x14ac:dyDescent="0.35">
      <c r="A458" s="4" t="str">
        <f>IF($J458=0,"",IF(INDEX(Datos!$A$2:$A$1000,$J458)="","",INDEX(Datos!$A$2:$A$1000,$J458)))</f>
        <v/>
      </c>
      <c r="B458" s="5" t="str">
        <f>IF($J458=0,"",IF(INDEX(Datos!$E$2:$E$1000,$J458)="","",INDEX(Datos!$E$2:$E$1000,$J458)))</f>
        <v/>
      </c>
      <c r="C458" s="5" t="str">
        <f>IF($J458=0,"",IF(INDEX(Datos!$I$2:$I$1000,$J458)="","",INDEX(Datos!$I$2:$I$1000,$J458)))</f>
        <v/>
      </c>
      <c r="D458" s="6" t="str">
        <f>IF($J458=0,"",IF(INDEX(Datos!$F$2:$F$1000,$J458)="","",INDEX(Datos!$F$2:$F$1000,$J458)))</f>
        <v/>
      </c>
      <c r="E458" s="7" t="str">
        <f>IF($J458=0,"",IF(INDEX(Datos!$H$2:$H$1000,$J458)="","",INDEX(Datos!$H$2:$H$1000,$J458)))</f>
        <v/>
      </c>
      <c r="F458" s="6" t="str">
        <f>IF($J458=0,"",IF(INDEX(Datos!$N$2:$N$1000,$J458)="","",INDEX(Datos!$N$2:$N$1000,$J458)))</f>
        <v/>
      </c>
      <c r="G458" s="8" t="str">
        <f>IF($J458=0,"",IF(INDEX(Datos!$M$2:$M$1000,$J458)="","",INDEX(Datos!$M$2:$M$1000,$J458)))</f>
        <v/>
      </c>
      <c r="H458" s="6" t="str">
        <f>IF($J458=0,"",INDEX(Datos!$J$2:$J$1000,$J458)&amp;IF(INDEX(Datos!$Q$2:$Q$1000,$J458)="",""," | "&amp;INDEX(Datos!$Q$2:$Q$1000,$J458)))</f>
        <v/>
      </c>
      <c r="J458">
        <f>IFERROR(MATCH(ROW()-17,Datos!$W$2:$W$1000,0),0)</f>
        <v>0</v>
      </c>
    </row>
    <row r="459" spans="1:10" ht="82" customHeight="1" x14ac:dyDescent="0.35">
      <c r="A459" s="4" t="str">
        <f>IF($J459=0,"",IF(INDEX(Datos!$A$2:$A$1000,$J459)="","",INDEX(Datos!$A$2:$A$1000,$J459)))</f>
        <v/>
      </c>
      <c r="B459" s="5" t="str">
        <f>IF($J459=0,"",IF(INDEX(Datos!$E$2:$E$1000,$J459)="","",INDEX(Datos!$E$2:$E$1000,$J459)))</f>
        <v/>
      </c>
      <c r="C459" s="5" t="str">
        <f>IF($J459=0,"",IF(INDEX(Datos!$I$2:$I$1000,$J459)="","",INDEX(Datos!$I$2:$I$1000,$J459)))</f>
        <v/>
      </c>
      <c r="D459" s="6" t="str">
        <f>IF($J459=0,"",IF(INDEX(Datos!$F$2:$F$1000,$J459)="","",INDEX(Datos!$F$2:$F$1000,$J459)))</f>
        <v/>
      </c>
      <c r="E459" s="7" t="str">
        <f>IF($J459=0,"",IF(INDEX(Datos!$H$2:$H$1000,$J459)="","",INDEX(Datos!$H$2:$H$1000,$J459)))</f>
        <v/>
      </c>
      <c r="F459" s="6" t="str">
        <f>IF($J459=0,"",IF(INDEX(Datos!$N$2:$N$1000,$J459)="","",INDEX(Datos!$N$2:$N$1000,$J459)))</f>
        <v/>
      </c>
      <c r="G459" s="8" t="str">
        <f>IF($J459=0,"",IF(INDEX(Datos!$M$2:$M$1000,$J459)="","",INDEX(Datos!$M$2:$M$1000,$J459)))</f>
        <v/>
      </c>
      <c r="H459" s="6" t="str">
        <f>IF($J459=0,"",INDEX(Datos!$J$2:$J$1000,$J459)&amp;IF(INDEX(Datos!$Q$2:$Q$1000,$J459)="",""," | "&amp;INDEX(Datos!$Q$2:$Q$1000,$J459)))</f>
        <v/>
      </c>
      <c r="J459">
        <f>IFERROR(MATCH(ROW()-17,Datos!$W$2:$W$1000,0),0)</f>
        <v>0</v>
      </c>
    </row>
    <row r="460" spans="1:10" ht="82" customHeight="1" x14ac:dyDescent="0.35">
      <c r="A460" s="4" t="str">
        <f>IF($J460=0,"",IF(INDEX(Datos!$A$2:$A$1000,$J460)="","",INDEX(Datos!$A$2:$A$1000,$J460)))</f>
        <v/>
      </c>
      <c r="B460" s="5" t="str">
        <f>IF($J460=0,"",IF(INDEX(Datos!$E$2:$E$1000,$J460)="","",INDEX(Datos!$E$2:$E$1000,$J460)))</f>
        <v/>
      </c>
      <c r="C460" s="5" t="str">
        <f>IF($J460=0,"",IF(INDEX(Datos!$I$2:$I$1000,$J460)="","",INDEX(Datos!$I$2:$I$1000,$J460)))</f>
        <v/>
      </c>
      <c r="D460" s="6" t="str">
        <f>IF($J460=0,"",IF(INDEX(Datos!$F$2:$F$1000,$J460)="","",INDEX(Datos!$F$2:$F$1000,$J460)))</f>
        <v/>
      </c>
      <c r="E460" s="7" t="str">
        <f>IF($J460=0,"",IF(INDEX(Datos!$H$2:$H$1000,$J460)="","",INDEX(Datos!$H$2:$H$1000,$J460)))</f>
        <v/>
      </c>
      <c r="F460" s="6" t="str">
        <f>IF($J460=0,"",IF(INDEX(Datos!$N$2:$N$1000,$J460)="","",INDEX(Datos!$N$2:$N$1000,$J460)))</f>
        <v/>
      </c>
      <c r="G460" s="8" t="str">
        <f>IF($J460=0,"",IF(INDEX(Datos!$M$2:$M$1000,$J460)="","",INDEX(Datos!$M$2:$M$1000,$J460)))</f>
        <v/>
      </c>
      <c r="H460" s="6" t="str">
        <f>IF($J460=0,"",INDEX(Datos!$J$2:$J$1000,$J460)&amp;IF(INDEX(Datos!$Q$2:$Q$1000,$J460)="",""," | "&amp;INDEX(Datos!$Q$2:$Q$1000,$J460)))</f>
        <v/>
      </c>
      <c r="J460">
        <f>IFERROR(MATCH(ROW()-17,Datos!$W$2:$W$1000,0),0)</f>
        <v>0</v>
      </c>
    </row>
    <row r="461" spans="1:10" ht="82" customHeight="1" x14ac:dyDescent="0.35">
      <c r="A461" s="4" t="str">
        <f>IF($J461=0,"",IF(INDEX(Datos!$A$2:$A$1000,$J461)="","",INDEX(Datos!$A$2:$A$1000,$J461)))</f>
        <v/>
      </c>
      <c r="B461" s="5" t="str">
        <f>IF($J461=0,"",IF(INDEX(Datos!$E$2:$E$1000,$J461)="","",INDEX(Datos!$E$2:$E$1000,$J461)))</f>
        <v/>
      </c>
      <c r="C461" s="5" t="str">
        <f>IF($J461=0,"",IF(INDEX(Datos!$I$2:$I$1000,$J461)="","",INDEX(Datos!$I$2:$I$1000,$J461)))</f>
        <v/>
      </c>
      <c r="D461" s="6" t="str">
        <f>IF($J461=0,"",IF(INDEX(Datos!$F$2:$F$1000,$J461)="","",INDEX(Datos!$F$2:$F$1000,$J461)))</f>
        <v/>
      </c>
      <c r="E461" s="7" t="str">
        <f>IF($J461=0,"",IF(INDEX(Datos!$H$2:$H$1000,$J461)="","",INDEX(Datos!$H$2:$H$1000,$J461)))</f>
        <v/>
      </c>
      <c r="F461" s="6" t="str">
        <f>IF($J461=0,"",IF(INDEX(Datos!$N$2:$N$1000,$J461)="","",INDEX(Datos!$N$2:$N$1000,$J461)))</f>
        <v/>
      </c>
      <c r="G461" s="8" t="str">
        <f>IF($J461=0,"",IF(INDEX(Datos!$M$2:$M$1000,$J461)="","",INDEX(Datos!$M$2:$M$1000,$J461)))</f>
        <v/>
      </c>
      <c r="H461" s="6" t="str">
        <f>IF($J461=0,"",INDEX(Datos!$J$2:$J$1000,$J461)&amp;IF(INDEX(Datos!$Q$2:$Q$1000,$J461)="",""," | "&amp;INDEX(Datos!$Q$2:$Q$1000,$J461)))</f>
        <v/>
      </c>
      <c r="J461">
        <f>IFERROR(MATCH(ROW()-17,Datos!$W$2:$W$1000,0),0)</f>
        <v>0</v>
      </c>
    </row>
    <row r="462" spans="1:10" ht="82" customHeight="1" x14ac:dyDescent="0.35">
      <c r="A462" s="4" t="str">
        <f>IF($J462=0,"",IF(INDEX(Datos!$A$2:$A$1000,$J462)="","",INDEX(Datos!$A$2:$A$1000,$J462)))</f>
        <v/>
      </c>
      <c r="B462" s="5" t="str">
        <f>IF($J462=0,"",IF(INDEX(Datos!$E$2:$E$1000,$J462)="","",INDEX(Datos!$E$2:$E$1000,$J462)))</f>
        <v/>
      </c>
      <c r="C462" s="5" t="str">
        <f>IF($J462=0,"",IF(INDEX(Datos!$I$2:$I$1000,$J462)="","",INDEX(Datos!$I$2:$I$1000,$J462)))</f>
        <v/>
      </c>
      <c r="D462" s="6" t="str">
        <f>IF($J462=0,"",IF(INDEX(Datos!$F$2:$F$1000,$J462)="","",INDEX(Datos!$F$2:$F$1000,$J462)))</f>
        <v/>
      </c>
      <c r="E462" s="7" t="str">
        <f>IF($J462=0,"",IF(INDEX(Datos!$H$2:$H$1000,$J462)="","",INDEX(Datos!$H$2:$H$1000,$J462)))</f>
        <v/>
      </c>
      <c r="F462" s="6" t="str">
        <f>IF($J462=0,"",IF(INDEX(Datos!$N$2:$N$1000,$J462)="","",INDEX(Datos!$N$2:$N$1000,$J462)))</f>
        <v/>
      </c>
      <c r="G462" s="8" t="str">
        <f>IF($J462=0,"",IF(INDEX(Datos!$M$2:$M$1000,$J462)="","",INDEX(Datos!$M$2:$M$1000,$J462)))</f>
        <v/>
      </c>
      <c r="H462" s="6" t="str">
        <f>IF($J462=0,"",INDEX(Datos!$J$2:$J$1000,$J462)&amp;IF(INDEX(Datos!$Q$2:$Q$1000,$J462)="",""," | "&amp;INDEX(Datos!$Q$2:$Q$1000,$J462)))</f>
        <v/>
      </c>
      <c r="J462">
        <f>IFERROR(MATCH(ROW()-17,Datos!$W$2:$W$1000,0),0)</f>
        <v>0</v>
      </c>
    </row>
    <row r="463" spans="1:10" ht="82" customHeight="1" x14ac:dyDescent="0.35">
      <c r="A463" s="4" t="str">
        <f>IF($J463=0,"",IF(INDEX(Datos!$A$2:$A$1000,$J463)="","",INDEX(Datos!$A$2:$A$1000,$J463)))</f>
        <v/>
      </c>
      <c r="B463" s="5" t="str">
        <f>IF($J463=0,"",IF(INDEX(Datos!$E$2:$E$1000,$J463)="","",INDEX(Datos!$E$2:$E$1000,$J463)))</f>
        <v/>
      </c>
      <c r="C463" s="5" t="str">
        <f>IF($J463=0,"",IF(INDEX(Datos!$I$2:$I$1000,$J463)="","",INDEX(Datos!$I$2:$I$1000,$J463)))</f>
        <v/>
      </c>
      <c r="D463" s="6" t="str">
        <f>IF($J463=0,"",IF(INDEX(Datos!$F$2:$F$1000,$J463)="","",INDEX(Datos!$F$2:$F$1000,$J463)))</f>
        <v/>
      </c>
      <c r="E463" s="7" t="str">
        <f>IF($J463=0,"",IF(INDEX(Datos!$H$2:$H$1000,$J463)="","",INDEX(Datos!$H$2:$H$1000,$J463)))</f>
        <v/>
      </c>
      <c r="F463" s="6" t="str">
        <f>IF($J463=0,"",IF(INDEX(Datos!$N$2:$N$1000,$J463)="","",INDEX(Datos!$N$2:$N$1000,$J463)))</f>
        <v/>
      </c>
      <c r="G463" s="8" t="str">
        <f>IF($J463=0,"",IF(INDEX(Datos!$M$2:$M$1000,$J463)="","",INDEX(Datos!$M$2:$M$1000,$J463)))</f>
        <v/>
      </c>
      <c r="H463" s="6" t="str">
        <f>IF($J463=0,"",INDEX(Datos!$J$2:$J$1000,$J463)&amp;IF(INDEX(Datos!$Q$2:$Q$1000,$J463)="",""," | "&amp;INDEX(Datos!$Q$2:$Q$1000,$J463)))</f>
        <v/>
      </c>
      <c r="J463">
        <f>IFERROR(MATCH(ROW()-17,Datos!$W$2:$W$1000,0),0)</f>
        <v>0</v>
      </c>
    </row>
    <row r="464" spans="1:10" ht="82" customHeight="1" x14ac:dyDescent="0.35">
      <c r="A464" s="4" t="str">
        <f>IF($J464=0,"",IF(INDEX(Datos!$A$2:$A$1000,$J464)="","",INDEX(Datos!$A$2:$A$1000,$J464)))</f>
        <v/>
      </c>
      <c r="B464" s="5" t="str">
        <f>IF($J464=0,"",IF(INDEX(Datos!$E$2:$E$1000,$J464)="","",INDEX(Datos!$E$2:$E$1000,$J464)))</f>
        <v/>
      </c>
      <c r="C464" s="5" t="str">
        <f>IF($J464=0,"",IF(INDEX(Datos!$I$2:$I$1000,$J464)="","",INDEX(Datos!$I$2:$I$1000,$J464)))</f>
        <v/>
      </c>
      <c r="D464" s="6" t="str">
        <f>IF($J464=0,"",IF(INDEX(Datos!$F$2:$F$1000,$J464)="","",INDEX(Datos!$F$2:$F$1000,$J464)))</f>
        <v/>
      </c>
      <c r="E464" s="7" t="str">
        <f>IF($J464=0,"",IF(INDEX(Datos!$H$2:$H$1000,$J464)="","",INDEX(Datos!$H$2:$H$1000,$J464)))</f>
        <v/>
      </c>
      <c r="F464" s="6" t="str">
        <f>IF($J464=0,"",IF(INDEX(Datos!$N$2:$N$1000,$J464)="","",INDEX(Datos!$N$2:$N$1000,$J464)))</f>
        <v/>
      </c>
      <c r="G464" s="8" t="str">
        <f>IF($J464=0,"",IF(INDEX(Datos!$M$2:$M$1000,$J464)="","",INDEX(Datos!$M$2:$M$1000,$J464)))</f>
        <v/>
      </c>
      <c r="H464" s="6" t="str">
        <f>IF($J464=0,"",INDEX(Datos!$J$2:$J$1000,$J464)&amp;IF(INDEX(Datos!$Q$2:$Q$1000,$J464)="",""," | "&amp;INDEX(Datos!$Q$2:$Q$1000,$J464)))</f>
        <v/>
      </c>
      <c r="J464">
        <f>IFERROR(MATCH(ROW()-17,Datos!$W$2:$W$1000,0),0)</f>
        <v>0</v>
      </c>
    </row>
    <row r="465" spans="1:10" ht="82" customHeight="1" x14ac:dyDescent="0.35">
      <c r="A465" s="4" t="str">
        <f>IF($J465=0,"",IF(INDEX(Datos!$A$2:$A$1000,$J465)="","",INDEX(Datos!$A$2:$A$1000,$J465)))</f>
        <v/>
      </c>
      <c r="B465" s="5" t="str">
        <f>IF($J465=0,"",IF(INDEX(Datos!$E$2:$E$1000,$J465)="","",INDEX(Datos!$E$2:$E$1000,$J465)))</f>
        <v/>
      </c>
      <c r="C465" s="5" t="str">
        <f>IF($J465=0,"",IF(INDEX(Datos!$I$2:$I$1000,$J465)="","",INDEX(Datos!$I$2:$I$1000,$J465)))</f>
        <v/>
      </c>
      <c r="D465" s="6" t="str">
        <f>IF($J465=0,"",IF(INDEX(Datos!$F$2:$F$1000,$J465)="","",INDEX(Datos!$F$2:$F$1000,$J465)))</f>
        <v/>
      </c>
      <c r="E465" s="7" t="str">
        <f>IF($J465=0,"",IF(INDEX(Datos!$H$2:$H$1000,$J465)="","",INDEX(Datos!$H$2:$H$1000,$J465)))</f>
        <v/>
      </c>
      <c r="F465" s="6" t="str">
        <f>IF($J465=0,"",IF(INDEX(Datos!$N$2:$N$1000,$J465)="","",INDEX(Datos!$N$2:$N$1000,$J465)))</f>
        <v/>
      </c>
      <c r="G465" s="8" t="str">
        <f>IF($J465=0,"",IF(INDEX(Datos!$M$2:$M$1000,$J465)="","",INDEX(Datos!$M$2:$M$1000,$J465)))</f>
        <v/>
      </c>
      <c r="H465" s="6" t="str">
        <f>IF($J465=0,"",INDEX(Datos!$J$2:$J$1000,$J465)&amp;IF(INDEX(Datos!$Q$2:$Q$1000,$J465)="",""," | "&amp;INDEX(Datos!$Q$2:$Q$1000,$J465)))</f>
        <v/>
      </c>
      <c r="J465">
        <f>IFERROR(MATCH(ROW()-17,Datos!$W$2:$W$1000,0),0)</f>
        <v>0</v>
      </c>
    </row>
    <row r="466" spans="1:10" ht="82" customHeight="1" x14ac:dyDescent="0.35">
      <c r="A466" s="4" t="str">
        <f>IF($J466=0,"",IF(INDEX(Datos!$A$2:$A$1000,$J466)="","",INDEX(Datos!$A$2:$A$1000,$J466)))</f>
        <v/>
      </c>
      <c r="B466" s="5" t="str">
        <f>IF($J466=0,"",IF(INDEX(Datos!$E$2:$E$1000,$J466)="","",INDEX(Datos!$E$2:$E$1000,$J466)))</f>
        <v/>
      </c>
      <c r="C466" s="5" t="str">
        <f>IF($J466=0,"",IF(INDEX(Datos!$I$2:$I$1000,$J466)="","",INDEX(Datos!$I$2:$I$1000,$J466)))</f>
        <v/>
      </c>
      <c r="D466" s="6" t="str">
        <f>IF($J466=0,"",IF(INDEX(Datos!$F$2:$F$1000,$J466)="","",INDEX(Datos!$F$2:$F$1000,$J466)))</f>
        <v/>
      </c>
      <c r="E466" s="7" t="str">
        <f>IF($J466=0,"",IF(INDEX(Datos!$H$2:$H$1000,$J466)="","",INDEX(Datos!$H$2:$H$1000,$J466)))</f>
        <v/>
      </c>
      <c r="F466" s="6" t="str">
        <f>IF($J466=0,"",IF(INDEX(Datos!$N$2:$N$1000,$J466)="","",INDEX(Datos!$N$2:$N$1000,$J466)))</f>
        <v/>
      </c>
      <c r="G466" s="8" t="str">
        <f>IF($J466=0,"",IF(INDEX(Datos!$M$2:$M$1000,$J466)="","",INDEX(Datos!$M$2:$M$1000,$J466)))</f>
        <v/>
      </c>
      <c r="H466" s="6" t="str">
        <f>IF($J466=0,"",INDEX(Datos!$J$2:$J$1000,$J466)&amp;IF(INDEX(Datos!$Q$2:$Q$1000,$J466)="",""," | "&amp;INDEX(Datos!$Q$2:$Q$1000,$J466)))</f>
        <v/>
      </c>
      <c r="J466">
        <f>IFERROR(MATCH(ROW()-17,Datos!$W$2:$W$1000,0),0)</f>
        <v>0</v>
      </c>
    </row>
    <row r="467" spans="1:10" ht="82" customHeight="1" x14ac:dyDescent="0.35">
      <c r="A467" s="4" t="str">
        <f>IF($J467=0,"",IF(INDEX(Datos!$A$2:$A$1000,$J467)="","",INDEX(Datos!$A$2:$A$1000,$J467)))</f>
        <v/>
      </c>
      <c r="B467" s="5" t="str">
        <f>IF($J467=0,"",IF(INDEX(Datos!$E$2:$E$1000,$J467)="","",INDEX(Datos!$E$2:$E$1000,$J467)))</f>
        <v/>
      </c>
      <c r="C467" s="5" t="str">
        <f>IF($J467=0,"",IF(INDEX(Datos!$I$2:$I$1000,$J467)="","",INDEX(Datos!$I$2:$I$1000,$J467)))</f>
        <v/>
      </c>
      <c r="D467" s="6" t="str">
        <f>IF($J467=0,"",IF(INDEX(Datos!$F$2:$F$1000,$J467)="","",INDEX(Datos!$F$2:$F$1000,$J467)))</f>
        <v/>
      </c>
      <c r="E467" s="7" t="str">
        <f>IF($J467=0,"",IF(INDEX(Datos!$H$2:$H$1000,$J467)="","",INDEX(Datos!$H$2:$H$1000,$J467)))</f>
        <v/>
      </c>
      <c r="F467" s="6" t="str">
        <f>IF($J467=0,"",IF(INDEX(Datos!$N$2:$N$1000,$J467)="","",INDEX(Datos!$N$2:$N$1000,$J467)))</f>
        <v/>
      </c>
      <c r="G467" s="8" t="str">
        <f>IF($J467=0,"",IF(INDEX(Datos!$M$2:$M$1000,$J467)="","",INDEX(Datos!$M$2:$M$1000,$J467)))</f>
        <v/>
      </c>
      <c r="H467" s="6" t="str">
        <f>IF($J467=0,"",INDEX(Datos!$J$2:$J$1000,$J467)&amp;IF(INDEX(Datos!$Q$2:$Q$1000,$J467)="",""," | "&amp;INDEX(Datos!$Q$2:$Q$1000,$J467)))</f>
        <v/>
      </c>
      <c r="J467">
        <f>IFERROR(MATCH(ROW()-17,Datos!$W$2:$W$1000,0),0)</f>
        <v>0</v>
      </c>
    </row>
    <row r="468" spans="1:10" ht="82" customHeight="1" x14ac:dyDescent="0.35">
      <c r="A468" s="4" t="str">
        <f>IF($J468=0,"",IF(INDEX(Datos!$A$2:$A$1000,$J468)="","",INDEX(Datos!$A$2:$A$1000,$J468)))</f>
        <v/>
      </c>
      <c r="B468" s="5" t="str">
        <f>IF($J468=0,"",IF(INDEX(Datos!$E$2:$E$1000,$J468)="","",INDEX(Datos!$E$2:$E$1000,$J468)))</f>
        <v/>
      </c>
      <c r="C468" s="5" t="str">
        <f>IF($J468=0,"",IF(INDEX(Datos!$I$2:$I$1000,$J468)="","",INDEX(Datos!$I$2:$I$1000,$J468)))</f>
        <v/>
      </c>
      <c r="D468" s="6" t="str">
        <f>IF($J468=0,"",IF(INDEX(Datos!$F$2:$F$1000,$J468)="","",INDEX(Datos!$F$2:$F$1000,$J468)))</f>
        <v/>
      </c>
      <c r="E468" s="7" t="str">
        <f>IF($J468=0,"",IF(INDEX(Datos!$H$2:$H$1000,$J468)="","",INDEX(Datos!$H$2:$H$1000,$J468)))</f>
        <v/>
      </c>
      <c r="F468" s="6" t="str">
        <f>IF($J468=0,"",IF(INDEX(Datos!$N$2:$N$1000,$J468)="","",INDEX(Datos!$N$2:$N$1000,$J468)))</f>
        <v/>
      </c>
      <c r="G468" s="8" t="str">
        <f>IF($J468=0,"",IF(INDEX(Datos!$M$2:$M$1000,$J468)="","",INDEX(Datos!$M$2:$M$1000,$J468)))</f>
        <v/>
      </c>
      <c r="H468" s="6" t="str">
        <f>IF($J468=0,"",INDEX(Datos!$J$2:$J$1000,$J468)&amp;IF(INDEX(Datos!$Q$2:$Q$1000,$J468)="",""," | "&amp;INDEX(Datos!$Q$2:$Q$1000,$J468)))</f>
        <v/>
      </c>
      <c r="J468">
        <f>IFERROR(MATCH(ROW()-17,Datos!$W$2:$W$1000,0),0)</f>
        <v>0</v>
      </c>
    </row>
    <row r="469" spans="1:10" ht="82" customHeight="1" x14ac:dyDescent="0.35">
      <c r="A469" s="4" t="str">
        <f>IF($J469=0,"",IF(INDEX(Datos!$A$2:$A$1000,$J469)="","",INDEX(Datos!$A$2:$A$1000,$J469)))</f>
        <v/>
      </c>
      <c r="B469" s="5" t="str">
        <f>IF($J469=0,"",IF(INDEX(Datos!$E$2:$E$1000,$J469)="","",INDEX(Datos!$E$2:$E$1000,$J469)))</f>
        <v/>
      </c>
      <c r="C469" s="5" t="str">
        <f>IF($J469=0,"",IF(INDEX(Datos!$I$2:$I$1000,$J469)="","",INDEX(Datos!$I$2:$I$1000,$J469)))</f>
        <v/>
      </c>
      <c r="D469" s="6" t="str">
        <f>IF($J469=0,"",IF(INDEX(Datos!$F$2:$F$1000,$J469)="","",INDEX(Datos!$F$2:$F$1000,$J469)))</f>
        <v/>
      </c>
      <c r="E469" s="7" t="str">
        <f>IF($J469=0,"",IF(INDEX(Datos!$H$2:$H$1000,$J469)="","",INDEX(Datos!$H$2:$H$1000,$J469)))</f>
        <v/>
      </c>
      <c r="F469" s="6" t="str">
        <f>IF($J469=0,"",IF(INDEX(Datos!$N$2:$N$1000,$J469)="","",INDEX(Datos!$N$2:$N$1000,$J469)))</f>
        <v/>
      </c>
      <c r="G469" s="8" t="str">
        <f>IF($J469=0,"",IF(INDEX(Datos!$M$2:$M$1000,$J469)="","",INDEX(Datos!$M$2:$M$1000,$J469)))</f>
        <v/>
      </c>
      <c r="H469" s="6" t="str">
        <f>IF($J469=0,"",INDEX(Datos!$J$2:$J$1000,$J469)&amp;IF(INDEX(Datos!$Q$2:$Q$1000,$J469)="",""," | "&amp;INDEX(Datos!$Q$2:$Q$1000,$J469)))</f>
        <v/>
      </c>
      <c r="J469">
        <f>IFERROR(MATCH(ROW()-17,Datos!$W$2:$W$1000,0),0)</f>
        <v>0</v>
      </c>
    </row>
    <row r="470" spans="1:10" ht="82" customHeight="1" x14ac:dyDescent="0.35">
      <c r="A470" s="4" t="str">
        <f>IF($J470=0,"",IF(INDEX(Datos!$A$2:$A$1000,$J470)="","",INDEX(Datos!$A$2:$A$1000,$J470)))</f>
        <v/>
      </c>
      <c r="B470" s="5" t="str">
        <f>IF($J470=0,"",IF(INDEX(Datos!$E$2:$E$1000,$J470)="","",INDEX(Datos!$E$2:$E$1000,$J470)))</f>
        <v/>
      </c>
      <c r="C470" s="5" t="str">
        <f>IF($J470=0,"",IF(INDEX(Datos!$I$2:$I$1000,$J470)="","",INDEX(Datos!$I$2:$I$1000,$J470)))</f>
        <v/>
      </c>
      <c r="D470" s="6" t="str">
        <f>IF($J470=0,"",IF(INDEX(Datos!$F$2:$F$1000,$J470)="","",INDEX(Datos!$F$2:$F$1000,$J470)))</f>
        <v/>
      </c>
      <c r="E470" s="7" t="str">
        <f>IF($J470=0,"",IF(INDEX(Datos!$H$2:$H$1000,$J470)="","",INDEX(Datos!$H$2:$H$1000,$J470)))</f>
        <v/>
      </c>
      <c r="F470" s="6" t="str">
        <f>IF($J470=0,"",IF(INDEX(Datos!$N$2:$N$1000,$J470)="","",INDEX(Datos!$N$2:$N$1000,$J470)))</f>
        <v/>
      </c>
      <c r="G470" s="8" t="str">
        <f>IF($J470=0,"",IF(INDEX(Datos!$M$2:$M$1000,$J470)="","",INDEX(Datos!$M$2:$M$1000,$J470)))</f>
        <v/>
      </c>
      <c r="H470" s="6" t="str">
        <f>IF($J470=0,"",INDEX(Datos!$J$2:$J$1000,$J470)&amp;IF(INDEX(Datos!$Q$2:$Q$1000,$J470)="",""," | "&amp;INDEX(Datos!$Q$2:$Q$1000,$J470)))</f>
        <v/>
      </c>
      <c r="J470">
        <f>IFERROR(MATCH(ROW()-17,Datos!$W$2:$W$1000,0),0)</f>
        <v>0</v>
      </c>
    </row>
    <row r="471" spans="1:10" ht="82" customHeight="1" x14ac:dyDescent="0.35">
      <c r="A471" s="4" t="str">
        <f>IF($J471=0,"",IF(INDEX(Datos!$A$2:$A$1000,$J471)="","",INDEX(Datos!$A$2:$A$1000,$J471)))</f>
        <v/>
      </c>
      <c r="B471" s="5" t="str">
        <f>IF($J471=0,"",IF(INDEX(Datos!$E$2:$E$1000,$J471)="","",INDEX(Datos!$E$2:$E$1000,$J471)))</f>
        <v/>
      </c>
      <c r="C471" s="5" t="str">
        <f>IF($J471=0,"",IF(INDEX(Datos!$I$2:$I$1000,$J471)="","",INDEX(Datos!$I$2:$I$1000,$J471)))</f>
        <v/>
      </c>
      <c r="D471" s="6" t="str">
        <f>IF($J471=0,"",IF(INDEX(Datos!$F$2:$F$1000,$J471)="","",INDEX(Datos!$F$2:$F$1000,$J471)))</f>
        <v/>
      </c>
      <c r="E471" s="7" t="str">
        <f>IF($J471=0,"",IF(INDEX(Datos!$H$2:$H$1000,$J471)="","",INDEX(Datos!$H$2:$H$1000,$J471)))</f>
        <v/>
      </c>
      <c r="F471" s="6" t="str">
        <f>IF($J471=0,"",IF(INDEX(Datos!$N$2:$N$1000,$J471)="","",INDEX(Datos!$N$2:$N$1000,$J471)))</f>
        <v/>
      </c>
      <c r="G471" s="8" t="str">
        <f>IF($J471=0,"",IF(INDEX(Datos!$M$2:$M$1000,$J471)="","",INDEX(Datos!$M$2:$M$1000,$J471)))</f>
        <v/>
      </c>
      <c r="H471" s="6" t="str">
        <f>IF($J471=0,"",INDEX(Datos!$J$2:$J$1000,$J471)&amp;IF(INDEX(Datos!$Q$2:$Q$1000,$J471)="",""," | "&amp;INDEX(Datos!$Q$2:$Q$1000,$J471)))</f>
        <v/>
      </c>
      <c r="J471">
        <f>IFERROR(MATCH(ROW()-17,Datos!$W$2:$W$1000,0),0)</f>
        <v>0</v>
      </c>
    </row>
    <row r="472" spans="1:10" ht="82" customHeight="1" x14ac:dyDescent="0.35">
      <c r="A472" s="4" t="str">
        <f>IF($J472=0,"",IF(INDEX(Datos!$A$2:$A$1000,$J472)="","",INDEX(Datos!$A$2:$A$1000,$J472)))</f>
        <v/>
      </c>
      <c r="B472" s="5" t="str">
        <f>IF($J472=0,"",IF(INDEX(Datos!$E$2:$E$1000,$J472)="","",INDEX(Datos!$E$2:$E$1000,$J472)))</f>
        <v/>
      </c>
      <c r="C472" s="5" t="str">
        <f>IF($J472=0,"",IF(INDEX(Datos!$I$2:$I$1000,$J472)="","",INDEX(Datos!$I$2:$I$1000,$J472)))</f>
        <v/>
      </c>
      <c r="D472" s="6" t="str">
        <f>IF($J472=0,"",IF(INDEX(Datos!$F$2:$F$1000,$J472)="","",INDEX(Datos!$F$2:$F$1000,$J472)))</f>
        <v/>
      </c>
      <c r="E472" s="7" t="str">
        <f>IF($J472=0,"",IF(INDEX(Datos!$H$2:$H$1000,$J472)="","",INDEX(Datos!$H$2:$H$1000,$J472)))</f>
        <v/>
      </c>
      <c r="F472" s="6" t="str">
        <f>IF($J472=0,"",IF(INDEX(Datos!$N$2:$N$1000,$J472)="","",INDEX(Datos!$N$2:$N$1000,$J472)))</f>
        <v/>
      </c>
      <c r="G472" s="8" t="str">
        <f>IF($J472=0,"",IF(INDEX(Datos!$M$2:$M$1000,$J472)="","",INDEX(Datos!$M$2:$M$1000,$J472)))</f>
        <v/>
      </c>
      <c r="H472" s="6" t="str">
        <f>IF($J472=0,"",INDEX(Datos!$J$2:$J$1000,$J472)&amp;IF(INDEX(Datos!$Q$2:$Q$1000,$J472)="",""," | "&amp;INDEX(Datos!$Q$2:$Q$1000,$J472)))</f>
        <v/>
      </c>
      <c r="J472">
        <f>IFERROR(MATCH(ROW()-17,Datos!$W$2:$W$1000,0),0)</f>
        <v>0</v>
      </c>
    </row>
    <row r="473" spans="1:10" ht="82" customHeight="1" x14ac:dyDescent="0.35">
      <c r="A473" s="4" t="str">
        <f>IF($J473=0,"",IF(INDEX(Datos!$A$2:$A$1000,$J473)="","",INDEX(Datos!$A$2:$A$1000,$J473)))</f>
        <v/>
      </c>
      <c r="B473" s="5" t="str">
        <f>IF($J473=0,"",IF(INDEX(Datos!$E$2:$E$1000,$J473)="","",INDEX(Datos!$E$2:$E$1000,$J473)))</f>
        <v/>
      </c>
      <c r="C473" s="5" t="str">
        <f>IF($J473=0,"",IF(INDEX(Datos!$I$2:$I$1000,$J473)="","",INDEX(Datos!$I$2:$I$1000,$J473)))</f>
        <v/>
      </c>
      <c r="D473" s="6" t="str">
        <f>IF($J473=0,"",IF(INDEX(Datos!$F$2:$F$1000,$J473)="","",INDEX(Datos!$F$2:$F$1000,$J473)))</f>
        <v/>
      </c>
      <c r="E473" s="7" t="str">
        <f>IF($J473=0,"",IF(INDEX(Datos!$H$2:$H$1000,$J473)="","",INDEX(Datos!$H$2:$H$1000,$J473)))</f>
        <v/>
      </c>
      <c r="F473" s="6" t="str">
        <f>IF($J473=0,"",IF(INDEX(Datos!$N$2:$N$1000,$J473)="","",INDEX(Datos!$N$2:$N$1000,$J473)))</f>
        <v/>
      </c>
      <c r="G473" s="8" t="str">
        <f>IF($J473=0,"",IF(INDEX(Datos!$M$2:$M$1000,$J473)="","",INDEX(Datos!$M$2:$M$1000,$J473)))</f>
        <v/>
      </c>
      <c r="H473" s="6" t="str">
        <f>IF($J473=0,"",INDEX(Datos!$J$2:$J$1000,$J473)&amp;IF(INDEX(Datos!$Q$2:$Q$1000,$J473)="",""," | "&amp;INDEX(Datos!$Q$2:$Q$1000,$J473)))</f>
        <v/>
      </c>
      <c r="J473">
        <f>IFERROR(MATCH(ROW()-17,Datos!$W$2:$W$1000,0),0)</f>
        <v>0</v>
      </c>
    </row>
    <row r="474" spans="1:10" ht="82" customHeight="1" x14ac:dyDescent="0.35">
      <c r="A474" s="4" t="str">
        <f>IF($J474=0,"",IF(INDEX(Datos!$A$2:$A$1000,$J474)="","",INDEX(Datos!$A$2:$A$1000,$J474)))</f>
        <v/>
      </c>
      <c r="B474" s="5" t="str">
        <f>IF($J474=0,"",IF(INDEX(Datos!$E$2:$E$1000,$J474)="","",INDEX(Datos!$E$2:$E$1000,$J474)))</f>
        <v/>
      </c>
      <c r="C474" s="5" t="str">
        <f>IF($J474=0,"",IF(INDEX(Datos!$I$2:$I$1000,$J474)="","",INDEX(Datos!$I$2:$I$1000,$J474)))</f>
        <v/>
      </c>
      <c r="D474" s="6" t="str">
        <f>IF($J474=0,"",IF(INDEX(Datos!$F$2:$F$1000,$J474)="","",INDEX(Datos!$F$2:$F$1000,$J474)))</f>
        <v/>
      </c>
      <c r="E474" s="7" t="str">
        <f>IF($J474=0,"",IF(INDEX(Datos!$H$2:$H$1000,$J474)="","",INDEX(Datos!$H$2:$H$1000,$J474)))</f>
        <v/>
      </c>
      <c r="F474" s="6" t="str">
        <f>IF($J474=0,"",IF(INDEX(Datos!$N$2:$N$1000,$J474)="","",INDEX(Datos!$N$2:$N$1000,$J474)))</f>
        <v/>
      </c>
      <c r="G474" s="8" t="str">
        <f>IF($J474=0,"",IF(INDEX(Datos!$M$2:$M$1000,$J474)="","",INDEX(Datos!$M$2:$M$1000,$J474)))</f>
        <v/>
      </c>
      <c r="H474" s="6" t="str">
        <f>IF($J474=0,"",INDEX(Datos!$J$2:$J$1000,$J474)&amp;IF(INDEX(Datos!$Q$2:$Q$1000,$J474)="",""," | "&amp;INDEX(Datos!$Q$2:$Q$1000,$J474)))</f>
        <v/>
      </c>
      <c r="J474">
        <f>IFERROR(MATCH(ROW()-17,Datos!$W$2:$W$1000,0),0)</f>
        <v>0</v>
      </c>
    </row>
    <row r="475" spans="1:10" ht="82" customHeight="1" x14ac:dyDescent="0.35">
      <c r="A475" s="4" t="str">
        <f>IF($J475=0,"",IF(INDEX(Datos!$A$2:$A$1000,$J475)="","",INDEX(Datos!$A$2:$A$1000,$J475)))</f>
        <v/>
      </c>
      <c r="B475" s="5" t="str">
        <f>IF($J475=0,"",IF(INDEX(Datos!$E$2:$E$1000,$J475)="","",INDEX(Datos!$E$2:$E$1000,$J475)))</f>
        <v/>
      </c>
      <c r="C475" s="5" t="str">
        <f>IF($J475=0,"",IF(INDEX(Datos!$I$2:$I$1000,$J475)="","",INDEX(Datos!$I$2:$I$1000,$J475)))</f>
        <v/>
      </c>
      <c r="D475" s="6" t="str">
        <f>IF($J475=0,"",IF(INDEX(Datos!$F$2:$F$1000,$J475)="","",INDEX(Datos!$F$2:$F$1000,$J475)))</f>
        <v/>
      </c>
      <c r="E475" s="7" t="str">
        <f>IF($J475=0,"",IF(INDEX(Datos!$H$2:$H$1000,$J475)="","",INDEX(Datos!$H$2:$H$1000,$J475)))</f>
        <v/>
      </c>
      <c r="F475" s="6" t="str">
        <f>IF($J475=0,"",IF(INDEX(Datos!$N$2:$N$1000,$J475)="","",INDEX(Datos!$N$2:$N$1000,$J475)))</f>
        <v/>
      </c>
      <c r="G475" s="8" t="str">
        <f>IF($J475=0,"",IF(INDEX(Datos!$M$2:$M$1000,$J475)="","",INDEX(Datos!$M$2:$M$1000,$J475)))</f>
        <v/>
      </c>
      <c r="H475" s="6" t="str">
        <f>IF($J475=0,"",INDEX(Datos!$J$2:$J$1000,$J475)&amp;IF(INDEX(Datos!$Q$2:$Q$1000,$J475)="",""," | "&amp;INDEX(Datos!$Q$2:$Q$1000,$J475)))</f>
        <v/>
      </c>
      <c r="J475">
        <f>IFERROR(MATCH(ROW()-17,Datos!$W$2:$W$1000,0),0)</f>
        <v>0</v>
      </c>
    </row>
    <row r="476" spans="1:10" ht="82" customHeight="1" x14ac:dyDescent="0.35">
      <c r="A476" s="4" t="str">
        <f>IF($J476=0,"",IF(INDEX(Datos!$A$2:$A$1000,$J476)="","",INDEX(Datos!$A$2:$A$1000,$J476)))</f>
        <v/>
      </c>
      <c r="B476" s="5" t="str">
        <f>IF($J476=0,"",IF(INDEX(Datos!$E$2:$E$1000,$J476)="","",INDEX(Datos!$E$2:$E$1000,$J476)))</f>
        <v/>
      </c>
      <c r="C476" s="5" t="str">
        <f>IF($J476=0,"",IF(INDEX(Datos!$I$2:$I$1000,$J476)="","",INDEX(Datos!$I$2:$I$1000,$J476)))</f>
        <v/>
      </c>
      <c r="D476" s="6" t="str">
        <f>IF($J476=0,"",IF(INDEX(Datos!$F$2:$F$1000,$J476)="","",INDEX(Datos!$F$2:$F$1000,$J476)))</f>
        <v/>
      </c>
      <c r="E476" s="7" t="str">
        <f>IF($J476=0,"",IF(INDEX(Datos!$H$2:$H$1000,$J476)="","",INDEX(Datos!$H$2:$H$1000,$J476)))</f>
        <v/>
      </c>
      <c r="F476" s="6" t="str">
        <f>IF($J476=0,"",IF(INDEX(Datos!$N$2:$N$1000,$J476)="","",INDEX(Datos!$N$2:$N$1000,$J476)))</f>
        <v/>
      </c>
      <c r="G476" s="8" t="str">
        <f>IF($J476=0,"",IF(INDEX(Datos!$M$2:$M$1000,$J476)="","",INDEX(Datos!$M$2:$M$1000,$J476)))</f>
        <v/>
      </c>
      <c r="H476" s="6" t="str">
        <f>IF($J476=0,"",INDEX(Datos!$J$2:$J$1000,$J476)&amp;IF(INDEX(Datos!$Q$2:$Q$1000,$J476)="",""," | "&amp;INDEX(Datos!$Q$2:$Q$1000,$J476)))</f>
        <v/>
      </c>
      <c r="J476">
        <f>IFERROR(MATCH(ROW()-17,Datos!$W$2:$W$1000,0),0)</f>
        <v>0</v>
      </c>
    </row>
    <row r="477" spans="1:10" ht="82" customHeight="1" x14ac:dyDescent="0.35">
      <c r="A477" s="4" t="str">
        <f>IF($J477=0,"",IF(INDEX(Datos!$A$2:$A$1000,$J477)="","",INDEX(Datos!$A$2:$A$1000,$J477)))</f>
        <v/>
      </c>
      <c r="B477" s="5" t="str">
        <f>IF($J477=0,"",IF(INDEX(Datos!$E$2:$E$1000,$J477)="","",INDEX(Datos!$E$2:$E$1000,$J477)))</f>
        <v/>
      </c>
      <c r="C477" s="5" t="str">
        <f>IF($J477=0,"",IF(INDEX(Datos!$I$2:$I$1000,$J477)="","",INDEX(Datos!$I$2:$I$1000,$J477)))</f>
        <v/>
      </c>
      <c r="D477" s="6" t="str">
        <f>IF($J477=0,"",IF(INDEX(Datos!$F$2:$F$1000,$J477)="","",INDEX(Datos!$F$2:$F$1000,$J477)))</f>
        <v/>
      </c>
      <c r="E477" s="7" t="str">
        <f>IF($J477=0,"",IF(INDEX(Datos!$H$2:$H$1000,$J477)="","",INDEX(Datos!$H$2:$H$1000,$J477)))</f>
        <v/>
      </c>
      <c r="F477" s="6" t="str">
        <f>IF($J477=0,"",IF(INDEX(Datos!$N$2:$N$1000,$J477)="","",INDEX(Datos!$N$2:$N$1000,$J477)))</f>
        <v/>
      </c>
      <c r="G477" s="8" t="str">
        <f>IF($J477=0,"",IF(INDEX(Datos!$M$2:$M$1000,$J477)="","",INDEX(Datos!$M$2:$M$1000,$J477)))</f>
        <v/>
      </c>
      <c r="H477" s="6" t="str">
        <f>IF($J477=0,"",INDEX(Datos!$J$2:$J$1000,$J477)&amp;IF(INDEX(Datos!$Q$2:$Q$1000,$J477)="",""," | "&amp;INDEX(Datos!$Q$2:$Q$1000,$J477)))</f>
        <v/>
      </c>
      <c r="J477">
        <f>IFERROR(MATCH(ROW()-17,Datos!$W$2:$W$1000,0),0)</f>
        <v>0</v>
      </c>
    </row>
    <row r="478" spans="1:10" ht="82" customHeight="1" x14ac:dyDescent="0.35">
      <c r="A478" s="4" t="str">
        <f>IF($J478=0,"",IF(INDEX(Datos!$A$2:$A$1000,$J478)="","",INDEX(Datos!$A$2:$A$1000,$J478)))</f>
        <v/>
      </c>
      <c r="B478" s="5" t="str">
        <f>IF($J478=0,"",IF(INDEX(Datos!$E$2:$E$1000,$J478)="","",INDEX(Datos!$E$2:$E$1000,$J478)))</f>
        <v/>
      </c>
      <c r="C478" s="5" t="str">
        <f>IF($J478=0,"",IF(INDEX(Datos!$I$2:$I$1000,$J478)="","",INDEX(Datos!$I$2:$I$1000,$J478)))</f>
        <v/>
      </c>
      <c r="D478" s="6" t="str">
        <f>IF($J478=0,"",IF(INDEX(Datos!$F$2:$F$1000,$J478)="","",INDEX(Datos!$F$2:$F$1000,$J478)))</f>
        <v/>
      </c>
      <c r="E478" s="7" t="str">
        <f>IF($J478=0,"",IF(INDEX(Datos!$H$2:$H$1000,$J478)="","",INDEX(Datos!$H$2:$H$1000,$J478)))</f>
        <v/>
      </c>
      <c r="F478" s="6" t="str">
        <f>IF($J478=0,"",IF(INDEX(Datos!$N$2:$N$1000,$J478)="","",INDEX(Datos!$N$2:$N$1000,$J478)))</f>
        <v/>
      </c>
      <c r="G478" s="8" t="str">
        <f>IF($J478=0,"",IF(INDEX(Datos!$M$2:$M$1000,$J478)="","",INDEX(Datos!$M$2:$M$1000,$J478)))</f>
        <v/>
      </c>
      <c r="H478" s="6" t="str">
        <f>IF($J478=0,"",INDEX(Datos!$J$2:$J$1000,$J478)&amp;IF(INDEX(Datos!$Q$2:$Q$1000,$J478)="",""," | "&amp;INDEX(Datos!$Q$2:$Q$1000,$J478)))</f>
        <v/>
      </c>
      <c r="J478">
        <f>IFERROR(MATCH(ROW()-17,Datos!$W$2:$W$1000,0),0)</f>
        <v>0</v>
      </c>
    </row>
    <row r="479" spans="1:10" ht="82" customHeight="1" x14ac:dyDescent="0.35">
      <c r="A479" s="4" t="str">
        <f>IF($J479=0,"",IF(INDEX(Datos!$A$2:$A$1000,$J479)="","",INDEX(Datos!$A$2:$A$1000,$J479)))</f>
        <v/>
      </c>
      <c r="B479" s="5" t="str">
        <f>IF($J479=0,"",IF(INDEX(Datos!$E$2:$E$1000,$J479)="","",INDEX(Datos!$E$2:$E$1000,$J479)))</f>
        <v/>
      </c>
      <c r="C479" s="5" t="str">
        <f>IF($J479=0,"",IF(INDEX(Datos!$I$2:$I$1000,$J479)="","",INDEX(Datos!$I$2:$I$1000,$J479)))</f>
        <v/>
      </c>
      <c r="D479" s="6" t="str">
        <f>IF($J479=0,"",IF(INDEX(Datos!$F$2:$F$1000,$J479)="","",INDEX(Datos!$F$2:$F$1000,$J479)))</f>
        <v/>
      </c>
      <c r="E479" s="7" t="str">
        <f>IF($J479=0,"",IF(INDEX(Datos!$H$2:$H$1000,$J479)="","",INDEX(Datos!$H$2:$H$1000,$J479)))</f>
        <v/>
      </c>
      <c r="F479" s="6" t="str">
        <f>IF($J479=0,"",IF(INDEX(Datos!$N$2:$N$1000,$J479)="","",INDEX(Datos!$N$2:$N$1000,$J479)))</f>
        <v/>
      </c>
      <c r="G479" s="8" t="str">
        <f>IF($J479=0,"",IF(INDEX(Datos!$M$2:$M$1000,$J479)="","",INDEX(Datos!$M$2:$M$1000,$J479)))</f>
        <v/>
      </c>
      <c r="H479" s="6" t="str">
        <f>IF($J479=0,"",INDEX(Datos!$J$2:$J$1000,$J479)&amp;IF(INDEX(Datos!$Q$2:$Q$1000,$J479)="",""," | "&amp;INDEX(Datos!$Q$2:$Q$1000,$J479)))</f>
        <v/>
      </c>
      <c r="J479">
        <f>IFERROR(MATCH(ROW()-17,Datos!$W$2:$W$1000,0),0)</f>
        <v>0</v>
      </c>
    </row>
    <row r="480" spans="1:10" ht="82" customHeight="1" x14ac:dyDescent="0.35">
      <c r="A480" s="4" t="str">
        <f>IF($J480=0,"",IF(INDEX(Datos!$A$2:$A$1000,$J480)="","",INDEX(Datos!$A$2:$A$1000,$J480)))</f>
        <v/>
      </c>
      <c r="B480" s="5" t="str">
        <f>IF($J480=0,"",IF(INDEX(Datos!$E$2:$E$1000,$J480)="","",INDEX(Datos!$E$2:$E$1000,$J480)))</f>
        <v/>
      </c>
      <c r="C480" s="5" t="str">
        <f>IF($J480=0,"",IF(INDEX(Datos!$I$2:$I$1000,$J480)="","",INDEX(Datos!$I$2:$I$1000,$J480)))</f>
        <v/>
      </c>
      <c r="D480" s="6" t="str">
        <f>IF($J480=0,"",IF(INDEX(Datos!$F$2:$F$1000,$J480)="","",INDEX(Datos!$F$2:$F$1000,$J480)))</f>
        <v/>
      </c>
      <c r="E480" s="7" t="str">
        <f>IF($J480=0,"",IF(INDEX(Datos!$H$2:$H$1000,$J480)="","",INDEX(Datos!$H$2:$H$1000,$J480)))</f>
        <v/>
      </c>
      <c r="F480" s="6" t="str">
        <f>IF($J480=0,"",IF(INDEX(Datos!$N$2:$N$1000,$J480)="","",INDEX(Datos!$N$2:$N$1000,$J480)))</f>
        <v/>
      </c>
      <c r="G480" s="8" t="str">
        <f>IF($J480=0,"",IF(INDEX(Datos!$M$2:$M$1000,$J480)="","",INDEX(Datos!$M$2:$M$1000,$J480)))</f>
        <v/>
      </c>
      <c r="H480" s="6" t="str">
        <f>IF($J480=0,"",INDEX(Datos!$J$2:$J$1000,$J480)&amp;IF(INDEX(Datos!$Q$2:$Q$1000,$J480)="",""," | "&amp;INDEX(Datos!$Q$2:$Q$1000,$J480)))</f>
        <v/>
      </c>
      <c r="J480">
        <f>IFERROR(MATCH(ROW()-17,Datos!$W$2:$W$1000,0),0)</f>
        <v>0</v>
      </c>
    </row>
    <row r="481" spans="1:10" ht="82" customHeight="1" x14ac:dyDescent="0.35">
      <c r="A481" s="4" t="str">
        <f>IF($J481=0,"",IF(INDEX(Datos!$A$2:$A$1000,$J481)="","",INDEX(Datos!$A$2:$A$1000,$J481)))</f>
        <v/>
      </c>
      <c r="B481" s="5" t="str">
        <f>IF($J481=0,"",IF(INDEX(Datos!$E$2:$E$1000,$J481)="","",INDEX(Datos!$E$2:$E$1000,$J481)))</f>
        <v/>
      </c>
      <c r="C481" s="5" t="str">
        <f>IF($J481=0,"",IF(INDEX(Datos!$I$2:$I$1000,$J481)="","",INDEX(Datos!$I$2:$I$1000,$J481)))</f>
        <v/>
      </c>
      <c r="D481" s="6" t="str">
        <f>IF($J481=0,"",IF(INDEX(Datos!$F$2:$F$1000,$J481)="","",INDEX(Datos!$F$2:$F$1000,$J481)))</f>
        <v/>
      </c>
      <c r="E481" s="7" t="str">
        <f>IF($J481=0,"",IF(INDEX(Datos!$H$2:$H$1000,$J481)="","",INDEX(Datos!$H$2:$H$1000,$J481)))</f>
        <v/>
      </c>
      <c r="F481" s="6" t="str">
        <f>IF($J481=0,"",IF(INDEX(Datos!$N$2:$N$1000,$J481)="","",INDEX(Datos!$N$2:$N$1000,$J481)))</f>
        <v/>
      </c>
      <c r="G481" s="8" t="str">
        <f>IF($J481=0,"",IF(INDEX(Datos!$M$2:$M$1000,$J481)="","",INDEX(Datos!$M$2:$M$1000,$J481)))</f>
        <v/>
      </c>
      <c r="H481" s="6" t="str">
        <f>IF($J481=0,"",INDEX(Datos!$J$2:$J$1000,$J481)&amp;IF(INDEX(Datos!$Q$2:$Q$1000,$J481)="",""," | "&amp;INDEX(Datos!$Q$2:$Q$1000,$J481)))</f>
        <v/>
      </c>
      <c r="J481">
        <f>IFERROR(MATCH(ROW()-17,Datos!$W$2:$W$1000,0),0)</f>
        <v>0</v>
      </c>
    </row>
    <row r="482" spans="1:10" ht="82" customHeight="1" x14ac:dyDescent="0.35">
      <c r="A482" s="4" t="str">
        <f>IF($J482=0,"",IF(INDEX(Datos!$A$2:$A$1000,$J482)="","",INDEX(Datos!$A$2:$A$1000,$J482)))</f>
        <v/>
      </c>
      <c r="B482" s="5" t="str">
        <f>IF($J482=0,"",IF(INDEX(Datos!$E$2:$E$1000,$J482)="","",INDEX(Datos!$E$2:$E$1000,$J482)))</f>
        <v/>
      </c>
      <c r="C482" s="5" t="str">
        <f>IF($J482=0,"",IF(INDEX(Datos!$I$2:$I$1000,$J482)="","",INDEX(Datos!$I$2:$I$1000,$J482)))</f>
        <v/>
      </c>
      <c r="D482" s="6" t="str">
        <f>IF($J482=0,"",IF(INDEX(Datos!$F$2:$F$1000,$J482)="","",INDEX(Datos!$F$2:$F$1000,$J482)))</f>
        <v/>
      </c>
      <c r="E482" s="7" t="str">
        <f>IF($J482=0,"",IF(INDEX(Datos!$H$2:$H$1000,$J482)="","",INDEX(Datos!$H$2:$H$1000,$J482)))</f>
        <v/>
      </c>
      <c r="F482" s="6" t="str">
        <f>IF($J482=0,"",IF(INDEX(Datos!$N$2:$N$1000,$J482)="","",INDEX(Datos!$N$2:$N$1000,$J482)))</f>
        <v/>
      </c>
      <c r="G482" s="8" t="str">
        <f>IF($J482=0,"",IF(INDEX(Datos!$M$2:$M$1000,$J482)="","",INDEX(Datos!$M$2:$M$1000,$J482)))</f>
        <v/>
      </c>
      <c r="H482" s="6" t="str">
        <f>IF($J482=0,"",INDEX(Datos!$J$2:$J$1000,$J482)&amp;IF(INDEX(Datos!$Q$2:$Q$1000,$J482)="",""," | "&amp;INDEX(Datos!$Q$2:$Q$1000,$J482)))</f>
        <v/>
      </c>
      <c r="J482">
        <f>IFERROR(MATCH(ROW()-17,Datos!$W$2:$W$1000,0),0)</f>
        <v>0</v>
      </c>
    </row>
    <row r="483" spans="1:10" ht="82" customHeight="1" x14ac:dyDescent="0.35">
      <c r="A483" s="4" t="str">
        <f>IF($J483=0,"",IF(INDEX(Datos!$A$2:$A$1000,$J483)="","",INDEX(Datos!$A$2:$A$1000,$J483)))</f>
        <v/>
      </c>
      <c r="B483" s="5" t="str">
        <f>IF($J483=0,"",IF(INDEX(Datos!$E$2:$E$1000,$J483)="","",INDEX(Datos!$E$2:$E$1000,$J483)))</f>
        <v/>
      </c>
      <c r="C483" s="5" t="str">
        <f>IF($J483=0,"",IF(INDEX(Datos!$I$2:$I$1000,$J483)="","",INDEX(Datos!$I$2:$I$1000,$J483)))</f>
        <v/>
      </c>
      <c r="D483" s="6" t="str">
        <f>IF($J483=0,"",IF(INDEX(Datos!$F$2:$F$1000,$J483)="","",INDEX(Datos!$F$2:$F$1000,$J483)))</f>
        <v/>
      </c>
      <c r="E483" s="7" t="str">
        <f>IF($J483=0,"",IF(INDEX(Datos!$H$2:$H$1000,$J483)="","",INDEX(Datos!$H$2:$H$1000,$J483)))</f>
        <v/>
      </c>
      <c r="F483" s="6" t="str">
        <f>IF($J483=0,"",IF(INDEX(Datos!$N$2:$N$1000,$J483)="","",INDEX(Datos!$N$2:$N$1000,$J483)))</f>
        <v/>
      </c>
      <c r="G483" s="8" t="str">
        <f>IF($J483=0,"",IF(INDEX(Datos!$M$2:$M$1000,$J483)="","",INDEX(Datos!$M$2:$M$1000,$J483)))</f>
        <v/>
      </c>
      <c r="H483" s="6" t="str">
        <f>IF($J483=0,"",INDEX(Datos!$J$2:$J$1000,$J483)&amp;IF(INDEX(Datos!$Q$2:$Q$1000,$J483)="",""," | "&amp;INDEX(Datos!$Q$2:$Q$1000,$J483)))</f>
        <v/>
      </c>
      <c r="J483">
        <f>IFERROR(MATCH(ROW()-17,Datos!$W$2:$W$1000,0),0)</f>
        <v>0</v>
      </c>
    </row>
    <row r="484" spans="1:10" ht="82" customHeight="1" x14ac:dyDescent="0.35">
      <c r="A484" s="4" t="str">
        <f>IF($J484=0,"",IF(INDEX(Datos!$A$2:$A$1000,$J484)="","",INDEX(Datos!$A$2:$A$1000,$J484)))</f>
        <v/>
      </c>
      <c r="B484" s="5" t="str">
        <f>IF($J484=0,"",IF(INDEX(Datos!$E$2:$E$1000,$J484)="","",INDEX(Datos!$E$2:$E$1000,$J484)))</f>
        <v/>
      </c>
      <c r="C484" s="5" t="str">
        <f>IF($J484=0,"",IF(INDEX(Datos!$I$2:$I$1000,$J484)="","",INDEX(Datos!$I$2:$I$1000,$J484)))</f>
        <v/>
      </c>
      <c r="D484" s="6" t="str">
        <f>IF($J484=0,"",IF(INDEX(Datos!$F$2:$F$1000,$J484)="","",INDEX(Datos!$F$2:$F$1000,$J484)))</f>
        <v/>
      </c>
      <c r="E484" s="7" t="str">
        <f>IF($J484=0,"",IF(INDEX(Datos!$H$2:$H$1000,$J484)="","",INDEX(Datos!$H$2:$H$1000,$J484)))</f>
        <v/>
      </c>
      <c r="F484" s="6" t="str">
        <f>IF($J484=0,"",IF(INDEX(Datos!$N$2:$N$1000,$J484)="","",INDEX(Datos!$N$2:$N$1000,$J484)))</f>
        <v/>
      </c>
      <c r="G484" s="8" t="str">
        <f>IF($J484=0,"",IF(INDEX(Datos!$M$2:$M$1000,$J484)="","",INDEX(Datos!$M$2:$M$1000,$J484)))</f>
        <v/>
      </c>
      <c r="H484" s="6" t="str">
        <f>IF($J484=0,"",INDEX(Datos!$J$2:$J$1000,$J484)&amp;IF(INDEX(Datos!$Q$2:$Q$1000,$J484)="",""," | "&amp;INDEX(Datos!$Q$2:$Q$1000,$J484)))</f>
        <v/>
      </c>
      <c r="J484">
        <f>IFERROR(MATCH(ROW()-17,Datos!$W$2:$W$1000,0),0)</f>
        <v>0</v>
      </c>
    </row>
    <row r="485" spans="1:10" ht="82" customHeight="1" x14ac:dyDescent="0.35">
      <c r="A485" s="4" t="str">
        <f>IF($J485=0,"",IF(INDEX(Datos!$A$2:$A$1000,$J485)="","",INDEX(Datos!$A$2:$A$1000,$J485)))</f>
        <v/>
      </c>
      <c r="B485" s="5" t="str">
        <f>IF($J485=0,"",IF(INDEX(Datos!$E$2:$E$1000,$J485)="","",INDEX(Datos!$E$2:$E$1000,$J485)))</f>
        <v/>
      </c>
      <c r="C485" s="5" t="str">
        <f>IF($J485=0,"",IF(INDEX(Datos!$I$2:$I$1000,$J485)="","",INDEX(Datos!$I$2:$I$1000,$J485)))</f>
        <v/>
      </c>
      <c r="D485" s="6" t="str">
        <f>IF($J485=0,"",IF(INDEX(Datos!$F$2:$F$1000,$J485)="","",INDEX(Datos!$F$2:$F$1000,$J485)))</f>
        <v/>
      </c>
      <c r="E485" s="7" t="str">
        <f>IF($J485=0,"",IF(INDEX(Datos!$H$2:$H$1000,$J485)="","",INDEX(Datos!$H$2:$H$1000,$J485)))</f>
        <v/>
      </c>
      <c r="F485" s="6" t="str">
        <f>IF($J485=0,"",IF(INDEX(Datos!$N$2:$N$1000,$J485)="","",INDEX(Datos!$N$2:$N$1000,$J485)))</f>
        <v/>
      </c>
      <c r="G485" s="8" t="str">
        <f>IF($J485=0,"",IF(INDEX(Datos!$M$2:$M$1000,$J485)="","",INDEX(Datos!$M$2:$M$1000,$J485)))</f>
        <v/>
      </c>
      <c r="H485" s="6" t="str">
        <f>IF($J485=0,"",INDEX(Datos!$J$2:$J$1000,$J485)&amp;IF(INDEX(Datos!$Q$2:$Q$1000,$J485)="",""," | "&amp;INDEX(Datos!$Q$2:$Q$1000,$J485)))</f>
        <v/>
      </c>
      <c r="J485">
        <f>IFERROR(MATCH(ROW()-17,Datos!$W$2:$W$1000,0),0)</f>
        <v>0</v>
      </c>
    </row>
    <row r="486" spans="1:10" ht="82" customHeight="1" x14ac:dyDescent="0.35">
      <c r="A486" s="4" t="str">
        <f>IF($J486=0,"",IF(INDEX(Datos!$A$2:$A$1000,$J486)="","",INDEX(Datos!$A$2:$A$1000,$J486)))</f>
        <v/>
      </c>
      <c r="B486" s="5" t="str">
        <f>IF($J486=0,"",IF(INDEX(Datos!$E$2:$E$1000,$J486)="","",INDEX(Datos!$E$2:$E$1000,$J486)))</f>
        <v/>
      </c>
      <c r="C486" s="5" t="str">
        <f>IF($J486=0,"",IF(INDEX(Datos!$I$2:$I$1000,$J486)="","",INDEX(Datos!$I$2:$I$1000,$J486)))</f>
        <v/>
      </c>
      <c r="D486" s="6" t="str">
        <f>IF($J486=0,"",IF(INDEX(Datos!$F$2:$F$1000,$J486)="","",INDEX(Datos!$F$2:$F$1000,$J486)))</f>
        <v/>
      </c>
      <c r="E486" s="7" t="str">
        <f>IF($J486=0,"",IF(INDEX(Datos!$H$2:$H$1000,$J486)="","",INDEX(Datos!$H$2:$H$1000,$J486)))</f>
        <v/>
      </c>
      <c r="F486" s="6" t="str">
        <f>IF($J486=0,"",IF(INDEX(Datos!$N$2:$N$1000,$J486)="","",INDEX(Datos!$N$2:$N$1000,$J486)))</f>
        <v/>
      </c>
      <c r="G486" s="8" t="str">
        <f>IF($J486=0,"",IF(INDEX(Datos!$M$2:$M$1000,$J486)="","",INDEX(Datos!$M$2:$M$1000,$J486)))</f>
        <v/>
      </c>
      <c r="H486" s="6" t="str">
        <f>IF($J486=0,"",INDEX(Datos!$J$2:$J$1000,$J486)&amp;IF(INDEX(Datos!$Q$2:$Q$1000,$J486)="",""," | "&amp;INDEX(Datos!$Q$2:$Q$1000,$J486)))</f>
        <v/>
      </c>
      <c r="J486">
        <f>IFERROR(MATCH(ROW()-17,Datos!$W$2:$W$1000,0),0)</f>
        <v>0</v>
      </c>
    </row>
    <row r="487" spans="1:10" ht="82" customHeight="1" x14ac:dyDescent="0.35">
      <c r="A487" s="4" t="str">
        <f>IF($J487=0,"",IF(INDEX(Datos!$A$2:$A$1000,$J487)="","",INDEX(Datos!$A$2:$A$1000,$J487)))</f>
        <v/>
      </c>
      <c r="B487" s="5" t="str">
        <f>IF($J487=0,"",IF(INDEX(Datos!$E$2:$E$1000,$J487)="","",INDEX(Datos!$E$2:$E$1000,$J487)))</f>
        <v/>
      </c>
      <c r="C487" s="5" t="str">
        <f>IF($J487=0,"",IF(INDEX(Datos!$I$2:$I$1000,$J487)="","",INDEX(Datos!$I$2:$I$1000,$J487)))</f>
        <v/>
      </c>
      <c r="D487" s="6" t="str">
        <f>IF($J487=0,"",IF(INDEX(Datos!$F$2:$F$1000,$J487)="","",INDEX(Datos!$F$2:$F$1000,$J487)))</f>
        <v/>
      </c>
      <c r="E487" s="7" t="str">
        <f>IF($J487=0,"",IF(INDEX(Datos!$H$2:$H$1000,$J487)="","",INDEX(Datos!$H$2:$H$1000,$J487)))</f>
        <v/>
      </c>
      <c r="F487" s="6" t="str">
        <f>IF($J487=0,"",IF(INDEX(Datos!$N$2:$N$1000,$J487)="","",INDEX(Datos!$N$2:$N$1000,$J487)))</f>
        <v/>
      </c>
      <c r="G487" s="8" t="str">
        <f>IF($J487=0,"",IF(INDEX(Datos!$M$2:$M$1000,$J487)="","",INDEX(Datos!$M$2:$M$1000,$J487)))</f>
        <v/>
      </c>
      <c r="H487" s="6" t="str">
        <f>IF($J487=0,"",INDEX(Datos!$J$2:$J$1000,$J487)&amp;IF(INDEX(Datos!$Q$2:$Q$1000,$J487)="",""," | "&amp;INDEX(Datos!$Q$2:$Q$1000,$J487)))</f>
        <v/>
      </c>
      <c r="J487">
        <f>IFERROR(MATCH(ROW()-17,Datos!$W$2:$W$1000,0),0)</f>
        <v>0</v>
      </c>
    </row>
    <row r="488" spans="1:10" ht="82" customHeight="1" x14ac:dyDescent="0.35">
      <c r="A488" s="4" t="str">
        <f>IF($J488=0,"",IF(INDEX(Datos!$A$2:$A$1000,$J488)="","",INDEX(Datos!$A$2:$A$1000,$J488)))</f>
        <v/>
      </c>
      <c r="B488" s="5" t="str">
        <f>IF($J488=0,"",IF(INDEX(Datos!$E$2:$E$1000,$J488)="","",INDEX(Datos!$E$2:$E$1000,$J488)))</f>
        <v/>
      </c>
      <c r="C488" s="5" t="str">
        <f>IF($J488=0,"",IF(INDEX(Datos!$I$2:$I$1000,$J488)="","",INDEX(Datos!$I$2:$I$1000,$J488)))</f>
        <v/>
      </c>
      <c r="D488" s="6" t="str">
        <f>IF($J488=0,"",IF(INDEX(Datos!$F$2:$F$1000,$J488)="","",INDEX(Datos!$F$2:$F$1000,$J488)))</f>
        <v/>
      </c>
      <c r="E488" s="7" t="str">
        <f>IF($J488=0,"",IF(INDEX(Datos!$H$2:$H$1000,$J488)="","",INDEX(Datos!$H$2:$H$1000,$J488)))</f>
        <v/>
      </c>
      <c r="F488" s="6" t="str">
        <f>IF($J488=0,"",IF(INDEX(Datos!$N$2:$N$1000,$J488)="","",INDEX(Datos!$N$2:$N$1000,$J488)))</f>
        <v/>
      </c>
      <c r="G488" s="8" t="str">
        <f>IF($J488=0,"",IF(INDEX(Datos!$M$2:$M$1000,$J488)="","",INDEX(Datos!$M$2:$M$1000,$J488)))</f>
        <v/>
      </c>
      <c r="H488" s="6" t="str">
        <f>IF($J488=0,"",INDEX(Datos!$J$2:$J$1000,$J488)&amp;IF(INDEX(Datos!$Q$2:$Q$1000,$J488)="",""," | "&amp;INDEX(Datos!$Q$2:$Q$1000,$J488)))</f>
        <v/>
      </c>
      <c r="J488">
        <f>IFERROR(MATCH(ROW()-17,Datos!$W$2:$W$1000,0),0)</f>
        <v>0</v>
      </c>
    </row>
    <row r="489" spans="1:10" ht="82" customHeight="1" x14ac:dyDescent="0.35">
      <c r="A489" s="4" t="str">
        <f>IF($J489=0,"",IF(INDEX(Datos!$A$2:$A$1000,$J489)="","",INDEX(Datos!$A$2:$A$1000,$J489)))</f>
        <v/>
      </c>
      <c r="B489" s="5" t="str">
        <f>IF($J489=0,"",IF(INDEX(Datos!$E$2:$E$1000,$J489)="","",INDEX(Datos!$E$2:$E$1000,$J489)))</f>
        <v/>
      </c>
      <c r="C489" s="5" t="str">
        <f>IF($J489=0,"",IF(INDEX(Datos!$I$2:$I$1000,$J489)="","",INDEX(Datos!$I$2:$I$1000,$J489)))</f>
        <v/>
      </c>
      <c r="D489" s="6" t="str">
        <f>IF($J489=0,"",IF(INDEX(Datos!$F$2:$F$1000,$J489)="","",INDEX(Datos!$F$2:$F$1000,$J489)))</f>
        <v/>
      </c>
      <c r="E489" s="7" t="str">
        <f>IF($J489=0,"",IF(INDEX(Datos!$H$2:$H$1000,$J489)="","",INDEX(Datos!$H$2:$H$1000,$J489)))</f>
        <v/>
      </c>
      <c r="F489" s="6" t="str">
        <f>IF($J489=0,"",IF(INDEX(Datos!$N$2:$N$1000,$J489)="","",INDEX(Datos!$N$2:$N$1000,$J489)))</f>
        <v/>
      </c>
      <c r="G489" s="8" t="str">
        <f>IF($J489=0,"",IF(INDEX(Datos!$M$2:$M$1000,$J489)="","",INDEX(Datos!$M$2:$M$1000,$J489)))</f>
        <v/>
      </c>
      <c r="H489" s="6" t="str">
        <f>IF($J489=0,"",INDEX(Datos!$J$2:$J$1000,$J489)&amp;IF(INDEX(Datos!$Q$2:$Q$1000,$J489)="",""," | "&amp;INDEX(Datos!$Q$2:$Q$1000,$J489)))</f>
        <v/>
      </c>
      <c r="J489">
        <f>IFERROR(MATCH(ROW()-17,Datos!$W$2:$W$1000,0),0)</f>
        <v>0</v>
      </c>
    </row>
    <row r="490" spans="1:10" ht="82" customHeight="1" x14ac:dyDescent="0.35">
      <c r="A490" s="4" t="str">
        <f>IF($J490=0,"",IF(INDEX(Datos!$A$2:$A$1000,$J490)="","",INDEX(Datos!$A$2:$A$1000,$J490)))</f>
        <v/>
      </c>
      <c r="B490" s="5" t="str">
        <f>IF($J490=0,"",IF(INDEX(Datos!$E$2:$E$1000,$J490)="","",INDEX(Datos!$E$2:$E$1000,$J490)))</f>
        <v/>
      </c>
      <c r="C490" s="5" t="str">
        <f>IF($J490=0,"",IF(INDEX(Datos!$I$2:$I$1000,$J490)="","",INDEX(Datos!$I$2:$I$1000,$J490)))</f>
        <v/>
      </c>
      <c r="D490" s="6" t="str">
        <f>IF($J490=0,"",IF(INDEX(Datos!$F$2:$F$1000,$J490)="","",INDEX(Datos!$F$2:$F$1000,$J490)))</f>
        <v/>
      </c>
      <c r="E490" s="7" t="str">
        <f>IF($J490=0,"",IF(INDEX(Datos!$H$2:$H$1000,$J490)="","",INDEX(Datos!$H$2:$H$1000,$J490)))</f>
        <v/>
      </c>
      <c r="F490" s="6" t="str">
        <f>IF($J490=0,"",IF(INDEX(Datos!$N$2:$N$1000,$J490)="","",INDEX(Datos!$N$2:$N$1000,$J490)))</f>
        <v/>
      </c>
      <c r="G490" s="8" t="str">
        <f>IF($J490=0,"",IF(INDEX(Datos!$M$2:$M$1000,$J490)="","",INDEX(Datos!$M$2:$M$1000,$J490)))</f>
        <v/>
      </c>
      <c r="H490" s="6" t="str">
        <f>IF($J490=0,"",INDEX(Datos!$J$2:$J$1000,$J490)&amp;IF(INDEX(Datos!$Q$2:$Q$1000,$J490)="",""," | "&amp;INDEX(Datos!$Q$2:$Q$1000,$J490)))</f>
        <v/>
      </c>
      <c r="J490">
        <f>IFERROR(MATCH(ROW()-17,Datos!$W$2:$W$1000,0),0)</f>
        <v>0</v>
      </c>
    </row>
    <row r="491" spans="1:10" ht="82" customHeight="1" x14ac:dyDescent="0.35">
      <c r="A491" s="4" t="str">
        <f>IF($J491=0,"",IF(INDEX(Datos!$A$2:$A$1000,$J491)="","",INDEX(Datos!$A$2:$A$1000,$J491)))</f>
        <v/>
      </c>
      <c r="B491" s="5" t="str">
        <f>IF($J491=0,"",IF(INDEX(Datos!$E$2:$E$1000,$J491)="","",INDEX(Datos!$E$2:$E$1000,$J491)))</f>
        <v/>
      </c>
      <c r="C491" s="5" t="str">
        <f>IF($J491=0,"",IF(INDEX(Datos!$I$2:$I$1000,$J491)="","",INDEX(Datos!$I$2:$I$1000,$J491)))</f>
        <v/>
      </c>
      <c r="D491" s="6" t="str">
        <f>IF($J491=0,"",IF(INDEX(Datos!$F$2:$F$1000,$J491)="","",INDEX(Datos!$F$2:$F$1000,$J491)))</f>
        <v/>
      </c>
      <c r="E491" s="7" t="str">
        <f>IF($J491=0,"",IF(INDEX(Datos!$H$2:$H$1000,$J491)="","",INDEX(Datos!$H$2:$H$1000,$J491)))</f>
        <v/>
      </c>
      <c r="F491" s="6" t="str">
        <f>IF($J491=0,"",IF(INDEX(Datos!$N$2:$N$1000,$J491)="","",INDEX(Datos!$N$2:$N$1000,$J491)))</f>
        <v/>
      </c>
      <c r="G491" s="8" t="str">
        <f>IF($J491=0,"",IF(INDEX(Datos!$M$2:$M$1000,$J491)="","",INDEX(Datos!$M$2:$M$1000,$J491)))</f>
        <v/>
      </c>
      <c r="H491" s="6" t="str">
        <f>IF($J491=0,"",INDEX(Datos!$J$2:$J$1000,$J491)&amp;IF(INDEX(Datos!$Q$2:$Q$1000,$J491)="",""," | "&amp;INDEX(Datos!$Q$2:$Q$1000,$J491)))</f>
        <v/>
      </c>
      <c r="J491">
        <f>IFERROR(MATCH(ROW()-17,Datos!$W$2:$W$1000,0),0)</f>
        <v>0</v>
      </c>
    </row>
    <row r="492" spans="1:10" ht="82" customHeight="1" x14ac:dyDescent="0.35">
      <c r="A492" s="4" t="str">
        <f>IF($J492=0,"",IF(INDEX(Datos!$A$2:$A$1000,$J492)="","",INDEX(Datos!$A$2:$A$1000,$J492)))</f>
        <v/>
      </c>
      <c r="B492" s="5" t="str">
        <f>IF($J492=0,"",IF(INDEX(Datos!$E$2:$E$1000,$J492)="","",INDEX(Datos!$E$2:$E$1000,$J492)))</f>
        <v/>
      </c>
      <c r="C492" s="5" t="str">
        <f>IF($J492=0,"",IF(INDEX(Datos!$I$2:$I$1000,$J492)="","",INDEX(Datos!$I$2:$I$1000,$J492)))</f>
        <v/>
      </c>
      <c r="D492" s="6" t="str">
        <f>IF($J492=0,"",IF(INDEX(Datos!$F$2:$F$1000,$J492)="","",INDEX(Datos!$F$2:$F$1000,$J492)))</f>
        <v/>
      </c>
      <c r="E492" s="7" t="str">
        <f>IF($J492=0,"",IF(INDEX(Datos!$H$2:$H$1000,$J492)="","",INDEX(Datos!$H$2:$H$1000,$J492)))</f>
        <v/>
      </c>
      <c r="F492" s="6" t="str">
        <f>IF($J492=0,"",IF(INDEX(Datos!$N$2:$N$1000,$J492)="","",INDEX(Datos!$N$2:$N$1000,$J492)))</f>
        <v/>
      </c>
      <c r="G492" s="8" t="str">
        <f>IF($J492=0,"",IF(INDEX(Datos!$M$2:$M$1000,$J492)="","",INDEX(Datos!$M$2:$M$1000,$J492)))</f>
        <v/>
      </c>
      <c r="H492" s="6" t="str">
        <f>IF($J492=0,"",INDEX(Datos!$J$2:$J$1000,$J492)&amp;IF(INDEX(Datos!$Q$2:$Q$1000,$J492)="",""," | "&amp;INDEX(Datos!$Q$2:$Q$1000,$J492)))</f>
        <v/>
      </c>
      <c r="J492">
        <f>IFERROR(MATCH(ROW()-17,Datos!$W$2:$W$1000,0),0)</f>
        <v>0</v>
      </c>
    </row>
    <row r="493" spans="1:10" ht="82" customHeight="1" x14ac:dyDescent="0.35">
      <c r="A493" s="4" t="str">
        <f>IF($J493=0,"",IF(INDEX(Datos!$A$2:$A$1000,$J493)="","",INDEX(Datos!$A$2:$A$1000,$J493)))</f>
        <v/>
      </c>
      <c r="B493" s="5" t="str">
        <f>IF($J493=0,"",IF(INDEX(Datos!$E$2:$E$1000,$J493)="","",INDEX(Datos!$E$2:$E$1000,$J493)))</f>
        <v/>
      </c>
      <c r="C493" s="5" t="str">
        <f>IF($J493=0,"",IF(INDEX(Datos!$I$2:$I$1000,$J493)="","",INDEX(Datos!$I$2:$I$1000,$J493)))</f>
        <v/>
      </c>
      <c r="D493" s="6" t="str">
        <f>IF($J493=0,"",IF(INDEX(Datos!$F$2:$F$1000,$J493)="","",INDEX(Datos!$F$2:$F$1000,$J493)))</f>
        <v/>
      </c>
      <c r="E493" s="7" t="str">
        <f>IF($J493=0,"",IF(INDEX(Datos!$H$2:$H$1000,$J493)="","",INDEX(Datos!$H$2:$H$1000,$J493)))</f>
        <v/>
      </c>
      <c r="F493" s="6" t="str">
        <f>IF($J493=0,"",IF(INDEX(Datos!$N$2:$N$1000,$J493)="","",INDEX(Datos!$N$2:$N$1000,$J493)))</f>
        <v/>
      </c>
      <c r="G493" s="8" t="str">
        <f>IF($J493=0,"",IF(INDEX(Datos!$M$2:$M$1000,$J493)="","",INDEX(Datos!$M$2:$M$1000,$J493)))</f>
        <v/>
      </c>
      <c r="H493" s="6" t="str">
        <f>IF($J493=0,"",INDEX(Datos!$J$2:$J$1000,$J493)&amp;IF(INDEX(Datos!$Q$2:$Q$1000,$J493)="",""," | "&amp;INDEX(Datos!$Q$2:$Q$1000,$J493)))</f>
        <v/>
      </c>
      <c r="J493">
        <f>IFERROR(MATCH(ROW()-17,Datos!$W$2:$W$1000,0),0)</f>
        <v>0</v>
      </c>
    </row>
    <row r="494" spans="1:10" ht="82" customHeight="1" x14ac:dyDescent="0.35">
      <c r="A494" s="4" t="str">
        <f>IF($J494=0,"",IF(INDEX(Datos!$A$2:$A$1000,$J494)="","",INDEX(Datos!$A$2:$A$1000,$J494)))</f>
        <v/>
      </c>
      <c r="B494" s="5" t="str">
        <f>IF($J494=0,"",IF(INDEX(Datos!$E$2:$E$1000,$J494)="","",INDEX(Datos!$E$2:$E$1000,$J494)))</f>
        <v/>
      </c>
      <c r="C494" s="5" t="str">
        <f>IF($J494=0,"",IF(INDEX(Datos!$I$2:$I$1000,$J494)="","",INDEX(Datos!$I$2:$I$1000,$J494)))</f>
        <v/>
      </c>
      <c r="D494" s="6" t="str">
        <f>IF($J494=0,"",IF(INDEX(Datos!$F$2:$F$1000,$J494)="","",INDEX(Datos!$F$2:$F$1000,$J494)))</f>
        <v/>
      </c>
      <c r="E494" s="7" t="str">
        <f>IF($J494=0,"",IF(INDEX(Datos!$H$2:$H$1000,$J494)="","",INDEX(Datos!$H$2:$H$1000,$J494)))</f>
        <v/>
      </c>
      <c r="F494" s="6" t="str">
        <f>IF($J494=0,"",IF(INDEX(Datos!$N$2:$N$1000,$J494)="","",INDEX(Datos!$N$2:$N$1000,$J494)))</f>
        <v/>
      </c>
      <c r="G494" s="8" t="str">
        <f>IF($J494=0,"",IF(INDEX(Datos!$M$2:$M$1000,$J494)="","",INDEX(Datos!$M$2:$M$1000,$J494)))</f>
        <v/>
      </c>
      <c r="H494" s="6" t="str">
        <f>IF($J494=0,"",INDEX(Datos!$J$2:$J$1000,$J494)&amp;IF(INDEX(Datos!$Q$2:$Q$1000,$J494)="",""," | "&amp;INDEX(Datos!$Q$2:$Q$1000,$J494)))</f>
        <v/>
      </c>
      <c r="J494">
        <f>IFERROR(MATCH(ROW()-17,Datos!$W$2:$W$1000,0),0)</f>
        <v>0</v>
      </c>
    </row>
    <row r="495" spans="1:10" ht="82" customHeight="1" x14ac:dyDescent="0.35">
      <c r="A495" s="4" t="str">
        <f>IF($J495=0,"",IF(INDEX(Datos!$A$2:$A$1000,$J495)="","",INDEX(Datos!$A$2:$A$1000,$J495)))</f>
        <v/>
      </c>
      <c r="B495" s="5" t="str">
        <f>IF($J495=0,"",IF(INDEX(Datos!$E$2:$E$1000,$J495)="","",INDEX(Datos!$E$2:$E$1000,$J495)))</f>
        <v/>
      </c>
      <c r="C495" s="5" t="str">
        <f>IF($J495=0,"",IF(INDEX(Datos!$I$2:$I$1000,$J495)="","",INDEX(Datos!$I$2:$I$1000,$J495)))</f>
        <v/>
      </c>
      <c r="D495" s="6" t="str">
        <f>IF($J495=0,"",IF(INDEX(Datos!$F$2:$F$1000,$J495)="","",INDEX(Datos!$F$2:$F$1000,$J495)))</f>
        <v/>
      </c>
      <c r="E495" s="7" t="str">
        <f>IF($J495=0,"",IF(INDEX(Datos!$H$2:$H$1000,$J495)="","",INDEX(Datos!$H$2:$H$1000,$J495)))</f>
        <v/>
      </c>
      <c r="F495" s="6" t="str">
        <f>IF($J495=0,"",IF(INDEX(Datos!$N$2:$N$1000,$J495)="","",INDEX(Datos!$N$2:$N$1000,$J495)))</f>
        <v/>
      </c>
      <c r="G495" s="8" t="str">
        <f>IF($J495=0,"",IF(INDEX(Datos!$M$2:$M$1000,$J495)="","",INDEX(Datos!$M$2:$M$1000,$J495)))</f>
        <v/>
      </c>
      <c r="H495" s="6" t="str">
        <f>IF($J495=0,"",INDEX(Datos!$J$2:$J$1000,$J495)&amp;IF(INDEX(Datos!$Q$2:$Q$1000,$J495)="",""," | "&amp;INDEX(Datos!$Q$2:$Q$1000,$J495)))</f>
        <v/>
      </c>
      <c r="J495">
        <f>IFERROR(MATCH(ROW()-17,Datos!$W$2:$W$1000,0),0)</f>
        <v>0</v>
      </c>
    </row>
    <row r="496" spans="1:10" ht="82" customHeight="1" x14ac:dyDescent="0.35">
      <c r="A496" s="4" t="str">
        <f>IF($J496=0,"",IF(INDEX(Datos!$A$2:$A$1000,$J496)="","",INDEX(Datos!$A$2:$A$1000,$J496)))</f>
        <v/>
      </c>
      <c r="B496" s="5" t="str">
        <f>IF($J496=0,"",IF(INDEX(Datos!$E$2:$E$1000,$J496)="","",INDEX(Datos!$E$2:$E$1000,$J496)))</f>
        <v/>
      </c>
      <c r="C496" s="5" t="str">
        <f>IF($J496=0,"",IF(INDEX(Datos!$I$2:$I$1000,$J496)="","",INDEX(Datos!$I$2:$I$1000,$J496)))</f>
        <v/>
      </c>
      <c r="D496" s="6" t="str">
        <f>IF($J496=0,"",IF(INDEX(Datos!$F$2:$F$1000,$J496)="","",INDEX(Datos!$F$2:$F$1000,$J496)))</f>
        <v/>
      </c>
      <c r="E496" s="7" t="str">
        <f>IF($J496=0,"",IF(INDEX(Datos!$H$2:$H$1000,$J496)="","",INDEX(Datos!$H$2:$H$1000,$J496)))</f>
        <v/>
      </c>
      <c r="F496" s="6" t="str">
        <f>IF($J496=0,"",IF(INDEX(Datos!$N$2:$N$1000,$J496)="","",INDEX(Datos!$N$2:$N$1000,$J496)))</f>
        <v/>
      </c>
      <c r="G496" s="8" t="str">
        <f>IF($J496=0,"",IF(INDEX(Datos!$M$2:$M$1000,$J496)="","",INDEX(Datos!$M$2:$M$1000,$J496)))</f>
        <v/>
      </c>
      <c r="H496" s="6" t="str">
        <f>IF($J496=0,"",INDEX(Datos!$J$2:$J$1000,$J496)&amp;IF(INDEX(Datos!$Q$2:$Q$1000,$J496)="",""," | "&amp;INDEX(Datos!$Q$2:$Q$1000,$J496)))</f>
        <v/>
      </c>
      <c r="J496">
        <f>IFERROR(MATCH(ROW()-17,Datos!$W$2:$W$1000,0),0)</f>
        <v>0</v>
      </c>
    </row>
    <row r="497" spans="1:10" ht="82" customHeight="1" x14ac:dyDescent="0.35">
      <c r="A497" s="4" t="str">
        <f>IF($J497=0,"",IF(INDEX(Datos!$A$2:$A$1000,$J497)="","",INDEX(Datos!$A$2:$A$1000,$J497)))</f>
        <v/>
      </c>
      <c r="B497" s="5" t="str">
        <f>IF($J497=0,"",IF(INDEX(Datos!$E$2:$E$1000,$J497)="","",INDEX(Datos!$E$2:$E$1000,$J497)))</f>
        <v/>
      </c>
      <c r="C497" s="5" t="str">
        <f>IF($J497=0,"",IF(INDEX(Datos!$I$2:$I$1000,$J497)="","",INDEX(Datos!$I$2:$I$1000,$J497)))</f>
        <v/>
      </c>
      <c r="D497" s="6" t="str">
        <f>IF($J497=0,"",IF(INDEX(Datos!$F$2:$F$1000,$J497)="","",INDEX(Datos!$F$2:$F$1000,$J497)))</f>
        <v/>
      </c>
      <c r="E497" s="7" t="str">
        <f>IF($J497=0,"",IF(INDEX(Datos!$H$2:$H$1000,$J497)="","",INDEX(Datos!$H$2:$H$1000,$J497)))</f>
        <v/>
      </c>
      <c r="F497" s="6" t="str">
        <f>IF($J497=0,"",IF(INDEX(Datos!$N$2:$N$1000,$J497)="","",INDEX(Datos!$N$2:$N$1000,$J497)))</f>
        <v/>
      </c>
      <c r="G497" s="8" t="str">
        <f>IF($J497=0,"",IF(INDEX(Datos!$M$2:$M$1000,$J497)="","",INDEX(Datos!$M$2:$M$1000,$J497)))</f>
        <v/>
      </c>
      <c r="H497" s="6" t="str">
        <f>IF($J497=0,"",INDEX(Datos!$J$2:$J$1000,$J497)&amp;IF(INDEX(Datos!$Q$2:$Q$1000,$J497)="",""," | "&amp;INDEX(Datos!$Q$2:$Q$1000,$J497)))</f>
        <v/>
      </c>
      <c r="J497">
        <f>IFERROR(MATCH(ROW()-17,Datos!$W$2:$W$1000,0),0)</f>
        <v>0</v>
      </c>
    </row>
    <row r="498" spans="1:10" ht="82" customHeight="1" x14ac:dyDescent="0.35">
      <c r="A498" s="4" t="str">
        <f>IF($J498=0,"",IF(INDEX(Datos!$A$2:$A$1000,$J498)="","",INDEX(Datos!$A$2:$A$1000,$J498)))</f>
        <v/>
      </c>
      <c r="B498" s="5" t="str">
        <f>IF($J498=0,"",IF(INDEX(Datos!$E$2:$E$1000,$J498)="","",INDEX(Datos!$E$2:$E$1000,$J498)))</f>
        <v/>
      </c>
      <c r="C498" s="5" t="str">
        <f>IF($J498=0,"",IF(INDEX(Datos!$I$2:$I$1000,$J498)="","",INDEX(Datos!$I$2:$I$1000,$J498)))</f>
        <v/>
      </c>
      <c r="D498" s="6" t="str">
        <f>IF($J498=0,"",IF(INDEX(Datos!$F$2:$F$1000,$J498)="","",INDEX(Datos!$F$2:$F$1000,$J498)))</f>
        <v/>
      </c>
      <c r="E498" s="7" t="str">
        <f>IF($J498=0,"",IF(INDEX(Datos!$H$2:$H$1000,$J498)="","",INDEX(Datos!$H$2:$H$1000,$J498)))</f>
        <v/>
      </c>
      <c r="F498" s="6" t="str">
        <f>IF($J498=0,"",IF(INDEX(Datos!$N$2:$N$1000,$J498)="","",INDEX(Datos!$N$2:$N$1000,$J498)))</f>
        <v/>
      </c>
      <c r="G498" s="8" t="str">
        <f>IF($J498=0,"",IF(INDEX(Datos!$M$2:$M$1000,$J498)="","",INDEX(Datos!$M$2:$M$1000,$J498)))</f>
        <v/>
      </c>
      <c r="H498" s="6" t="str">
        <f>IF($J498=0,"",INDEX(Datos!$J$2:$J$1000,$J498)&amp;IF(INDEX(Datos!$Q$2:$Q$1000,$J498)="",""," | "&amp;INDEX(Datos!$Q$2:$Q$1000,$J498)))</f>
        <v/>
      </c>
      <c r="J498">
        <f>IFERROR(MATCH(ROW()-17,Datos!$W$2:$W$1000,0),0)</f>
        <v>0</v>
      </c>
    </row>
    <row r="499" spans="1:10" ht="82" customHeight="1" x14ac:dyDescent="0.35">
      <c r="A499" s="4" t="str">
        <f>IF($J499=0,"",IF(INDEX(Datos!$A$2:$A$1000,$J499)="","",INDEX(Datos!$A$2:$A$1000,$J499)))</f>
        <v/>
      </c>
      <c r="B499" s="5" t="str">
        <f>IF($J499=0,"",IF(INDEX(Datos!$E$2:$E$1000,$J499)="","",INDEX(Datos!$E$2:$E$1000,$J499)))</f>
        <v/>
      </c>
      <c r="C499" s="5" t="str">
        <f>IF($J499=0,"",IF(INDEX(Datos!$I$2:$I$1000,$J499)="","",INDEX(Datos!$I$2:$I$1000,$J499)))</f>
        <v/>
      </c>
      <c r="D499" s="6" t="str">
        <f>IF($J499=0,"",IF(INDEX(Datos!$F$2:$F$1000,$J499)="","",INDEX(Datos!$F$2:$F$1000,$J499)))</f>
        <v/>
      </c>
      <c r="E499" s="7" t="str">
        <f>IF($J499=0,"",IF(INDEX(Datos!$H$2:$H$1000,$J499)="","",INDEX(Datos!$H$2:$H$1000,$J499)))</f>
        <v/>
      </c>
      <c r="F499" s="6" t="str">
        <f>IF($J499=0,"",IF(INDEX(Datos!$N$2:$N$1000,$J499)="","",INDEX(Datos!$N$2:$N$1000,$J499)))</f>
        <v/>
      </c>
      <c r="G499" s="8" t="str">
        <f>IF($J499=0,"",IF(INDEX(Datos!$M$2:$M$1000,$J499)="","",INDEX(Datos!$M$2:$M$1000,$J499)))</f>
        <v/>
      </c>
      <c r="H499" s="6" t="str">
        <f>IF($J499=0,"",INDEX(Datos!$J$2:$J$1000,$J499)&amp;IF(INDEX(Datos!$Q$2:$Q$1000,$J499)="",""," | "&amp;INDEX(Datos!$Q$2:$Q$1000,$J499)))</f>
        <v/>
      </c>
      <c r="J499">
        <f>IFERROR(MATCH(ROW()-17,Datos!$W$2:$W$1000,0),0)</f>
        <v>0</v>
      </c>
    </row>
    <row r="500" spans="1:10" ht="82" customHeight="1" x14ac:dyDescent="0.35">
      <c r="A500" s="4" t="str">
        <f>IF($J500=0,"",IF(INDEX(Datos!$A$2:$A$1000,$J500)="","",INDEX(Datos!$A$2:$A$1000,$J500)))</f>
        <v/>
      </c>
      <c r="B500" s="5" t="str">
        <f>IF($J500=0,"",IF(INDEX(Datos!$E$2:$E$1000,$J500)="","",INDEX(Datos!$E$2:$E$1000,$J500)))</f>
        <v/>
      </c>
      <c r="C500" s="5" t="str">
        <f>IF($J500=0,"",IF(INDEX(Datos!$I$2:$I$1000,$J500)="","",INDEX(Datos!$I$2:$I$1000,$J500)))</f>
        <v/>
      </c>
      <c r="D500" s="6" t="str">
        <f>IF($J500=0,"",IF(INDEX(Datos!$F$2:$F$1000,$J500)="","",INDEX(Datos!$F$2:$F$1000,$J500)))</f>
        <v/>
      </c>
      <c r="E500" s="7" t="str">
        <f>IF($J500=0,"",IF(INDEX(Datos!$H$2:$H$1000,$J500)="","",INDEX(Datos!$H$2:$H$1000,$J500)))</f>
        <v/>
      </c>
      <c r="F500" s="6" t="str">
        <f>IF($J500=0,"",IF(INDEX(Datos!$N$2:$N$1000,$J500)="","",INDEX(Datos!$N$2:$N$1000,$J500)))</f>
        <v/>
      </c>
      <c r="G500" s="8" t="str">
        <f>IF($J500=0,"",IF(INDEX(Datos!$M$2:$M$1000,$J500)="","",INDEX(Datos!$M$2:$M$1000,$J500)))</f>
        <v/>
      </c>
      <c r="H500" s="6" t="str">
        <f>IF($J500=0,"",INDEX(Datos!$J$2:$J$1000,$J500)&amp;IF(INDEX(Datos!$Q$2:$Q$1000,$J500)="",""," | "&amp;INDEX(Datos!$Q$2:$Q$1000,$J500)))</f>
        <v/>
      </c>
      <c r="J500">
        <f>IFERROR(MATCH(ROW()-17,Datos!$W$2:$W$1000,0),0)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IF($J501=0,"",IF(INDEX(Datos!$I$2:$I$1000,$J501)="","",INDEX(Datos!$I$2:$I$1000,$J501)))</f>
        <v/>
      </c>
      <c r="D501" s="6" t="str">
        <f>IF($J501=0,"",IF(INDEX(Datos!$F$2:$F$1000,$J501)="","",INDEX(Datos!$F$2:$F$1000,$J501)))</f>
        <v/>
      </c>
      <c r="E501" s="7" t="str">
        <f>IF($J501=0,"",IF(INDEX(Datos!$H$2:$H$1000,$J501)="","",INDEX(Datos!$H$2:$H$1000,$J501)))</f>
        <v/>
      </c>
      <c r="F501" s="6" t="str">
        <f>IF($J501=0,"",IF(INDEX(Datos!$N$2:$N$1000,$J501)="","",INDEX(Datos!$N$2:$N$1000,$J501)))</f>
        <v/>
      </c>
      <c r="G501" s="8" t="str">
        <f>IF($J501=0,"",IF(INDEX(Datos!$M$2:$M$1000,$J501)="","",INDEX(Datos!$M$2:$M$1000,$J501)))</f>
        <v/>
      </c>
      <c r="H501" s="6" t="str">
        <f>IF($J501=0,"",INDEX(Datos!$J$2:$J$1000,$J501)&amp;IF(INDEX(Datos!$Q$2:$Q$1000,$J501)="",""," | "&amp;INDEX(Datos!$Q$2:$Q$1000,$J501)))</f>
        <v/>
      </c>
      <c r="J501">
        <f>IFERROR(MATCH(ROW()-17,Datos!$W$2:$W$1000,0),0)</f>
        <v>0</v>
      </c>
    </row>
    <row r="502" spans="1:10" ht="82" customHeight="1" x14ac:dyDescent="0.35">
      <c r="A502" s="4" t="str">
        <f>IF($J502=0,"",IF(INDEX(Datos!$A$2:$A$1000,$J502)="","",INDEX(Datos!$A$2:$A$1000,$J502)))</f>
        <v/>
      </c>
      <c r="B502" s="5" t="str">
        <f>IF($J502=0,"",IF(INDEX(Datos!$E$2:$E$1000,$J502)="","",INDEX(Datos!$E$2:$E$1000,$J502)))</f>
        <v/>
      </c>
      <c r="C502" s="5" t="str">
        <f>IF($J502=0,"",IF(INDEX(Datos!$I$2:$I$1000,$J502)="","",INDEX(Datos!$I$2:$I$1000,$J502)))</f>
        <v/>
      </c>
      <c r="D502" s="6" t="str">
        <f>IF($J502=0,"",IF(INDEX(Datos!$F$2:$F$1000,$J502)="","",INDEX(Datos!$F$2:$F$1000,$J502)))</f>
        <v/>
      </c>
      <c r="E502" s="7" t="str">
        <f>IF($J502=0,"",IF(INDEX(Datos!$H$2:$H$1000,$J502)="","",INDEX(Datos!$H$2:$H$1000,$J502)))</f>
        <v/>
      </c>
      <c r="F502" s="6" t="str">
        <f>IF($J502=0,"",IF(INDEX(Datos!$N$2:$N$1000,$J502)="","",INDEX(Datos!$N$2:$N$1000,$J502)))</f>
        <v/>
      </c>
      <c r="G502" s="8" t="str">
        <f>IF($J502=0,"",IF(INDEX(Datos!$M$2:$M$1000,$J502)="","",INDEX(Datos!$M$2:$M$1000,$J502)))</f>
        <v/>
      </c>
      <c r="H502" s="6" t="str">
        <f>IF($J502=0,"",INDEX(Datos!$J$2:$J$1000,$J502)&amp;IF(INDEX(Datos!$Q$2:$Q$1000,$J502)="",""," | "&amp;INDEX(Datos!$Q$2:$Q$1000,$J502)))</f>
        <v/>
      </c>
      <c r="J502">
        <f>IFERROR(MATCH(ROW()-17,Datos!$W$2:$W$1000,0),0)</f>
        <v>0</v>
      </c>
    </row>
    <row r="503" spans="1:10" ht="82" customHeight="1" x14ac:dyDescent="0.35">
      <c r="A503" s="4" t="str">
        <f>IF($J503=0,"",IF(INDEX(Datos!$A$2:$A$1000,$J503)="","",INDEX(Datos!$A$2:$A$1000,$J503)))</f>
        <v/>
      </c>
      <c r="B503" s="5" t="str">
        <f>IF($J503=0,"",IF(INDEX(Datos!$E$2:$E$1000,$J503)="","",INDEX(Datos!$E$2:$E$1000,$J503)))</f>
        <v/>
      </c>
      <c r="C503" s="5" t="str">
        <f>IF($J503=0,"",IF(INDEX(Datos!$I$2:$I$1000,$J503)="","",INDEX(Datos!$I$2:$I$1000,$J503)))</f>
        <v/>
      </c>
      <c r="D503" s="6" t="str">
        <f>IF($J503=0,"",IF(INDEX(Datos!$F$2:$F$1000,$J503)="","",INDEX(Datos!$F$2:$F$1000,$J503)))</f>
        <v/>
      </c>
      <c r="E503" s="7" t="str">
        <f>IF($J503=0,"",IF(INDEX(Datos!$H$2:$H$1000,$J503)="","",INDEX(Datos!$H$2:$H$1000,$J503)))</f>
        <v/>
      </c>
      <c r="F503" s="6" t="str">
        <f>IF($J503=0,"",IF(INDEX(Datos!$N$2:$N$1000,$J503)="","",INDEX(Datos!$N$2:$N$1000,$J503)))</f>
        <v/>
      </c>
      <c r="G503" s="8" t="str">
        <f>IF($J503=0,"",IF(INDEX(Datos!$M$2:$M$1000,$J503)="","",INDEX(Datos!$M$2:$M$1000,$J503)))</f>
        <v/>
      </c>
      <c r="H503" s="6" t="str">
        <f>IF($J503=0,"",INDEX(Datos!$J$2:$J$1000,$J503)&amp;IF(INDEX(Datos!$Q$2:$Q$1000,$J503)="",""," | "&amp;INDEX(Datos!$Q$2:$Q$1000,$J503)))</f>
        <v/>
      </c>
      <c r="J503">
        <f>IFERROR(MATCH(ROW()-17,Datos!$W$2:$W$1000,0),0)</f>
        <v>0</v>
      </c>
    </row>
    <row r="504" spans="1:10" ht="82" customHeight="1" x14ac:dyDescent="0.35">
      <c r="A504" s="4" t="str">
        <f>IF($J504=0,"",IF(INDEX(Datos!$A$2:$A$1000,$J504)="","",INDEX(Datos!$A$2:$A$1000,$J504)))</f>
        <v/>
      </c>
      <c r="B504" s="5" t="str">
        <f>IF($J504=0,"",IF(INDEX(Datos!$E$2:$E$1000,$J504)="","",INDEX(Datos!$E$2:$E$1000,$J504)))</f>
        <v/>
      </c>
      <c r="C504" s="5" t="str">
        <f>IF($J504=0,"",IF(INDEX(Datos!$I$2:$I$1000,$J504)="","",INDEX(Datos!$I$2:$I$1000,$J504)))</f>
        <v/>
      </c>
      <c r="D504" s="6" t="str">
        <f>IF($J504=0,"",IF(INDEX(Datos!$F$2:$F$1000,$J504)="","",INDEX(Datos!$F$2:$F$1000,$J504)))</f>
        <v/>
      </c>
      <c r="E504" s="7" t="str">
        <f>IF($J504=0,"",IF(INDEX(Datos!$H$2:$H$1000,$J504)="","",INDEX(Datos!$H$2:$H$1000,$J504)))</f>
        <v/>
      </c>
      <c r="F504" s="6" t="str">
        <f>IF($J504=0,"",IF(INDEX(Datos!$N$2:$N$1000,$J504)="","",INDEX(Datos!$N$2:$N$1000,$J504)))</f>
        <v/>
      </c>
      <c r="G504" s="8" t="str">
        <f>IF($J504=0,"",IF(INDEX(Datos!$M$2:$M$1000,$J504)="","",INDEX(Datos!$M$2:$M$1000,$J504)))</f>
        <v/>
      </c>
      <c r="H504" s="6" t="str">
        <f>IF($J504=0,"",INDEX(Datos!$J$2:$J$1000,$J504)&amp;IF(INDEX(Datos!$Q$2:$Q$1000,$J504)="",""," | "&amp;INDEX(Datos!$Q$2:$Q$1000,$J504)))</f>
        <v/>
      </c>
      <c r="J504">
        <f>IFERROR(MATCH(ROW()-17,Datos!$W$2:$W$1000,0),0)</f>
        <v>0</v>
      </c>
    </row>
    <row r="505" spans="1:10" ht="82" customHeight="1" x14ac:dyDescent="0.35">
      <c r="A505" s="4" t="str">
        <f>IF($J505=0,"",IF(INDEX(Datos!$A$2:$A$1000,$J505)="","",INDEX(Datos!$A$2:$A$1000,$J505)))</f>
        <v/>
      </c>
      <c r="B505" s="5" t="str">
        <f>IF($J505=0,"",IF(INDEX(Datos!$E$2:$E$1000,$J505)="","",INDEX(Datos!$E$2:$E$1000,$J505)))</f>
        <v/>
      </c>
      <c r="C505" s="5" t="str">
        <f>IF($J505=0,"",IF(INDEX(Datos!$I$2:$I$1000,$J505)="","",INDEX(Datos!$I$2:$I$1000,$J505)))</f>
        <v/>
      </c>
      <c r="D505" s="6" t="str">
        <f>IF($J505=0,"",IF(INDEX(Datos!$F$2:$F$1000,$J505)="","",INDEX(Datos!$F$2:$F$1000,$J505)))</f>
        <v/>
      </c>
      <c r="E505" s="7" t="str">
        <f>IF($J505=0,"",IF(INDEX(Datos!$H$2:$H$1000,$J505)="","",INDEX(Datos!$H$2:$H$1000,$J505)))</f>
        <v/>
      </c>
      <c r="F505" s="6" t="str">
        <f>IF($J505=0,"",IF(INDEX(Datos!$N$2:$N$1000,$J505)="","",INDEX(Datos!$N$2:$N$1000,$J505)))</f>
        <v/>
      </c>
      <c r="G505" s="8" t="str">
        <f>IF($J505=0,"",IF(INDEX(Datos!$M$2:$M$1000,$J505)="","",INDEX(Datos!$M$2:$M$1000,$J505)))</f>
        <v/>
      </c>
      <c r="H505" s="6" t="str">
        <f>IF($J505=0,"",INDEX(Datos!$J$2:$J$1000,$J505)&amp;IF(INDEX(Datos!$Q$2:$Q$1000,$J505)="",""," | "&amp;INDEX(Datos!$Q$2:$Q$1000,$J505)))</f>
        <v/>
      </c>
      <c r="J505">
        <f>IFERROR(MATCH(ROW()-17,Datos!$W$2:$W$1000,0),0)</f>
        <v>0</v>
      </c>
    </row>
    <row r="506" spans="1:10" ht="82" customHeight="1" x14ac:dyDescent="0.35">
      <c r="A506" s="4" t="str">
        <f>IF($J506=0,"",IF(INDEX(Datos!$A$2:$A$1000,$J506)="","",INDEX(Datos!$A$2:$A$1000,$J506)))</f>
        <v/>
      </c>
      <c r="B506" s="5" t="str">
        <f>IF($J506=0,"",IF(INDEX(Datos!$E$2:$E$1000,$J506)="","",INDEX(Datos!$E$2:$E$1000,$J506)))</f>
        <v/>
      </c>
      <c r="C506" s="5" t="str">
        <f>IF($J506=0,"",IF(INDEX(Datos!$I$2:$I$1000,$J506)="","",INDEX(Datos!$I$2:$I$1000,$J506)))</f>
        <v/>
      </c>
      <c r="D506" s="6" t="str">
        <f>IF($J506=0,"",IF(INDEX(Datos!$F$2:$F$1000,$J506)="","",INDEX(Datos!$F$2:$F$1000,$J506)))</f>
        <v/>
      </c>
      <c r="E506" s="7" t="str">
        <f>IF($J506=0,"",IF(INDEX(Datos!$H$2:$H$1000,$J506)="","",INDEX(Datos!$H$2:$H$1000,$J506)))</f>
        <v/>
      </c>
      <c r="F506" s="6" t="str">
        <f>IF($J506=0,"",IF(INDEX(Datos!$N$2:$N$1000,$J506)="","",INDEX(Datos!$N$2:$N$1000,$J506)))</f>
        <v/>
      </c>
      <c r="G506" s="8" t="str">
        <f>IF($J506=0,"",IF(INDEX(Datos!$M$2:$M$1000,$J506)="","",INDEX(Datos!$M$2:$M$1000,$J506)))</f>
        <v/>
      </c>
      <c r="H506" s="6" t="str">
        <f>IF($J506=0,"",INDEX(Datos!$J$2:$J$1000,$J506)&amp;IF(INDEX(Datos!$Q$2:$Q$1000,$J506)="",""," | "&amp;INDEX(Datos!$Q$2:$Q$1000,$J506)))</f>
        <v/>
      </c>
      <c r="J506">
        <f>IFERROR(MATCH(ROW()-17,Datos!$W$2:$W$1000,0),0)</f>
        <v>0</v>
      </c>
    </row>
    <row r="507" spans="1:10" ht="82" customHeight="1" x14ac:dyDescent="0.35">
      <c r="A507" s="4" t="str">
        <f>IF($J507=0,"",IF(INDEX(Datos!$A$2:$A$1000,$J507)="","",INDEX(Datos!$A$2:$A$1000,$J507)))</f>
        <v/>
      </c>
      <c r="B507" s="5" t="str">
        <f>IF($J507=0,"",IF(INDEX(Datos!$E$2:$E$1000,$J507)="","",INDEX(Datos!$E$2:$E$1000,$J507)))</f>
        <v/>
      </c>
      <c r="C507" s="5" t="str">
        <f>IF($J507=0,"",IF(INDEX(Datos!$I$2:$I$1000,$J507)="","",INDEX(Datos!$I$2:$I$1000,$J507)))</f>
        <v/>
      </c>
      <c r="D507" s="6" t="str">
        <f>IF($J507=0,"",IF(INDEX(Datos!$F$2:$F$1000,$J507)="","",INDEX(Datos!$F$2:$F$1000,$J507)))</f>
        <v/>
      </c>
      <c r="E507" s="7" t="str">
        <f>IF($J507=0,"",IF(INDEX(Datos!$H$2:$H$1000,$J507)="","",INDEX(Datos!$H$2:$H$1000,$J507)))</f>
        <v/>
      </c>
      <c r="F507" s="6" t="str">
        <f>IF($J507=0,"",IF(INDEX(Datos!$N$2:$N$1000,$J507)="","",INDEX(Datos!$N$2:$N$1000,$J507)))</f>
        <v/>
      </c>
      <c r="G507" s="8" t="str">
        <f>IF($J507=0,"",IF(INDEX(Datos!$M$2:$M$1000,$J507)="","",INDEX(Datos!$M$2:$M$1000,$J507)))</f>
        <v/>
      </c>
      <c r="H507" s="6" t="str">
        <f>IF($J507=0,"",INDEX(Datos!$J$2:$J$1000,$J507)&amp;IF(INDEX(Datos!$Q$2:$Q$1000,$J507)="",""," | "&amp;INDEX(Datos!$Q$2:$Q$1000,$J507)))</f>
        <v/>
      </c>
      <c r="J507">
        <f>IFERROR(MATCH(ROW()-17,Datos!$W$2:$W$1000,0),0)</f>
        <v>0</v>
      </c>
    </row>
    <row r="508" spans="1:10" ht="82" customHeight="1" x14ac:dyDescent="0.35">
      <c r="A508" s="4" t="str">
        <f>IF($J508=0,"",IF(INDEX(Datos!$A$2:$A$1000,$J508)="","",INDEX(Datos!$A$2:$A$1000,$J508)))</f>
        <v/>
      </c>
      <c r="B508" s="5" t="str">
        <f>IF($J508=0,"",IF(INDEX(Datos!$E$2:$E$1000,$J508)="","",INDEX(Datos!$E$2:$E$1000,$J508)))</f>
        <v/>
      </c>
      <c r="C508" s="5" t="str">
        <f>IF($J508=0,"",IF(INDEX(Datos!$I$2:$I$1000,$J508)="","",INDEX(Datos!$I$2:$I$1000,$J508)))</f>
        <v/>
      </c>
      <c r="D508" s="6" t="str">
        <f>IF($J508=0,"",IF(INDEX(Datos!$F$2:$F$1000,$J508)="","",INDEX(Datos!$F$2:$F$1000,$J508)))</f>
        <v/>
      </c>
      <c r="E508" s="7" t="str">
        <f>IF($J508=0,"",IF(INDEX(Datos!$H$2:$H$1000,$J508)="","",INDEX(Datos!$H$2:$H$1000,$J508)))</f>
        <v/>
      </c>
      <c r="F508" s="6" t="str">
        <f>IF($J508=0,"",IF(INDEX(Datos!$N$2:$N$1000,$J508)="","",INDEX(Datos!$N$2:$N$1000,$J508)))</f>
        <v/>
      </c>
      <c r="G508" s="8" t="str">
        <f>IF($J508=0,"",IF(INDEX(Datos!$M$2:$M$1000,$J508)="","",INDEX(Datos!$M$2:$M$1000,$J508)))</f>
        <v/>
      </c>
      <c r="H508" s="6" t="str">
        <f>IF($J508=0,"",INDEX(Datos!$J$2:$J$1000,$J508)&amp;IF(INDEX(Datos!$Q$2:$Q$1000,$J508)="",""," | "&amp;INDEX(Datos!$Q$2:$Q$1000,$J508)))</f>
        <v/>
      </c>
      <c r="J508">
        <f>IFERROR(MATCH(ROW()-17,Datos!$W$2:$W$1000,0),0)</f>
        <v>0</v>
      </c>
    </row>
    <row r="509" spans="1:10" ht="82" customHeight="1" x14ac:dyDescent="0.35">
      <c r="A509" s="4" t="str">
        <f>IF($J509=0,"",IF(INDEX(Datos!$A$2:$A$1000,$J509)="","",INDEX(Datos!$A$2:$A$1000,$J509)))</f>
        <v/>
      </c>
      <c r="B509" s="5" t="str">
        <f>IF($J509=0,"",IF(INDEX(Datos!$E$2:$E$1000,$J509)="","",INDEX(Datos!$E$2:$E$1000,$J509)))</f>
        <v/>
      </c>
      <c r="C509" s="5" t="str">
        <f>IF($J509=0,"",IF(INDEX(Datos!$I$2:$I$1000,$J509)="","",INDEX(Datos!$I$2:$I$1000,$J509)))</f>
        <v/>
      </c>
      <c r="D509" s="6" t="str">
        <f>IF($J509=0,"",IF(INDEX(Datos!$F$2:$F$1000,$J509)="","",INDEX(Datos!$F$2:$F$1000,$J509)))</f>
        <v/>
      </c>
      <c r="E509" s="7" t="str">
        <f>IF($J509=0,"",IF(INDEX(Datos!$H$2:$H$1000,$J509)="","",INDEX(Datos!$H$2:$H$1000,$J509)))</f>
        <v/>
      </c>
      <c r="F509" s="6" t="str">
        <f>IF($J509=0,"",IF(INDEX(Datos!$N$2:$N$1000,$J509)="","",INDEX(Datos!$N$2:$N$1000,$J509)))</f>
        <v/>
      </c>
      <c r="G509" s="8" t="str">
        <f>IF($J509=0,"",IF(INDEX(Datos!$M$2:$M$1000,$J509)="","",INDEX(Datos!$M$2:$M$1000,$J509)))</f>
        <v/>
      </c>
      <c r="H509" s="6" t="str">
        <f>IF($J509=0,"",INDEX(Datos!$J$2:$J$1000,$J509)&amp;IF(INDEX(Datos!$Q$2:$Q$1000,$J509)="",""," | "&amp;INDEX(Datos!$Q$2:$Q$1000,$J509)))</f>
        <v/>
      </c>
      <c r="J509">
        <f>IFERROR(MATCH(ROW()-17,Datos!$W$2:$W$1000,0),0)</f>
        <v>0</v>
      </c>
    </row>
    <row r="510" spans="1:10" ht="82" customHeight="1" x14ac:dyDescent="0.35">
      <c r="A510" s="4" t="str">
        <f>IF($J510=0,"",IF(INDEX(Datos!$A$2:$A$1000,$J510)="","",INDEX(Datos!$A$2:$A$1000,$J510)))</f>
        <v/>
      </c>
      <c r="B510" s="5" t="str">
        <f>IF($J510=0,"",IF(INDEX(Datos!$E$2:$E$1000,$J510)="","",INDEX(Datos!$E$2:$E$1000,$J510)))</f>
        <v/>
      </c>
      <c r="C510" s="5" t="str">
        <f>IF($J510=0,"",IF(INDEX(Datos!$I$2:$I$1000,$J510)="","",INDEX(Datos!$I$2:$I$1000,$J510)))</f>
        <v/>
      </c>
      <c r="D510" s="6" t="str">
        <f>IF($J510=0,"",IF(INDEX(Datos!$F$2:$F$1000,$J510)="","",INDEX(Datos!$F$2:$F$1000,$J510)))</f>
        <v/>
      </c>
      <c r="E510" s="7" t="str">
        <f>IF($J510=0,"",IF(INDEX(Datos!$H$2:$H$1000,$J510)="","",INDEX(Datos!$H$2:$H$1000,$J510)))</f>
        <v/>
      </c>
      <c r="F510" s="6" t="str">
        <f>IF($J510=0,"",IF(INDEX(Datos!$N$2:$N$1000,$J510)="","",INDEX(Datos!$N$2:$N$1000,$J510)))</f>
        <v/>
      </c>
      <c r="G510" s="8" t="str">
        <f>IF($J510=0,"",IF(INDEX(Datos!$M$2:$M$1000,$J510)="","",INDEX(Datos!$M$2:$M$1000,$J510)))</f>
        <v/>
      </c>
      <c r="H510" s="6" t="str">
        <f>IF($J510=0,"",INDEX(Datos!$J$2:$J$1000,$J510)&amp;IF(INDEX(Datos!$Q$2:$Q$1000,$J510)="",""," | "&amp;INDEX(Datos!$Q$2:$Q$1000,$J510)))</f>
        <v/>
      </c>
      <c r="J510">
        <f>IFERROR(MATCH(ROW()-17,Datos!$W$2:$W$1000,0),0)</f>
        <v>0</v>
      </c>
    </row>
    <row r="511" spans="1:10" ht="82" customHeight="1" x14ac:dyDescent="0.35">
      <c r="A511" s="4" t="str">
        <f>IF($J511=0,"",IF(INDEX(Datos!$A$2:$A$1000,$J511)="","",INDEX(Datos!$A$2:$A$1000,$J511)))</f>
        <v/>
      </c>
      <c r="B511" s="5" t="str">
        <f>IF($J511=0,"",IF(INDEX(Datos!$E$2:$E$1000,$J511)="","",INDEX(Datos!$E$2:$E$1000,$J511)))</f>
        <v/>
      </c>
      <c r="C511" s="5" t="str">
        <f>IF($J511=0,"",IF(INDEX(Datos!$I$2:$I$1000,$J511)="","",INDEX(Datos!$I$2:$I$1000,$J511)))</f>
        <v/>
      </c>
      <c r="D511" s="6" t="str">
        <f>IF($J511=0,"",IF(INDEX(Datos!$F$2:$F$1000,$J511)="","",INDEX(Datos!$F$2:$F$1000,$J511)))</f>
        <v/>
      </c>
      <c r="E511" s="7" t="str">
        <f>IF($J511=0,"",IF(INDEX(Datos!$H$2:$H$1000,$J511)="","",INDEX(Datos!$H$2:$H$1000,$J511)))</f>
        <v/>
      </c>
      <c r="F511" s="6" t="str">
        <f>IF($J511=0,"",IF(INDEX(Datos!$N$2:$N$1000,$J511)="","",INDEX(Datos!$N$2:$N$1000,$J511)))</f>
        <v/>
      </c>
      <c r="G511" s="8" t="str">
        <f>IF($J511=0,"",IF(INDEX(Datos!$M$2:$M$1000,$J511)="","",INDEX(Datos!$M$2:$M$1000,$J511)))</f>
        <v/>
      </c>
      <c r="H511" s="6" t="str">
        <f>IF($J511=0,"",INDEX(Datos!$J$2:$J$1000,$J511)&amp;IF(INDEX(Datos!$Q$2:$Q$1000,$J511)="",""," | "&amp;INDEX(Datos!$Q$2:$Q$1000,$J511)))</f>
        <v/>
      </c>
      <c r="J511">
        <f>IFERROR(MATCH(ROW()-17,Datos!$W$2:$W$1000,0),0)</f>
        <v>0</v>
      </c>
    </row>
    <row r="512" spans="1:10" ht="82" customHeight="1" x14ac:dyDescent="0.35">
      <c r="A512" s="4" t="str">
        <f>IF($J512=0,"",IF(INDEX(Datos!$A$2:$A$1000,$J512)="","",INDEX(Datos!$A$2:$A$1000,$J512)))</f>
        <v/>
      </c>
      <c r="B512" s="5" t="str">
        <f>IF($J512=0,"",IF(INDEX(Datos!$E$2:$E$1000,$J512)="","",INDEX(Datos!$E$2:$E$1000,$J512)))</f>
        <v/>
      </c>
      <c r="C512" s="5" t="str">
        <f>IF($J512=0,"",IF(INDEX(Datos!$I$2:$I$1000,$J512)="","",INDEX(Datos!$I$2:$I$1000,$J512)))</f>
        <v/>
      </c>
      <c r="D512" s="6" t="str">
        <f>IF($J512=0,"",IF(INDEX(Datos!$F$2:$F$1000,$J512)="","",INDEX(Datos!$F$2:$F$1000,$J512)))</f>
        <v/>
      </c>
      <c r="E512" s="7" t="str">
        <f>IF($J512=0,"",IF(INDEX(Datos!$H$2:$H$1000,$J512)="","",INDEX(Datos!$H$2:$H$1000,$J512)))</f>
        <v/>
      </c>
      <c r="F512" s="6" t="str">
        <f>IF($J512=0,"",IF(INDEX(Datos!$N$2:$N$1000,$J512)="","",INDEX(Datos!$N$2:$N$1000,$J512)))</f>
        <v/>
      </c>
      <c r="G512" s="8" t="str">
        <f>IF($J512=0,"",IF(INDEX(Datos!$M$2:$M$1000,$J512)="","",INDEX(Datos!$M$2:$M$1000,$J512)))</f>
        <v/>
      </c>
      <c r="H512" s="6" t="str">
        <f>IF($J512=0,"",INDEX(Datos!$J$2:$J$1000,$J512)&amp;IF(INDEX(Datos!$Q$2:$Q$1000,$J512)="",""," | "&amp;INDEX(Datos!$Q$2:$Q$1000,$J512)))</f>
        <v/>
      </c>
      <c r="J512">
        <f>IFERROR(MATCH(ROW()-17,Datos!$W$2:$W$1000,0),0)</f>
        <v>0</v>
      </c>
    </row>
    <row r="513" spans="1:10" ht="82" customHeight="1" x14ac:dyDescent="0.35">
      <c r="A513" s="4" t="str">
        <f>IF($J513=0,"",IF(INDEX(Datos!$A$2:$A$1000,$J513)="","",INDEX(Datos!$A$2:$A$1000,$J513)))</f>
        <v/>
      </c>
      <c r="B513" s="5" t="str">
        <f>IF($J513=0,"",IF(INDEX(Datos!$E$2:$E$1000,$J513)="","",INDEX(Datos!$E$2:$E$1000,$J513)))</f>
        <v/>
      </c>
      <c r="C513" s="5" t="str">
        <f>IF($J513=0,"",IF(INDEX(Datos!$I$2:$I$1000,$J513)="","",INDEX(Datos!$I$2:$I$1000,$J513)))</f>
        <v/>
      </c>
      <c r="D513" s="6" t="str">
        <f>IF($J513=0,"",IF(INDEX(Datos!$F$2:$F$1000,$J513)="","",INDEX(Datos!$F$2:$F$1000,$J513)))</f>
        <v/>
      </c>
      <c r="E513" s="7" t="str">
        <f>IF($J513=0,"",IF(INDEX(Datos!$H$2:$H$1000,$J513)="","",INDEX(Datos!$H$2:$H$1000,$J513)))</f>
        <v/>
      </c>
      <c r="F513" s="6" t="str">
        <f>IF($J513=0,"",IF(INDEX(Datos!$N$2:$N$1000,$J513)="","",INDEX(Datos!$N$2:$N$1000,$J513)))</f>
        <v/>
      </c>
      <c r="G513" s="8" t="str">
        <f>IF($J513=0,"",IF(INDEX(Datos!$M$2:$M$1000,$J513)="","",INDEX(Datos!$M$2:$M$1000,$J513)))</f>
        <v/>
      </c>
      <c r="H513" s="6" t="str">
        <f>IF($J513=0,"",INDEX(Datos!$J$2:$J$1000,$J513)&amp;IF(INDEX(Datos!$Q$2:$Q$1000,$J513)="",""," | "&amp;INDEX(Datos!$Q$2:$Q$1000,$J513)))</f>
        <v/>
      </c>
      <c r="J513">
        <f>IFERROR(MATCH(ROW()-17,Datos!$W$2:$W$1000,0),0)</f>
        <v>0</v>
      </c>
    </row>
    <row r="514" spans="1:10" ht="82" customHeight="1" x14ac:dyDescent="0.35">
      <c r="A514" s="4" t="str">
        <f>IF($J514=0,"",IF(INDEX(Datos!$A$2:$A$1000,$J514)="","",INDEX(Datos!$A$2:$A$1000,$J514)))</f>
        <v/>
      </c>
      <c r="B514" s="5" t="str">
        <f>IF($J514=0,"",IF(INDEX(Datos!$E$2:$E$1000,$J514)="","",INDEX(Datos!$E$2:$E$1000,$J514)))</f>
        <v/>
      </c>
      <c r="C514" s="5" t="str">
        <f>IF($J514=0,"",IF(INDEX(Datos!$I$2:$I$1000,$J514)="","",INDEX(Datos!$I$2:$I$1000,$J514)))</f>
        <v/>
      </c>
      <c r="D514" s="6" t="str">
        <f>IF($J514=0,"",IF(INDEX(Datos!$F$2:$F$1000,$J514)="","",INDEX(Datos!$F$2:$F$1000,$J514)))</f>
        <v/>
      </c>
      <c r="E514" s="7" t="str">
        <f>IF($J514=0,"",IF(INDEX(Datos!$H$2:$H$1000,$J514)="","",INDEX(Datos!$H$2:$H$1000,$J514)))</f>
        <v/>
      </c>
      <c r="F514" s="6" t="str">
        <f>IF($J514=0,"",IF(INDEX(Datos!$N$2:$N$1000,$J514)="","",INDEX(Datos!$N$2:$N$1000,$J514)))</f>
        <v/>
      </c>
      <c r="G514" s="8" t="str">
        <f>IF($J514=0,"",IF(INDEX(Datos!$M$2:$M$1000,$J514)="","",INDEX(Datos!$M$2:$M$1000,$J514)))</f>
        <v/>
      </c>
      <c r="H514" s="6" t="str">
        <f>IF($J514=0,"",INDEX(Datos!$J$2:$J$1000,$J514)&amp;IF(INDEX(Datos!$Q$2:$Q$1000,$J514)="",""," | "&amp;INDEX(Datos!$Q$2:$Q$1000,$J514)))</f>
        <v/>
      </c>
      <c r="J514">
        <f>IFERROR(MATCH(ROW()-17,Datos!$W$2:$W$1000,0),0)</f>
        <v>0</v>
      </c>
    </row>
    <row r="515" spans="1:10" ht="82" customHeight="1" x14ac:dyDescent="0.35">
      <c r="A515" s="4" t="str">
        <f>IF($J515=0,"",IF(INDEX(Datos!$A$2:$A$1000,$J515)="","",INDEX(Datos!$A$2:$A$1000,$J515)))</f>
        <v/>
      </c>
      <c r="B515" s="5" t="str">
        <f>IF($J515=0,"",IF(INDEX(Datos!$E$2:$E$1000,$J515)="","",INDEX(Datos!$E$2:$E$1000,$J515)))</f>
        <v/>
      </c>
      <c r="C515" s="5" t="str">
        <f>IF($J515=0,"",IF(INDEX(Datos!$I$2:$I$1000,$J515)="","",INDEX(Datos!$I$2:$I$1000,$J515)))</f>
        <v/>
      </c>
      <c r="D515" s="6" t="str">
        <f>IF($J515=0,"",IF(INDEX(Datos!$F$2:$F$1000,$J515)="","",INDEX(Datos!$F$2:$F$1000,$J515)))</f>
        <v/>
      </c>
      <c r="E515" s="7" t="str">
        <f>IF($J515=0,"",IF(INDEX(Datos!$H$2:$H$1000,$J515)="","",INDEX(Datos!$H$2:$H$1000,$J515)))</f>
        <v/>
      </c>
      <c r="F515" s="6" t="str">
        <f>IF($J515=0,"",IF(INDEX(Datos!$N$2:$N$1000,$J515)="","",INDEX(Datos!$N$2:$N$1000,$J515)))</f>
        <v/>
      </c>
      <c r="G515" s="8" t="str">
        <f>IF($J515=0,"",IF(INDEX(Datos!$M$2:$M$1000,$J515)="","",INDEX(Datos!$M$2:$M$1000,$J515)))</f>
        <v/>
      </c>
      <c r="H515" s="6" t="str">
        <f>IF($J515=0,"",INDEX(Datos!$J$2:$J$1000,$J515)&amp;IF(INDEX(Datos!$Q$2:$Q$1000,$J515)="",""," | "&amp;INDEX(Datos!$Q$2:$Q$1000,$J515)))</f>
        <v/>
      </c>
      <c r="J515">
        <f>IFERROR(MATCH(ROW()-17,Datos!$W$2:$W$1000,0),0)</f>
        <v>0</v>
      </c>
    </row>
    <row r="516" spans="1:10" ht="82" customHeight="1" x14ac:dyDescent="0.35">
      <c r="A516" s="4" t="str">
        <f>IF($J516=0,"",IF(INDEX(Datos!$A$2:$A$1000,$J516)="","",INDEX(Datos!$A$2:$A$1000,$J516)))</f>
        <v/>
      </c>
      <c r="B516" s="5" t="str">
        <f>IF($J516=0,"",IF(INDEX(Datos!$E$2:$E$1000,$J516)="","",INDEX(Datos!$E$2:$E$1000,$J516)))</f>
        <v/>
      </c>
      <c r="C516" s="5" t="str">
        <f>IF($J516=0,"",IF(INDEX(Datos!$I$2:$I$1000,$J516)="","",INDEX(Datos!$I$2:$I$1000,$J516)))</f>
        <v/>
      </c>
      <c r="D516" s="6" t="str">
        <f>IF($J516=0,"",IF(INDEX(Datos!$F$2:$F$1000,$J516)="","",INDEX(Datos!$F$2:$F$1000,$J516)))</f>
        <v/>
      </c>
      <c r="E516" s="7" t="str">
        <f>IF($J516=0,"",IF(INDEX(Datos!$H$2:$H$1000,$J516)="","",INDEX(Datos!$H$2:$H$1000,$J516)))</f>
        <v/>
      </c>
      <c r="F516" s="6" t="str">
        <f>IF($J516=0,"",IF(INDEX(Datos!$N$2:$N$1000,$J516)="","",INDEX(Datos!$N$2:$N$1000,$J516)))</f>
        <v/>
      </c>
      <c r="G516" s="8" t="str">
        <f>IF($J516=0,"",IF(INDEX(Datos!$M$2:$M$1000,$J516)="","",INDEX(Datos!$M$2:$M$1000,$J516)))</f>
        <v/>
      </c>
      <c r="H516" s="6" t="str">
        <f>IF($J516=0,"",INDEX(Datos!$J$2:$J$1000,$J516)&amp;IF(INDEX(Datos!$Q$2:$Q$1000,$J516)="",""," | "&amp;INDEX(Datos!$Q$2:$Q$1000,$J516)))</f>
        <v/>
      </c>
      <c r="J516">
        <f>IFERROR(MATCH(ROW()-17,Datos!$W$2:$W$1000,0),0)</f>
        <v>0</v>
      </c>
    </row>
    <row r="517" spans="1:10" ht="82" customHeight="1" x14ac:dyDescent="0.35">
      <c r="A517" s="4" t="str">
        <f>IF($J517=0,"",IF(INDEX(Datos!$A$2:$A$1000,$J517)="","",INDEX(Datos!$A$2:$A$1000,$J517)))</f>
        <v/>
      </c>
      <c r="B517" s="5" t="str">
        <f>IF($J517=0,"",IF(INDEX(Datos!$E$2:$E$1000,$J517)="","",INDEX(Datos!$E$2:$E$1000,$J517)))</f>
        <v/>
      </c>
      <c r="C517" s="5" t="str">
        <f>IF($J517=0,"",IF(INDEX(Datos!$I$2:$I$1000,$J517)="","",INDEX(Datos!$I$2:$I$1000,$J517)))</f>
        <v/>
      </c>
      <c r="D517" s="6" t="str">
        <f>IF($J517=0,"",IF(INDEX(Datos!$F$2:$F$1000,$J517)="","",INDEX(Datos!$F$2:$F$1000,$J517)))</f>
        <v/>
      </c>
      <c r="E517" s="7" t="str">
        <f>IF($J517=0,"",IF(INDEX(Datos!$H$2:$H$1000,$J517)="","",INDEX(Datos!$H$2:$H$1000,$J517)))</f>
        <v/>
      </c>
      <c r="F517" s="6" t="str">
        <f>IF($J517=0,"",IF(INDEX(Datos!$N$2:$N$1000,$J517)="","",INDEX(Datos!$N$2:$N$1000,$J517)))</f>
        <v/>
      </c>
      <c r="G517" s="8" t="str">
        <f>IF($J517=0,"",IF(INDEX(Datos!$M$2:$M$1000,$J517)="","",INDEX(Datos!$M$2:$M$1000,$J517)))</f>
        <v/>
      </c>
      <c r="H517" s="6" t="str">
        <f>IF($J517=0,"",INDEX(Datos!$J$2:$J$1000,$J517)&amp;IF(INDEX(Datos!$Q$2:$Q$1000,$J517)="",""," | "&amp;INDEX(Datos!$Q$2:$Q$1000,$J517)))</f>
        <v/>
      </c>
      <c r="J517">
        <f>IFERROR(MATCH(ROW()-17,Datos!$W$2:$W$1000,0),0)</f>
        <v>0</v>
      </c>
    </row>
  </sheetData>
  <mergeCells count="10">
    <mergeCell ref="A16:H16"/>
    <mergeCell ref="B14:D14"/>
    <mergeCell ref="A1:H1"/>
    <mergeCell ref="B12:D12"/>
    <mergeCell ref="B6:D6"/>
    <mergeCell ref="B10:D10"/>
    <mergeCell ref="A15:H15"/>
    <mergeCell ref="B8:D8"/>
    <mergeCell ref="A2:H2"/>
    <mergeCell ref="B4:D4"/>
  </mergeCells>
  <conditionalFormatting sqref="A18:H150">
    <cfRule type="expression" dxfId="0" priority="1">
      <formula>AND($A18&lt;&gt;"",MOD(ROW(),2)=0)</formula>
    </cfRule>
  </conditionalFormatting>
  <dataValidations count="6">
    <dataValidation type="list" allowBlank="1" showErrorMessage="1" errorTitle="Criterio de consulta" error="Seleccione un valor de la lista o Sin filtro." sqref="B4" xr:uid="{00000000-0002-0000-0000-000000000000}">
      <formula1>Criterio1</formula1>
    </dataValidation>
    <dataValidation type="list" allowBlank="1" showErrorMessage="1" errorTitle="Criterio de consulta" error="Seleccione un valor de la lista o Sin filtro." sqref="B6" xr:uid="{00000000-0002-0000-0000-000001000000}">
      <formula1>INDIRECT("'Empresas y UTE'!$BW$1:$BW$81")</formula1>
    </dataValidation>
    <dataValidation type="list" allowBlank="1" showErrorMessage="1" errorTitle="Criterio de consulta" error="Seleccione un valor de la lista o Sin filtro." sqref="B8" xr:uid="{00000000-0002-0000-0000-000002000000}">
      <formula1>INDIRECT("'Empresas y UTE'!$AF$1:$AF$102")</formula1>
    </dataValidation>
    <dataValidation type="list" allowBlank="1" showErrorMessage="1" errorTitle="Criterio de consulta" error="Seleccione un valor de la lista o Sin filtro." sqref="B10" xr:uid="{00000000-0002-0000-0000-000003000000}">
      <formula1>Criterio3</formula1>
    </dataValidation>
    <dataValidation type="list" allowBlank="1" showErrorMessage="1" errorTitle="Criterio de consulta" error="Seleccione un valor de la lista o Sin filtro." sqref="B12" xr:uid="{00000000-0002-0000-0000-000004000000}">
      <formula1>Criterio4</formula1>
    </dataValidation>
    <dataValidation type="list" sqref="B14" xr:uid="{00000000-0002-0000-0000-000005000000}">
      <formula1>Criterio5</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pane ySplit="1" topLeftCell="A2" activePane="bottomLeft" state="frozen"/>
      <selection pane="bottomLeft"/>
    </sheetView>
  </sheetViews>
  <sheetFormatPr defaultColWidth="8.90625" defaultRowHeight="14.5" x14ac:dyDescent="0.35"/>
  <cols>
    <col min="1" max="1" width="20.453125" customWidth="1"/>
    <col min="2" max="2" width="16.453125" customWidth="1"/>
    <col min="3" max="3" width="57" customWidth="1"/>
    <col min="4" max="4" width="49.1796875" customWidth="1"/>
    <col min="24" max="24" width="48" customWidth="1"/>
    <col min="25" max="25" width="27" customWidth="1"/>
    <col min="26" max="26" width="57" customWidth="1"/>
    <col min="27" max="27" width="18" customWidth="1"/>
  </cols>
  <sheetData>
    <row r="1" spans="1:32" x14ac:dyDescent="0.35">
      <c r="A1" t="s">
        <v>2</v>
      </c>
      <c r="B1" t="s">
        <v>15</v>
      </c>
      <c r="C1" t="s">
        <v>16</v>
      </c>
      <c r="D1" t="s">
        <v>17</v>
      </c>
      <c r="E1" t="s">
        <v>18</v>
      </c>
      <c r="F1" t="s">
        <v>19</v>
      </c>
      <c r="G1" t="s">
        <v>20</v>
      </c>
      <c r="H1" t="s">
        <v>11</v>
      </c>
      <c r="I1" t="s">
        <v>6</v>
      </c>
      <c r="J1" t="s">
        <v>21</v>
      </c>
      <c r="K1" t="s">
        <v>22</v>
      </c>
      <c r="L1" t="s">
        <v>1986</v>
      </c>
      <c r="M1" t="s">
        <v>1987</v>
      </c>
      <c r="N1" t="s">
        <v>23</v>
      </c>
      <c r="O1" t="s">
        <v>24</v>
      </c>
      <c r="P1" t="s">
        <v>25</v>
      </c>
      <c r="Q1" t="s">
        <v>26</v>
      </c>
      <c r="R1" t="s">
        <v>27</v>
      </c>
      <c r="S1" t="s">
        <v>28</v>
      </c>
      <c r="T1" t="s">
        <v>29</v>
      </c>
      <c r="U1" t="s">
        <v>30</v>
      </c>
      <c r="X1" t="s">
        <v>31</v>
      </c>
      <c r="Y1" t="s">
        <v>32</v>
      </c>
      <c r="Z1" t="s">
        <v>33</v>
      </c>
      <c r="AA1" t="s">
        <v>34</v>
      </c>
      <c r="AB1" t="s">
        <v>35</v>
      </c>
      <c r="AC1" t="s">
        <v>36</v>
      </c>
      <c r="AD1" t="s">
        <v>37</v>
      </c>
      <c r="AE1" t="s">
        <v>38</v>
      </c>
      <c r="AF1" t="s">
        <v>39</v>
      </c>
    </row>
    <row r="2" spans="1:32" hidden="1" x14ac:dyDescent="0.35">
      <c r="A2" t="s">
        <v>40</v>
      </c>
      <c r="B2" t="s">
        <v>41</v>
      </c>
      <c r="C2" t="s">
        <v>42</v>
      </c>
      <c r="D2" t="s">
        <v>43</v>
      </c>
      <c r="E2" t="s">
        <v>44</v>
      </c>
      <c r="F2" t="s">
        <v>45</v>
      </c>
      <c r="G2" t="s">
        <v>46</v>
      </c>
      <c r="H2" t="s">
        <v>47</v>
      </c>
      <c r="I2" t="s">
        <v>48</v>
      </c>
      <c r="J2" t="s">
        <v>49</v>
      </c>
      <c r="K2" t="s">
        <v>50</v>
      </c>
      <c r="L2">
        <v>44866</v>
      </c>
      <c r="M2" s="1">
        <v>47057</v>
      </c>
      <c r="N2" t="s">
        <v>51</v>
      </c>
      <c r="O2" t="s">
        <v>52</v>
      </c>
      <c r="P2" t="s">
        <v>53</v>
      </c>
      <c r="Q2" t="s">
        <v>54</v>
      </c>
      <c r="R2" t="s">
        <v>55</v>
      </c>
      <c r="S2" t="s">
        <v>56</v>
      </c>
      <c r="T2" t="s">
        <v>57</v>
      </c>
      <c r="U2" t="s">
        <v>58</v>
      </c>
      <c r="V2">
        <f>IF(AND(SUM(IF('Consulta de contratos'!$K$1="",0,1),IF('Consulta de contratos'!$K$2="",0,1),IF('Consulta de contratos'!$K$3="",0,1),IF('Consulta de contratos'!$K$4="",0,1),IF('Consulta de contratos'!$K$5="",0,1),IF('Consulta de contratos'!$K$6="",0,1))&gt;0,OR('Consulta de contratos'!$K$1="",A2='Consulta de contratos'!$K$1),OR('Consulta de contratos'!$K$2="",I2='Consulta de contratos'!$K$2),OR('Consulta de contratos'!$K$3="",C2='Consulta de contratos'!$K$3),OR('Consulta de contratos'!$K$4="",D2='Consulta de contratos'!$K$4),OR('Consulta de contratos'!$K$5="",E2='Consulta de contratos'!$K$5),OR('Consulta de contratos'!$K$6="",IFERROR(ISNUMBER(SEARCH("|"&amp;'Consulta de contratos'!$K$6&amp;"|",AF2)),FALSE))),1,0)</f>
        <v>0</v>
      </c>
      <c r="W2">
        <f>IF(V2=1,SUM($V$2:V2),0)</f>
        <v>0</v>
      </c>
      <c r="X2" t="s">
        <v>59</v>
      </c>
      <c r="Y2" t="s">
        <v>60</v>
      </c>
      <c r="Z2" t="s">
        <v>61</v>
      </c>
      <c r="AA2" t="s">
        <v>62</v>
      </c>
      <c r="AF2" t="s">
        <v>63</v>
      </c>
    </row>
    <row r="3" spans="1:32" x14ac:dyDescent="0.35">
      <c r="A3" t="s">
        <v>40</v>
      </c>
      <c r="B3" t="s">
        <v>41</v>
      </c>
      <c r="C3" t="s">
        <v>42</v>
      </c>
      <c r="D3" t="s">
        <v>43</v>
      </c>
      <c r="E3" t="s">
        <v>44</v>
      </c>
      <c r="F3" t="s">
        <v>45</v>
      </c>
      <c r="G3" t="s">
        <v>46</v>
      </c>
      <c r="H3" t="s">
        <v>64</v>
      </c>
      <c r="I3" t="s">
        <v>65</v>
      </c>
      <c r="J3" t="s">
        <v>66</v>
      </c>
      <c r="K3" t="s">
        <v>67</v>
      </c>
      <c r="L3">
        <v>44866</v>
      </c>
      <c r="M3" s="1">
        <v>47057</v>
      </c>
      <c r="N3" t="s">
        <v>51</v>
      </c>
      <c r="O3" t="s">
        <v>52</v>
      </c>
      <c r="P3" t="s">
        <v>53</v>
      </c>
      <c r="Q3" t="s">
        <v>68</v>
      </c>
      <c r="R3" t="s">
        <v>55</v>
      </c>
      <c r="S3" t="s">
        <v>56</v>
      </c>
      <c r="T3" t="s">
        <v>69</v>
      </c>
      <c r="U3" t="s">
        <v>70</v>
      </c>
      <c r="V3">
        <f>IF(AND(SUM(IF('Consulta de contratos'!$K$1="",0,1),IF('Consulta de contratos'!$K$2="",0,1),IF('Consulta de contratos'!$K$3="",0,1),IF('Consulta de contratos'!$K$4="",0,1),IF('Consulta de contratos'!$K$5="",0,1),IF('Consulta de contratos'!$K$6="",0,1))&gt;0,OR('Consulta de contratos'!$K$1="",A3='Consulta de contratos'!$K$1),OR('Consulta de contratos'!$K$2="",I3='Consulta de contratos'!$K$2),OR('Consulta de contratos'!$K$3="",C3='Consulta de contratos'!$K$3),OR('Consulta de contratos'!$K$4="",D3='Consulta de contratos'!$K$4),OR('Consulta de contratos'!$K$5="",E3='Consulta de contratos'!$K$5),OR('Consulta de contratos'!$K$6="",IFERROR(ISNUMBER(SEARCH("|"&amp;'Consulta de contratos'!$K$6&amp;"|",AF3)),FALSE))),1,0)</f>
        <v>0</v>
      </c>
      <c r="W3">
        <f>IF(V3=1,SUM($V$2:V3),0)</f>
        <v>0</v>
      </c>
      <c r="X3" t="s">
        <v>59</v>
      </c>
      <c r="Y3" t="s">
        <v>65</v>
      </c>
      <c r="Z3" t="s">
        <v>71</v>
      </c>
      <c r="AA3" t="s">
        <v>62</v>
      </c>
      <c r="AF3" t="s">
        <v>72</v>
      </c>
    </row>
    <row r="4" spans="1:32" hidden="1" x14ac:dyDescent="0.35">
      <c r="A4" t="s">
        <v>40</v>
      </c>
      <c r="B4" t="s">
        <v>41</v>
      </c>
      <c r="C4" t="s">
        <v>42</v>
      </c>
      <c r="D4" t="s">
        <v>43</v>
      </c>
      <c r="E4" t="s">
        <v>44</v>
      </c>
      <c r="F4" t="s">
        <v>45</v>
      </c>
      <c r="G4" t="s">
        <v>46</v>
      </c>
      <c r="H4" t="s">
        <v>73</v>
      </c>
      <c r="I4" t="s">
        <v>74</v>
      </c>
      <c r="J4" t="s">
        <v>75</v>
      </c>
      <c r="K4" t="s">
        <v>67</v>
      </c>
      <c r="L4">
        <v>44866</v>
      </c>
      <c r="M4" s="1">
        <v>47057</v>
      </c>
      <c r="N4" t="s">
        <v>51</v>
      </c>
      <c r="O4" t="s">
        <v>52</v>
      </c>
      <c r="P4" t="s">
        <v>53</v>
      </c>
      <c r="Q4" t="s">
        <v>76</v>
      </c>
      <c r="R4" t="s">
        <v>55</v>
      </c>
      <c r="S4" t="s">
        <v>56</v>
      </c>
      <c r="T4" t="s">
        <v>77</v>
      </c>
      <c r="U4" t="s">
        <v>78</v>
      </c>
      <c r="V4">
        <f>IF(AND(SUM(IF('Consulta de contratos'!$K$1="",0,1),IF('Consulta de contratos'!$K$2="",0,1),IF('Consulta de contratos'!$K$3="",0,1),IF('Consulta de contratos'!$K$4="",0,1),IF('Consulta de contratos'!$K$5="",0,1),IF('Consulta de contratos'!$K$6="",0,1))&gt;0,OR('Consulta de contratos'!$K$1="",A4='Consulta de contratos'!$K$1),OR('Consulta de contratos'!$K$2="",I4='Consulta de contratos'!$K$2),OR('Consulta de contratos'!$K$3="",C4='Consulta de contratos'!$K$3),OR('Consulta de contratos'!$K$4="",D4='Consulta de contratos'!$K$4),OR('Consulta de contratos'!$K$5="",E4='Consulta de contratos'!$K$5),OR('Consulta de contratos'!$K$6="",IFERROR(ISNUMBER(SEARCH("|"&amp;'Consulta de contratos'!$K$6&amp;"|",AF4)),FALSE))),1,0)</f>
        <v>0</v>
      </c>
      <c r="W4">
        <f>IF(V4=1,SUM($V$2:V4),0)</f>
        <v>0</v>
      </c>
      <c r="X4" t="s">
        <v>59</v>
      </c>
      <c r="Y4" t="s">
        <v>79</v>
      </c>
      <c r="Z4" t="s">
        <v>80</v>
      </c>
      <c r="AA4" t="s">
        <v>62</v>
      </c>
      <c r="AF4" t="s">
        <v>81</v>
      </c>
    </row>
    <row r="5" spans="1:32" hidden="1" x14ac:dyDescent="0.35">
      <c r="A5" t="s">
        <v>40</v>
      </c>
      <c r="B5" t="s">
        <v>41</v>
      </c>
      <c r="C5" t="s">
        <v>42</v>
      </c>
      <c r="D5" t="s">
        <v>43</v>
      </c>
      <c r="E5" t="s">
        <v>44</v>
      </c>
      <c r="F5" t="s">
        <v>82</v>
      </c>
      <c r="G5" t="s">
        <v>83</v>
      </c>
      <c r="H5" t="s">
        <v>84</v>
      </c>
      <c r="I5" t="s">
        <v>85</v>
      </c>
      <c r="J5" t="s">
        <v>86</v>
      </c>
      <c r="K5" t="s">
        <v>87</v>
      </c>
      <c r="M5">
        <v>46850</v>
      </c>
      <c r="N5" t="s">
        <v>51</v>
      </c>
      <c r="O5" t="s">
        <v>52</v>
      </c>
      <c r="P5" t="s">
        <v>53</v>
      </c>
      <c r="R5" t="s">
        <v>88</v>
      </c>
      <c r="S5" t="s">
        <v>89</v>
      </c>
      <c r="T5" t="s">
        <v>90</v>
      </c>
      <c r="U5" t="s">
        <v>91</v>
      </c>
      <c r="V5">
        <f>IF(AND(SUM(IF('Consulta de contratos'!$K$1="",0,1),IF('Consulta de contratos'!$K$2="",0,1),IF('Consulta de contratos'!$K$3="",0,1),IF('Consulta de contratos'!$K$4="",0,1),IF('Consulta de contratos'!$K$5="",0,1),IF('Consulta de contratos'!$K$6="",0,1))&gt;0,OR('Consulta de contratos'!$K$1="",A5='Consulta de contratos'!$K$1),OR('Consulta de contratos'!$K$2="",I5='Consulta de contratos'!$K$2),OR('Consulta de contratos'!$K$3="",C5='Consulta de contratos'!$K$3),OR('Consulta de contratos'!$K$4="",D5='Consulta de contratos'!$K$4),OR('Consulta de contratos'!$K$5="",E5='Consulta de contratos'!$K$5),OR('Consulta de contratos'!$K$6="",IFERROR(ISNUMBER(SEARCH("|"&amp;'Consulta de contratos'!$K$6&amp;"|",AF5)),FALSE))),1,0)</f>
        <v>0</v>
      </c>
      <c r="W5">
        <f>IF(V5=1,SUM($V$2:V5),0)</f>
        <v>0</v>
      </c>
      <c r="X5" t="s">
        <v>59</v>
      </c>
      <c r="Y5" t="s">
        <v>85</v>
      </c>
      <c r="Z5" t="s">
        <v>71</v>
      </c>
      <c r="AA5" t="s">
        <v>62</v>
      </c>
      <c r="AF5" t="s">
        <v>92</v>
      </c>
    </row>
    <row r="6" spans="1:32" hidden="1" x14ac:dyDescent="0.35">
      <c r="A6" t="s">
        <v>40</v>
      </c>
      <c r="B6" t="s">
        <v>41</v>
      </c>
      <c r="C6" t="s">
        <v>42</v>
      </c>
      <c r="D6" t="s">
        <v>43</v>
      </c>
      <c r="E6" t="s">
        <v>44</v>
      </c>
      <c r="F6" t="s">
        <v>93</v>
      </c>
      <c r="G6" t="s">
        <v>94</v>
      </c>
      <c r="H6" t="s">
        <v>84</v>
      </c>
      <c r="I6" t="s">
        <v>95</v>
      </c>
      <c r="J6" t="s">
        <v>96</v>
      </c>
      <c r="K6" t="s">
        <v>97</v>
      </c>
      <c r="L6">
        <v>45622</v>
      </c>
      <c r="M6">
        <v>47447</v>
      </c>
      <c r="N6" t="s">
        <v>51</v>
      </c>
      <c r="O6" t="s">
        <v>52</v>
      </c>
      <c r="P6" t="s">
        <v>53</v>
      </c>
      <c r="Q6" t="s">
        <v>98</v>
      </c>
      <c r="R6" t="s">
        <v>99</v>
      </c>
      <c r="S6" t="s">
        <v>100</v>
      </c>
      <c r="T6" t="s">
        <v>101</v>
      </c>
      <c r="U6" t="s">
        <v>102</v>
      </c>
      <c r="V6">
        <f>IF(AND(SUM(IF('Consulta de contratos'!$K$1="",0,1),IF('Consulta de contratos'!$K$2="",0,1),IF('Consulta de contratos'!$K$3="",0,1),IF('Consulta de contratos'!$K$4="",0,1),IF('Consulta de contratos'!$K$5="",0,1),IF('Consulta de contratos'!$K$6="",0,1))&gt;0,OR('Consulta de contratos'!$K$1="",A6='Consulta de contratos'!$K$1),OR('Consulta de contratos'!$K$2="",I6='Consulta de contratos'!$K$2),OR('Consulta de contratos'!$K$3="",C6='Consulta de contratos'!$K$3),OR('Consulta de contratos'!$K$4="",D6='Consulta de contratos'!$K$4),OR('Consulta de contratos'!$K$5="",E6='Consulta de contratos'!$K$5),OR('Consulta de contratos'!$K$6="",IFERROR(ISNUMBER(SEARCH("|"&amp;'Consulta de contratos'!$K$6&amp;"|",AF6)),FALSE))),1,0)</f>
        <v>0</v>
      </c>
      <c r="W6">
        <f>IF(V6=1,SUM($V$2:V6),0)</f>
        <v>0</v>
      </c>
      <c r="X6" t="s">
        <v>59</v>
      </c>
      <c r="Y6" t="s">
        <v>103</v>
      </c>
      <c r="Z6" t="s">
        <v>61</v>
      </c>
      <c r="AA6" t="s">
        <v>62</v>
      </c>
      <c r="AF6" t="s">
        <v>104</v>
      </c>
    </row>
    <row r="7" spans="1:32" hidden="1" x14ac:dyDescent="0.35">
      <c r="A7" t="s">
        <v>40</v>
      </c>
      <c r="B7" t="s">
        <v>41</v>
      </c>
      <c r="C7" t="s">
        <v>42</v>
      </c>
      <c r="D7" t="s">
        <v>43</v>
      </c>
      <c r="E7" t="s">
        <v>44</v>
      </c>
      <c r="F7" t="s">
        <v>105</v>
      </c>
      <c r="G7" t="s">
        <v>106</v>
      </c>
      <c r="H7" t="s">
        <v>84</v>
      </c>
      <c r="I7" t="s">
        <v>107</v>
      </c>
      <c r="J7" t="s">
        <v>108</v>
      </c>
      <c r="K7" t="s">
        <v>109</v>
      </c>
      <c r="N7" t="s">
        <v>51</v>
      </c>
      <c r="O7" t="s">
        <v>52</v>
      </c>
      <c r="P7" t="s">
        <v>53</v>
      </c>
      <c r="Q7" t="s">
        <v>1988</v>
      </c>
      <c r="R7" t="s">
        <v>1989</v>
      </c>
      <c r="S7" t="s">
        <v>1990</v>
      </c>
      <c r="T7" t="s">
        <v>110</v>
      </c>
      <c r="U7" t="s">
        <v>111</v>
      </c>
      <c r="V7">
        <f>IF(AND(SUM(IF('Consulta de contratos'!$K$1="",0,1),IF('Consulta de contratos'!$K$2="",0,1),IF('Consulta de contratos'!$K$3="",0,1),IF('Consulta de contratos'!$K$4="",0,1),IF('Consulta de contratos'!$K$5="",0,1),IF('Consulta de contratos'!$K$6="",0,1))&gt;0,OR('Consulta de contratos'!$K$1="",A7='Consulta de contratos'!$K$1),OR('Consulta de contratos'!$K$2="",I7='Consulta de contratos'!$K$2),OR('Consulta de contratos'!$K$3="",C7='Consulta de contratos'!$K$3),OR('Consulta de contratos'!$K$4="",D7='Consulta de contratos'!$K$4),OR('Consulta de contratos'!$K$5="",E7='Consulta de contratos'!$K$5),OR('Consulta de contratos'!$K$6="",IFERROR(ISNUMBER(SEARCH("|"&amp;'Consulta de contratos'!$K$6&amp;"|",AF7)),FALSE))),1,0)</f>
        <v>0</v>
      </c>
      <c r="W7">
        <f>IF(V7=1,SUM($V$2:V7),0)</f>
        <v>0</v>
      </c>
      <c r="X7" t="s">
        <v>112</v>
      </c>
      <c r="Y7" t="s">
        <v>113</v>
      </c>
      <c r="Z7" t="s">
        <v>114</v>
      </c>
      <c r="AA7" t="s">
        <v>62</v>
      </c>
      <c r="AF7" t="s">
        <v>115</v>
      </c>
    </row>
    <row r="8" spans="1:32" hidden="1" x14ac:dyDescent="0.35">
      <c r="A8" t="s">
        <v>116</v>
      </c>
      <c r="B8" t="s">
        <v>41</v>
      </c>
      <c r="C8" t="s">
        <v>42</v>
      </c>
      <c r="D8" t="s">
        <v>43</v>
      </c>
      <c r="E8" t="s">
        <v>44</v>
      </c>
      <c r="F8" t="s">
        <v>45</v>
      </c>
      <c r="G8" t="s">
        <v>46</v>
      </c>
      <c r="H8" t="s">
        <v>73</v>
      </c>
      <c r="I8" t="s">
        <v>74</v>
      </c>
      <c r="J8" t="s">
        <v>49</v>
      </c>
      <c r="K8" t="s">
        <v>50</v>
      </c>
      <c r="L8">
        <v>44866</v>
      </c>
      <c r="M8" s="1">
        <v>47057</v>
      </c>
      <c r="N8" t="s">
        <v>51</v>
      </c>
      <c r="O8" t="s">
        <v>52</v>
      </c>
      <c r="P8" t="s">
        <v>53</v>
      </c>
      <c r="R8" t="s">
        <v>55</v>
      </c>
      <c r="S8" t="s">
        <v>56</v>
      </c>
      <c r="T8" t="s">
        <v>117</v>
      </c>
      <c r="U8" t="s">
        <v>78</v>
      </c>
      <c r="V8">
        <f>IF(AND(SUM(IF('Consulta de contratos'!$K$1="",0,1),IF('Consulta de contratos'!$K$2="",0,1),IF('Consulta de contratos'!$K$3="",0,1),IF('Consulta de contratos'!$K$4="",0,1),IF('Consulta de contratos'!$K$5="",0,1),IF('Consulta de contratos'!$K$6="",0,1))&gt;0,OR('Consulta de contratos'!$K$1="",A8='Consulta de contratos'!$K$1),OR('Consulta de contratos'!$K$2="",I8='Consulta de contratos'!$K$2),OR('Consulta de contratos'!$K$3="",C8='Consulta de contratos'!$K$3),OR('Consulta de contratos'!$K$4="",D8='Consulta de contratos'!$K$4),OR('Consulta de contratos'!$K$5="",E8='Consulta de contratos'!$K$5),OR('Consulta de contratos'!$K$6="",IFERROR(ISNUMBER(SEARCH("|"&amp;'Consulta de contratos'!$K$6&amp;"|",AF8)),FALSE))),1,0)</f>
        <v>0</v>
      </c>
      <c r="W8">
        <f>IF(V8=1,SUM($V$2:V8),0)</f>
        <v>0</v>
      </c>
      <c r="X8" t="s">
        <v>59</v>
      </c>
      <c r="Y8" t="s">
        <v>79</v>
      </c>
      <c r="Z8" t="s">
        <v>80</v>
      </c>
      <c r="AA8" t="s">
        <v>62</v>
      </c>
      <c r="AF8" t="s">
        <v>81</v>
      </c>
    </row>
    <row r="9" spans="1:32" x14ac:dyDescent="0.35">
      <c r="A9" t="s">
        <v>116</v>
      </c>
      <c r="B9" t="s">
        <v>41</v>
      </c>
      <c r="C9" t="s">
        <v>42</v>
      </c>
      <c r="D9" t="s">
        <v>43</v>
      </c>
      <c r="E9" t="s">
        <v>44</v>
      </c>
      <c r="F9" t="s">
        <v>45</v>
      </c>
      <c r="G9" t="s">
        <v>46</v>
      </c>
      <c r="H9" t="s">
        <v>64</v>
      </c>
      <c r="I9" t="s">
        <v>65</v>
      </c>
      <c r="J9" t="s">
        <v>66</v>
      </c>
      <c r="K9" t="s">
        <v>67</v>
      </c>
      <c r="L9">
        <v>44866</v>
      </c>
      <c r="M9" s="1">
        <v>47057</v>
      </c>
      <c r="N9" t="s">
        <v>51</v>
      </c>
      <c r="O9" t="s">
        <v>52</v>
      </c>
      <c r="P9" t="s">
        <v>53</v>
      </c>
      <c r="Q9" t="s">
        <v>68</v>
      </c>
      <c r="R9" t="s">
        <v>55</v>
      </c>
      <c r="S9" t="s">
        <v>56</v>
      </c>
      <c r="T9" t="s">
        <v>118</v>
      </c>
      <c r="U9" t="s">
        <v>70</v>
      </c>
      <c r="V9">
        <f>IF(AND(SUM(IF('Consulta de contratos'!$K$1="",0,1),IF('Consulta de contratos'!$K$2="",0,1),IF('Consulta de contratos'!$K$3="",0,1),IF('Consulta de contratos'!$K$4="",0,1),IF('Consulta de contratos'!$K$5="",0,1),IF('Consulta de contratos'!$K$6="",0,1))&gt;0,OR('Consulta de contratos'!$K$1="",A9='Consulta de contratos'!$K$1),OR('Consulta de contratos'!$K$2="",I9='Consulta de contratos'!$K$2),OR('Consulta de contratos'!$K$3="",C9='Consulta de contratos'!$K$3),OR('Consulta de contratos'!$K$4="",D9='Consulta de contratos'!$K$4),OR('Consulta de contratos'!$K$5="",E9='Consulta de contratos'!$K$5),OR('Consulta de contratos'!$K$6="",IFERROR(ISNUMBER(SEARCH("|"&amp;'Consulta de contratos'!$K$6&amp;"|",AF9)),FALSE))),1,0)</f>
        <v>0</v>
      </c>
      <c r="W9">
        <f>IF(V9=1,SUM($V$2:V9),0)</f>
        <v>0</v>
      </c>
      <c r="X9" t="s">
        <v>59</v>
      </c>
      <c r="Y9" t="s">
        <v>65</v>
      </c>
      <c r="Z9" t="s">
        <v>71</v>
      </c>
      <c r="AA9" t="s">
        <v>62</v>
      </c>
      <c r="AF9" t="s">
        <v>72</v>
      </c>
    </row>
    <row r="10" spans="1:32" hidden="1" x14ac:dyDescent="0.35">
      <c r="A10" t="s">
        <v>116</v>
      </c>
      <c r="B10" t="s">
        <v>41</v>
      </c>
      <c r="C10" t="s">
        <v>42</v>
      </c>
      <c r="D10" t="s">
        <v>43</v>
      </c>
      <c r="E10" t="s">
        <v>44</v>
      </c>
      <c r="F10" t="s">
        <v>45</v>
      </c>
      <c r="G10" t="s">
        <v>46</v>
      </c>
      <c r="H10" t="s">
        <v>73</v>
      </c>
      <c r="I10" t="s">
        <v>74</v>
      </c>
      <c r="J10" t="s">
        <v>75</v>
      </c>
      <c r="K10" t="s">
        <v>67</v>
      </c>
      <c r="L10">
        <v>44866</v>
      </c>
      <c r="M10" s="1">
        <v>47057</v>
      </c>
      <c r="N10" t="s">
        <v>51</v>
      </c>
      <c r="O10" t="s">
        <v>52</v>
      </c>
      <c r="P10" t="s">
        <v>53</v>
      </c>
      <c r="Q10" t="s">
        <v>76</v>
      </c>
      <c r="R10" t="s">
        <v>55</v>
      </c>
      <c r="S10" t="s">
        <v>56</v>
      </c>
      <c r="T10" t="s">
        <v>119</v>
      </c>
      <c r="U10" t="s">
        <v>78</v>
      </c>
      <c r="V10">
        <f>IF(AND(SUM(IF('Consulta de contratos'!$K$1="",0,1),IF('Consulta de contratos'!$K$2="",0,1),IF('Consulta de contratos'!$K$3="",0,1),IF('Consulta de contratos'!$K$4="",0,1),IF('Consulta de contratos'!$K$5="",0,1),IF('Consulta de contratos'!$K$6="",0,1))&gt;0,OR('Consulta de contratos'!$K$1="",A10='Consulta de contratos'!$K$1),OR('Consulta de contratos'!$K$2="",I10='Consulta de contratos'!$K$2),OR('Consulta de contratos'!$K$3="",C10='Consulta de contratos'!$K$3),OR('Consulta de contratos'!$K$4="",D10='Consulta de contratos'!$K$4),OR('Consulta de contratos'!$K$5="",E10='Consulta de contratos'!$K$5),OR('Consulta de contratos'!$K$6="",IFERROR(ISNUMBER(SEARCH("|"&amp;'Consulta de contratos'!$K$6&amp;"|",AF10)),FALSE))),1,0)</f>
        <v>0</v>
      </c>
      <c r="W10">
        <f>IF(V10=1,SUM($V$2:V10),0)</f>
        <v>0</v>
      </c>
      <c r="X10" t="s">
        <v>59</v>
      </c>
      <c r="Y10" t="s">
        <v>79</v>
      </c>
      <c r="Z10" t="s">
        <v>80</v>
      </c>
      <c r="AA10" t="s">
        <v>62</v>
      </c>
      <c r="AF10" t="s">
        <v>81</v>
      </c>
    </row>
    <row r="11" spans="1:32" hidden="1" x14ac:dyDescent="0.35">
      <c r="A11" t="s">
        <v>116</v>
      </c>
      <c r="B11" t="s">
        <v>41</v>
      </c>
      <c r="C11" t="s">
        <v>42</v>
      </c>
      <c r="D11" t="s">
        <v>43</v>
      </c>
      <c r="E11" t="s">
        <v>44</v>
      </c>
      <c r="F11" t="s">
        <v>82</v>
      </c>
      <c r="G11" t="s">
        <v>83</v>
      </c>
      <c r="H11" t="s">
        <v>84</v>
      </c>
      <c r="I11" t="s">
        <v>85</v>
      </c>
      <c r="J11" t="s">
        <v>86</v>
      </c>
      <c r="K11" t="s">
        <v>87</v>
      </c>
      <c r="M11">
        <v>46850</v>
      </c>
      <c r="N11" t="s">
        <v>51</v>
      </c>
      <c r="O11" t="s">
        <v>52</v>
      </c>
      <c r="P11" t="s">
        <v>53</v>
      </c>
      <c r="R11" t="s">
        <v>88</v>
      </c>
      <c r="S11" t="s">
        <v>89</v>
      </c>
      <c r="T11" t="s">
        <v>120</v>
      </c>
      <c r="U11" t="s">
        <v>91</v>
      </c>
      <c r="V11">
        <f>IF(AND(SUM(IF('Consulta de contratos'!$K$1="",0,1),IF('Consulta de contratos'!$K$2="",0,1),IF('Consulta de contratos'!$K$3="",0,1),IF('Consulta de contratos'!$K$4="",0,1),IF('Consulta de contratos'!$K$5="",0,1),IF('Consulta de contratos'!$K$6="",0,1))&gt;0,OR('Consulta de contratos'!$K$1="",A11='Consulta de contratos'!$K$1),OR('Consulta de contratos'!$K$2="",I11='Consulta de contratos'!$K$2),OR('Consulta de contratos'!$K$3="",C11='Consulta de contratos'!$K$3),OR('Consulta de contratos'!$K$4="",D11='Consulta de contratos'!$K$4),OR('Consulta de contratos'!$K$5="",E11='Consulta de contratos'!$K$5),OR('Consulta de contratos'!$K$6="",IFERROR(ISNUMBER(SEARCH("|"&amp;'Consulta de contratos'!$K$6&amp;"|",AF11)),FALSE))),1,0)</f>
        <v>0</v>
      </c>
      <c r="W11">
        <f>IF(V11=1,SUM($V$2:V11),0)</f>
        <v>0</v>
      </c>
      <c r="X11" t="s">
        <v>59</v>
      </c>
      <c r="Y11" t="s">
        <v>85</v>
      </c>
      <c r="Z11" t="s">
        <v>71</v>
      </c>
      <c r="AA11" t="s">
        <v>62</v>
      </c>
      <c r="AF11" t="s">
        <v>92</v>
      </c>
    </row>
    <row r="12" spans="1:32" hidden="1" x14ac:dyDescent="0.35">
      <c r="A12" t="s">
        <v>116</v>
      </c>
      <c r="B12" t="s">
        <v>41</v>
      </c>
      <c r="C12" t="s">
        <v>42</v>
      </c>
      <c r="D12" t="s">
        <v>43</v>
      </c>
      <c r="E12" t="s">
        <v>44</v>
      </c>
      <c r="F12" t="s">
        <v>93</v>
      </c>
      <c r="G12" t="s">
        <v>94</v>
      </c>
      <c r="H12" t="s">
        <v>84</v>
      </c>
      <c r="I12" t="s">
        <v>95</v>
      </c>
      <c r="J12" t="s">
        <v>96</v>
      </c>
      <c r="K12" t="s">
        <v>97</v>
      </c>
      <c r="L12">
        <v>45622</v>
      </c>
      <c r="M12">
        <v>47447</v>
      </c>
      <c r="N12" t="s">
        <v>51</v>
      </c>
      <c r="O12" t="s">
        <v>52</v>
      </c>
      <c r="P12" t="s">
        <v>53</v>
      </c>
      <c r="Q12" t="s">
        <v>98</v>
      </c>
      <c r="R12" t="s">
        <v>99</v>
      </c>
      <c r="S12" t="s">
        <v>100</v>
      </c>
      <c r="T12" t="s">
        <v>121</v>
      </c>
      <c r="U12" t="s">
        <v>102</v>
      </c>
      <c r="V12">
        <f>IF(AND(SUM(IF('Consulta de contratos'!$K$1="",0,1),IF('Consulta de contratos'!$K$2="",0,1),IF('Consulta de contratos'!$K$3="",0,1),IF('Consulta de contratos'!$K$4="",0,1),IF('Consulta de contratos'!$K$5="",0,1),IF('Consulta de contratos'!$K$6="",0,1))&gt;0,OR('Consulta de contratos'!$K$1="",A12='Consulta de contratos'!$K$1),OR('Consulta de contratos'!$K$2="",I12='Consulta de contratos'!$K$2),OR('Consulta de contratos'!$K$3="",C12='Consulta de contratos'!$K$3),OR('Consulta de contratos'!$K$4="",D12='Consulta de contratos'!$K$4),OR('Consulta de contratos'!$K$5="",E12='Consulta de contratos'!$K$5),OR('Consulta de contratos'!$K$6="",IFERROR(ISNUMBER(SEARCH("|"&amp;'Consulta de contratos'!$K$6&amp;"|",AF12)),FALSE))),1,0)</f>
        <v>0</v>
      </c>
      <c r="W12">
        <f>IF(V12=1,SUM($V$2:V12),0)</f>
        <v>0</v>
      </c>
      <c r="X12" t="s">
        <v>59</v>
      </c>
      <c r="Y12" t="s">
        <v>103</v>
      </c>
      <c r="Z12" t="s">
        <v>61</v>
      </c>
      <c r="AA12" t="s">
        <v>62</v>
      </c>
      <c r="AF12" t="s">
        <v>104</v>
      </c>
    </row>
    <row r="13" spans="1:32" hidden="1" x14ac:dyDescent="0.35">
      <c r="A13" t="s">
        <v>116</v>
      </c>
      <c r="B13" t="s">
        <v>41</v>
      </c>
      <c r="C13" t="s">
        <v>42</v>
      </c>
      <c r="D13" t="s">
        <v>43</v>
      </c>
      <c r="E13" t="s">
        <v>44</v>
      </c>
      <c r="F13" t="s">
        <v>105</v>
      </c>
      <c r="G13" t="s">
        <v>106</v>
      </c>
      <c r="H13" t="s">
        <v>84</v>
      </c>
      <c r="I13" t="s">
        <v>107</v>
      </c>
      <c r="J13" t="s">
        <v>108</v>
      </c>
      <c r="K13" t="s">
        <v>109</v>
      </c>
      <c r="N13" t="s">
        <v>51</v>
      </c>
      <c r="O13" t="s">
        <v>52</v>
      </c>
      <c r="P13" t="s">
        <v>53</v>
      </c>
      <c r="Q13" t="s">
        <v>1988</v>
      </c>
      <c r="R13" t="s">
        <v>1989</v>
      </c>
      <c r="S13" t="s">
        <v>1990</v>
      </c>
      <c r="T13" t="s">
        <v>122</v>
      </c>
      <c r="U13" t="s">
        <v>111</v>
      </c>
      <c r="V13">
        <f>IF(AND(SUM(IF('Consulta de contratos'!$K$1="",0,1),IF('Consulta de contratos'!$K$2="",0,1),IF('Consulta de contratos'!$K$3="",0,1),IF('Consulta de contratos'!$K$4="",0,1),IF('Consulta de contratos'!$K$5="",0,1),IF('Consulta de contratos'!$K$6="",0,1))&gt;0,OR('Consulta de contratos'!$K$1="",A13='Consulta de contratos'!$K$1),OR('Consulta de contratos'!$K$2="",I13='Consulta de contratos'!$K$2),OR('Consulta de contratos'!$K$3="",C13='Consulta de contratos'!$K$3),OR('Consulta de contratos'!$K$4="",D13='Consulta de contratos'!$K$4),OR('Consulta de contratos'!$K$5="",E13='Consulta de contratos'!$K$5),OR('Consulta de contratos'!$K$6="",IFERROR(ISNUMBER(SEARCH("|"&amp;'Consulta de contratos'!$K$6&amp;"|",AF13)),FALSE))),1,0)</f>
        <v>0</v>
      </c>
      <c r="W13">
        <f>IF(V13=1,SUM($V$2:V13),0)</f>
        <v>0</v>
      </c>
      <c r="X13" t="s">
        <v>112</v>
      </c>
      <c r="Y13" t="s">
        <v>113</v>
      </c>
      <c r="Z13" t="s">
        <v>114</v>
      </c>
      <c r="AA13" t="s">
        <v>62</v>
      </c>
      <c r="AF13" t="s">
        <v>115</v>
      </c>
    </row>
    <row r="14" spans="1:32" hidden="1" x14ac:dyDescent="0.35">
      <c r="A14" t="s">
        <v>123</v>
      </c>
      <c r="B14" t="s">
        <v>41</v>
      </c>
      <c r="C14" t="s">
        <v>42</v>
      </c>
      <c r="D14" t="s">
        <v>43</v>
      </c>
      <c r="E14" t="s">
        <v>44</v>
      </c>
      <c r="F14" t="s">
        <v>45</v>
      </c>
      <c r="G14" t="s">
        <v>46</v>
      </c>
      <c r="H14" t="s">
        <v>124</v>
      </c>
      <c r="I14" t="s">
        <v>125</v>
      </c>
      <c r="J14" t="s">
        <v>49</v>
      </c>
      <c r="K14" t="s">
        <v>50</v>
      </c>
      <c r="L14">
        <v>44866</v>
      </c>
      <c r="M14" s="1">
        <v>47057</v>
      </c>
      <c r="N14" t="s">
        <v>51</v>
      </c>
      <c r="O14" t="s">
        <v>52</v>
      </c>
      <c r="P14" t="s">
        <v>53</v>
      </c>
      <c r="R14" t="s">
        <v>55</v>
      </c>
      <c r="S14" t="s">
        <v>56</v>
      </c>
      <c r="T14" t="s">
        <v>126</v>
      </c>
      <c r="U14" t="s">
        <v>127</v>
      </c>
      <c r="V14">
        <f>IF(AND(SUM(IF('Consulta de contratos'!$K$1="",0,1),IF('Consulta de contratos'!$K$2="",0,1),IF('Consulta de contratos'!$K$3="",0,1),IF('Consulta de contratos'!$K$4="",0,1),IF('Consulta de contratos'!$K$5="",0,1),IF('Consulta de contratos'!$K$6="",0,1))&gt;0,OR('Consulta de contratos'!$K$1="",A14='Consulta de contratos'!$K$1),OR('Consulta de contratos'!$K$2="",I14='Consulta de contratos'!$K$2),OR('Consulta de contratos'!$K$3="",C14='Consulta de contratos'!$K$3),OR('Consulta de contratos'!$K$4="",D14='Consulta de contratos'!$K$4),OR('Consulta de contratos'!$K$5="",E14='Consulta de contratos'!$K$5),OR('Consulta de contratos'!$K$6="",IFERROR(ISNUMBER(SEARCH("|"&amp;'Consulta de contratos'!$K$6&amp;"|",AF14)),FALSE))),1,0)</f>
        <v>0</v>
      </c>
      <c r="W14">
        <f>IF(V14=1,SUM($V$2:V14),0)</f>
        <v>0</v>
      </c>
      <c r="X14" t="s">
        <v>59</v>
      </c>
      <c r="Y14" t="s">
        <v>128</v>
      </c>
      <c r="Z14" t="s">
        <v>80</v>
      </c>
      <c r="AA14" t="s">
        <v>62</v>
      </c>
      <c r="AF14" t="s">
        <v>129</v>
      </c>
    </row>
    <row r="15" spans="1:32" x14ac:dyDescent="0.35">
      <c r="A15" t="s">
        <v>123</v>
      </c>
      <c r="B15" t="s">
        <v>41</v>
      </c>
      <c r="C15" t="s">
        <v>42</v>
      </c>
      <c r="D15" t="s">
        <v>43</v>
      </c>
      <c r="E15" t="s">
        <v>44</v>
      </c>
      <c r="F15" t="s">
        <v>45</v>
      </c>
      <c r="G15" t="s">
        <v>46</v>
      </c>
      <c r="H15" t="s">
        <v>64</v>
      </c>
      <c r="I15" t="s">
        <v>65</v>
      </c>
      <c r="J15" t="s">
        <v>66</v>
      </c>
      <c r="K15" t="s">
        <v>67</v>
      </c>
      <c r="L15">
        <v>44866</v>
      </c>
      <c r="M15" s="1">
        <v>47057</v>
      </c>
      <c r="N15" t="s">
        <v>51</v>
      </c>
      <c r="O15" t="s">
        <v>52</v>
      </c>
      <c r="P15" t="s">
        <v>53</v>
      </c>
      <c r="Q15" t="s">
        <v>68</v>
      </c>
      <c r="R15" t="s">
        <v>55</v>
      </c>
      <c r="S15" t="s">
        <v>56</v>
      </c>
      <c r="T15" t="s">
        <v>130</v>
      </c>
      <c r="U15" t="s">
        <v>70</v>
      </c>
      <c r="V15">
        <f>IF(AND(SUM(IF('Consulta de contratos'!$K$1="",0,1),IF('Consulta de contratos'!$K$2="",0,1),IF('Consulta de contratos'!$K$3="",0,1),IF('Consulta de contratos'!$K$4="",0,1),IF('Consulta de contratos'!$K$5="",0,1),IF('Consulta de contratos'!$K$6="",0,1))&gt;0,OR('Consulta de contratos'!$K$1="",A15='Consulta de contratos'!$K$1),OR('Consulta de contratos'!$K$2="",I15='Consulta de contratos'!$K$2),OR('Consulta de contratos'!$K$3="",C15='Consulta de contratos'!$K$3),OR('Consulta de contratos'!$K$4="",D15='Consulta de contratos'!$K$4),OR('Consulta de contratos'!$K$5="",E15='Consulta de contratos'!$K$5),OR('Consulta de contratos'!$K$6="",IFERROR(ISNUMBER(SEARCH("|"&amp;'Consulta de contratos'!$K$6&amp;"|",AF15)),FALSE))),1,0)</f>
        <v>0</v>
      </c>
      <c r="W15">
        <f>IF(V15=1,SUM($V$2:V15),0)</f>
        <v>0</v>
      </c>
      <c r="X15" t="s">
        <v>59</v>
      </c>
      <c r="Y15" t="s">
        <v>65</v>
      </c>
      <c r="Z15" t="s">
        <v>71</v>
      </c>
      <c r="AA15" t="s">
        <v>62</v>
      </c>
      <c r="AF15" t="s">
        <v>72</v>
      </c>
    </row>
    <row r="16" spans="1:32" hidden="1" x14ac:dyDescent="0.35">
      <c r="A16" t="s">
        <v>123</v>
      </c>
      <c r="B16" t="s">
        <v>41</v>
      </c>
      <c r="C16" t="s">
        <v>42</v>
      </c>
      <c r="D16" t="s">
        <v>43</v>
      </c>
      <c r="E16" t="s">
        <v>44</v>
      </c>
      <c r="F16" t="s">
        <v>45</v>
      </c>
      <c r="G16" t="s">
        <v>46</v>
      </c>
      <c r="H16" t="s">
        <v>73</v>
      </c>
      <c r="I16" t="s">
        <v>74</v>
      </c>
      <c r="J16" t="s">
        <v>75</v>
      </c>
      <c r="K16" t="s">
        <v>67</v>
      </c>
      <c r="L16">
        <v>44866</v>
      </c>
      <c r="M16" s="1">
        <v>47057</v>
      </c>
      <c r="N16" t="s">
        <v>51</v>
      </c>
      <c r="O16" t="s">
        <v>52</v>
      </c>
      <c r="P16" t="s">
        <v>53</v>
      </c>
      <c r="Q16" t="s">
        <v>76</v>
      </c>
      <c r="R16" t="s">
        <v>55</v>
      </c>
      <c r="S16" t="s">
        <v>56</v>
      </c>
      <c r="T16" t="s">
        <v>131</v>
      </c>
      <c r="U16" t="s">
        <v>78</v>
      </c>
      <c r="V16">
        <f>IF(AND(SUM(IF('Consulta de contratos'!$K$1="",0,1),IF('Consulta de contratos'!$K$2="",0,1),IF('Consulta de contratos'!$K$3="",0,1),IF('Consulta de contratos'!$K$4="",0,1),IF('Consulta de contratos'!$K$5="",0,1),IF('Consulta de contratos'!$K$6="",0,1))&gt;0,OR('Consulta de contratos'!$K$1="",A16='Consulta de contratos'!$K$1),OR('Consulta de contratos'!$K$2="",I16='Consulta de contratos'!$K$2),OR('Consulta de contratos'!$K$3="",C16='Consulta de contratos'!$K$3),OR('Consulta de contratos'!$K$4="",D16='Consulta de contratos'!$K$4),OR('Consulta de contratos'!$K$5="",E16='Consulta de contratos'!$K$5),OR('Consulta de contratos'!$K$6="",IFERROR(ISNUMBER(SEARCH("|"&amp;'Consulta de contratos'!$K$6&amp;"|",AF16)),FALSE))),1,0)</f>
        <v>0</v>
      </c>
      <c r="W16">
        <f>IF(V16=1,SUM($V$2:V16),0)</f>
        <v>0</v>
      </c>
      <c r="X16" t="s">
        <v>59</v>
      </c>
      <c r="Y16" t="s">
        <v>79</v>
      </c>
      <c r="Z16" t="s">
        <v>80</v>
      </c>
      <c r="AA16" t="s">
        <v>62</v>
      </c>
      <c r="AF16" t="s">
        <v>81</v>
      </c>
    </row>
    <row r="17" spans="1:32" hidden="1" x14ac:dyDescent="0.35">
      <c r="A17" t="s">
        <v>123</v>
      </c>
      <c r="B17" t="s">
        <v>41</v>
      </c>
      <c r="C17" t="s">
        <v>42</v>
      </c>
      <c r="D17" t="s">
        <v>43</v>
      </c>
      <c r="E17" t="s">
        <v>44</v>
      </c>
      <c r="F17" t="s">
        <v>82</v>
      </c>
      <c r="G17" t="s">
        <v>83</v>
      </c>
      <c r="H17" t="s">
        <v>84</v>
      </c>
      <c r="I17" t="s">
        <v>85</v>
      </c>
      <c r="J17" t="s">
        <v>86</v>
      </c>
      <c r="K17" t="s">
        <v>87</v>
      </c>
      <c r="M17">
        <v>46850</v>
      </c>
      <c r="N17" t="s">
        <v>51</v>
      </c>
      <c r="O17" t="s">
        <v>52</v>
      </c>
      <c r="P17" t="s">
        <v>53</v>
      </c>
      <c r="R17" t="s">
        <v>88</v>
      </c>
      <c r="S17" t="s">
        <v>89</v>
      </c>
      <c r="T17" t="s">
        <v>132</v>
      </c>
      <c r="U17" t="s">
        <v>91</v>
      </c>
      <c r="V17">
        <f>IF(AND(SUM(IF('Consulta de contratos'!$K$1="",0,1),IF('Consulta de contratos'!$K$2="",0,1),IF('Consulta de contratos'!$K$3="",0,1),IF('Consulta de contratos'!$K$4="",0,1),IF('Consulta de contratos'!$K$5="",0,1),IF('Consulta de contratos'!$K$6="",0,1))&gt;0,OR('Consulta de contratos'!$K$1="",A17='Consulta de contratos'!$K$1),OR('Consulta de contratos'!$K$2="",I17='Consulta de contratos'!$K$2),OR('Consulta de contratos'!$K$3="",C17='Consulta de contratos'!$K$3),OR('Consulta de contratos'!$K$4="",D17='Consulta de contratos'!$K$4),OR('Consulta de contratos'!$K$5="",E17='Consulta de contratos'!$K$5),OR('Consulta de contratos'!$K$6="",IFERROR(ISNUMBER(SEARCH("|"&amp;'Consulta de contratos'!$K$6&amp;"|",AF17)),FALSE))),1,0)</f>
        <v>0</v>
      </c>
      <c r="W17">
        <f>IF(V17=1,SUM($V$2:V17),0)</f>
        <v>0</v>
      </c>
      <c r="X17" t="s">
        <v>59</v>
      </c>
      <c r="Y17" t="s">
        <v>85</v>
      </c>
      <c r="Z17" t="s">
        <v>71</v>
      </c>
      <c r="AA17" t="s">
        <v>62</v>
      </c>
      <c r="AF17" t="s">
        <v>92</v>
      </c>
    </row>
    <row r="18" spans="1:32" hidden="1" x14ac:dyDescent="0.35">
      <c r="A18" t="s">
        <v>123</v>
      </c>
      <c r="B18" t="s">
        <v>41</v>
      </c>
      <c r="C18" t="s">
        <v>42</v>
      </c>
      <c r="D18" t="s">
        <v>43</v>
      </c>
      <c r="E18" t="s">
        <v>44</v>
      </c>
      <c r="F18" t="s">
        <v>93</v>
      </c>
      <c r="G18" t="s">
        <v>94</v>
      </c>
      <c r="H18" t="s">
        <v>84</v>
      </c>
      <c r="I18" t="s">
        <v>95</v>
      </c>
      <c r="J18" t="s">
        <v>96</v>
      </c>
      <c r="K18" t="s">
        <v>97</v>
      </c>
      <c r="L18">
        <v>45622</v>
      </c>
      <c r="M18">
        <v>47447</v>
      </c>
      <c r="N18" t="s">
        <v>51</v>
      </c>
      <c r="O18" t="s">
        <v>52</v>
      </c>
      <c r="P18" t="s">
        <v>53</v>
      </c>
      <c r="Q18" t="s">
        <v>98</v>
      </c>
      <c r="R18" t="s">
        <v>99</v>
      </c>
      <c r="S18" t="s">
        <v>100</v>
      </c>
      <c r="T18" t="s">
        <v>133</v>
      </c>
      <c r="U18" t="s">
        <v>102</v>
      </c>
      <c r="V18">
        <f>IF(AND(SUM(IF('Consulta de contratos'!$K$1="",0,1),IF('Consulta de contratos'!$K$2="",0,1),IF('Consulta de contratos'!$K$3="",0,1),IF('Consulta de contratos'!$K$4="",0,1),IF('Consulta de contratos'!$K$5="",0,1),IF('Consulta de contratos'!$K$6="",0,1))&gt;0,OR('Consulta de contratos'!$K$1="",A18='Consulta de contratos'!$K$1),OR('Consulta de contratos'!$K$2="",I18='Consulta de contratos'!$K$2),OR('Consulta de contratos'!$K$3="",C18='Consulta de contratos'!$K$3),OR('Consulta de contratos'!$K$4="",D18='Consulta de contratos'!$K$4),OR('Consulta de contratos'!$K$5="",E18='Consulta de contratos'!$K$5),OR('Consulta de contratos'!$K$6="",IFERROR(ISNUMBER(SEARCH("|"&amp;'Consulta de contratos'!$K$6&amp;"|",AF18)),FALSE))),1,0)</f>
        <v>0</v>
      </c>
      <c r="W18">
        <f>IF(V18=1,SUM($V$2:V18),0)</f>
        <v>0</v>
      </c>
      <c r="X18" t="s">
        <v>59</v>
      </c>
      <c r="Y18" t="s">
        <v>103</v>
      </c>
      <c r="Z18" t="s">
        <v>61</v>
      </c>
      <c r="AA18" t="s">
        <v>62</v>
      </c>
      <c r="AF18" t="s">
        <v>104</v>
      </c>
    </row>
    <row r="19" spans="1:32" hidden="1" x14ac:dyDescent="0.35">
      <c r="A19" t="s">
        <v>123</v>
      </c>
      <c r="B19" t="s">
        <v>41</v>
      </c>
      <c r="C19" t="s">
        <v>42</v>
      </c>
      <c r="D19" t="s">
        <v>43</v>
      </c>
      <c r="E19" t="s">
        <v>44</v>
      </c>
      <c r="F19" t="s">
        <v>105</v>
      </c>
      <c r="G19" t="s">
        <v>106</v>
      </c>
      <c r="H19" t="s">
        <v>84</v>
      </c>
      <c r="I19" t="s">
        <v>107</v>
      </c>
      <c r="J19" t="s">
        <v>108</v>
      </c>
      <c r="K19" t="s">
        <v>109</v>
      </c>
      <c r="N19" t="s">
        <v>51</v>
      </c>
      <c r="O19" t="s">
        <v>52</v>
      </c>
      <c r="P19" t="s">
        <v>53</v>
      </c>
      <c r="Q19" t="s">
        <v>1988</v>
      </c>
      <c r="R19" t="s">
        <v>1989</v>
      </c>
      <c r="S19" t="s">
        <v>1990</v>
      </c>
      <c r="T19" t="s">
        <v>134</v>
      </c>
      <c r="U19" t="s">
        <v>111</v>
      </c>
      <c r="V19">
        <f>IF(AND(SUM(IF('Consulta de contratos'!$K$1="",0,1),IF('Consulta de contratos'!$K$2="",0,1),IF('Consulta de contratos'!$K$3="",0,1),IF('Consulta de contratos'!$K$4="",0,1),IF('Consulta de contratos'!$K$5="",0,1),IF('Consulta de contratos'!$K$6="",0,1))&gt;0,OR('Consulta de contratos'!$K$1="",A19='Consulta de contratos'!$K$1),OR('Consulta de contratos'!$K$2="",I19='Consulta de contratos'!$K$2),OR('Consulta de contratos'!$K$3="",C19='Consulta de contratos'!$K$3),OR('Consulta de contratos'!$K$4="",D19='Consulta de contratos'!$K$4),OR('Consulta de contratos'!$K$5="",E19='Consulta de contratos'!$K$5),OR('Consulta de contratos'!$K$6="",IFERROR(ISNUMBER(SEARCH("|"&amp;'Consulta de contratos'!$K$6&amp;"|",AF19)),FALSE))),1,0)</f>
        <v>0</v>
      </c>
      <c r="W19">
        <f>IF(V19=1,SUM($V$2:V19),0)</f>
        <v>0</v>
      </c>
      <c r="X19" t="s">
        <v>112</v>
      </c>
      <c r="Y19" t="s">
        <v>113</v>
      </c>
      <c r="Z19" t="s">
        <v>114</v>
      </c>
      <c r="AA19" t="s">
        <v>62</v>
      </c>
      <c r="AF19" t="s">
        <v>115</v>
      </c>
    </row>
    <row r="20" spans="1:32" hidden="1" x14ac:dyDescent="0.35">
      <c r="A20" t="s">
        <v>135</v>
      </c>
      <c r="B20" t="s">
        <v>41</v>
      </c>
      <c r="C20" t="s">
        <v>42</v>
      </c>
      <c r="D20" t="s">
        <v>43</v>
      </c>
      <c r="E20" t="s">
        <v>44</v>
      </c>
      <c r="F20" t="s">
        <v>45</v>
      </c>
      <c r="G20" t="s">
        <v>46</v>
      </c>
      <c r="H20" t="s">
        <v>124</v>
      </c>
      <c r="I20" t="s">
        <v>125</v>
      </c>
      <c r="J20" t="s">
        <v>49</v>
      </c>
      <c r="K20" t="s">
        <v>50</v>
      </c>
      <c r="L20">
        <v>44866</v>
      </c>
      <c r="M20" s="1">
        <v>47057</v>
      </c>
      <c r="N20" t="s">
        <v>51</v>
      </c>
      <c r="O20" t="s">
        <v>52</v>
      </c>
      <c r="P20" t="s">
        <v>53</v>
      </c>
      <c r="R20" t="s">
        <v>55</v>
      </c>
      <c r="S20" t="s">
        <v>56</v>
      </c>
      <c r="T20" t="s">
        <v>136</v>
      </c>
      <c r="U20" t="s">
        <v>127</v>
      </c>
      <c r="V20">
        <f>IF(AND(SUM(IF('Consulta de contratos'!$K$1="",0,1),IF('Consulta de contratos'!$K$2="",0,1),IF('Consulta de contratos'!$K$3="",0,1),IF('Consulta de contratos'!$K$4="",0,1),IF('Consulta de contratos'!$K$5="",0,1),IF('Consulta de contratos'!$K$6="",0,1))&gt;0,OR('Consulta de contratos'!$K$1="",A20='Consulta de contratos'!$K$1),OR('Consulta de contratos'!$K$2="",I20='Consulta de contratos'!$K$2),OR('Consulta de contratos'!$K$3="",C20='Consulta de contratos'!$K$3),OR('Consulta de contratos'!$K$4="",D20='Consulta de contratos'!$K$4),OR('Consulta de contratos'!$K$5="",E20='Consulta de contratos'!$K$5),OR('Consulta de contratos'!$K$6="",IFERROR(ISNUMBER(SEARCH("|"&amp;'Consulta de contratos'!$K$6&amp;"|",AF20)),FALSE))),1,0)</f>
        <v>0</v>
      </c>
      <c r="W20">
        <f>IF(V20=1,SUM($V$2:V20),0)</f>
        <v>0</v>
      </c>
      <c r="X20" t="s">
        <v>59</v>
      </c>
      <c r="Y20" t="s">
        <v>128</v>
      </c>
      <c r="Z20" t="s">
        <v>80</v>
      </c>
      <c r="AA20" t="s">
        <v>62</v>
      </c>
      <c r="AF20" t="s">
        <v>129</v>
      </c>
    </row>
    <row r="21" spans="1:32" x14ac:dyDescent="0.35">
      <c r="A21" t="s">
        <v>135</v>
      </c>
      <c r="B21" t="s">
        <v>41</v>
      </c>
      <c r="C21" t="s">
        <v>42</v>
      </c>
      <c r="D21" t="s">
        <v>43</v>
      </c>
      <c r="E21" t="s">
        <v>44</v>
      </c>
      <c r="F21" t="s">
        <v>45</v>
      </c>
      <c r="G21" t="s">
        <v>46</v>
      </c>
      <c r="H21" t="s">
        <v>64</v>
      </c>
      <c r="I21" t="s">
        <v>65</v>
      </c>
      <c r="J21" t="s">
        <v>66</v>
      </c>
      <c r="K21" t="s">
        <v>67</v>
      </c>
      <c r="L21">
        <v>44866</v>
      </c>
      <c r="M21" s="1">
        <v>47057</v>
      </c>
      <c r="N21" t="s">
        <v>51</v>
      </c>
      <c r="O21" t="s">
        <v>52</v>
      </c>
      <c r="P21" t="s">
        <v>53</v>
      </c>
      <c r="Q21" t="s">
        <v>68</v>
      </c>
      <c r="R21" t="s">
        <v>55</v>
      </c>
      <c r="S21" t="s">
        <v>56</v>
      </c>
      <c r="T21" t="s">
        <v>137</v>
      </c>
      <c r="U21" t="s">
        <v>70</v>
      </c>
      <c r="V21">
        <f>IF(AND(SUM(IF('Consulta de contratos'!$K$1="",0,1),IF('Consulta de contratos'!$K$2="",0,1),IF('Consulta de contratos'!$K$3="",0,1),IF('Consulta de contratos'!$K$4="",0,1),IF('Consulta de contratos'!$K$5="",0,1),IF('Consulta de contratos'!$K$6="",0,1))&gt;0,OR('Consulta de contratos'!$K$1="",A21='Consulta de contratos'!$K$1),OR('Consulta de contratos'!$K$2="",I21='Consulta de contratos'!$K$2),OR('Consulta de contratos'!$K$3="",C21='Consulta de contratos'!$K$3),OR('Consulta de contratos'!$K$4="",D21='Consulta de contratos'!$K$4),OR('Consulta de contratos'!$K$5="",E21='Consulta de contratos'!$K$5),OR('Consulta de contratos'!$K$6="",IFERROR(ISNUMBER(SEARCH("|"&amp;'Consulta de contratos'!$K$6&amp;"|",AF21)),FALSE))),1,0)</f>
        <v>0</v>
      </c>
      <c r="W21">
        <f>IF(V21=1,SUM($V$2:V21),0)</f>
        <v>0</v>
      </c>
      <c r="X21" t="s">
        <v>59</v>
      </c>
      <c r="Y21" t="s">
        <v>65</v>
      </c>
      <c r="Z21" t="s">
        <v>71</v>
      </c>
      <c r="AA21" t="s">
        <v>62</v>
      </c>
      <c r="AF21" t="s">
        <v>72</v>
      </c>
    </row>
    <row r="22" spans="1:32" hidden="1" x14ac:dyDescent="0.35">
      <c r="A22" t="s">
        <v>135</v>
      </c>
      <c r="B22" t="s">
        <v>41</v>
      </c>
      <c r="C22" t="s">
        <v>42</v>
      </c>
      <c r="D22" t="s">
        <v>43</v>
      </c>
      <c r="E22" t="s">
        <v>44</v>
      </c>
      <c r="F22" t="s">
        <v>45</v>
      </c>
      <c r="G22" t="s">
        <v>46</v>
      </c>
      <c r="H22" t="s">
        <v>73</v>
      </c>
      <c r="I22" t="s">
        <v>74</v>
      </c>
      <c r="J22" t="s">
        <v>75</v>
      </c>
      <c r="K22" t="s">
        <v>67</v>
      </c>
      <c r="L22">
        <v>44866</v>
      </c>
      <c r="M22" s="1">
        <v>47057</v>
      </c>
      <c r="N22" t="s">
        <v>51</v>
      </c>
      <c r="O22" t="s">
        <v>52</v>
      </c>
      <c r="P22" t="s">
        <v>53</v>
      </c>
      <c r="Q22" t="s">
        <v>76</v>
      </c>
      <c r="R22" t="s">
        <v>55</v>
      </c>
      <c r="S22" t="s">
        <v>56</v>
      </c>
      <c r="T22" t="s">
        <v>138</v>
      </c>
      <c r="U22" t="s">
        <v>78</v>
      </c>
      <c r="V22">
        <f>IF(AND(SUM(IF('Consulta de contratos'!$K$1="",0,1),IF('Consulta de contratos'!$K$2="",0,1),IF('Consulta de contratos'!$K$3="",0,1),IF('Consulta de contratos'!$K$4="",0,1),IF('Consulta de contratos'!$K$5="",0,1),IF('Consulta de contratos'!$K$6="",0,1))&gt;0,OR('Consulta de contratos'!$K$1="",A22='Consulta de contratos'!$K$1),OR('Consulta de contratos'!$K$2="",I22='Consulta de contratos'!$K$2),OR('Consulta de contratos'!$K$3="",C22='Consulta de contratos'!$K$3),OR('Consulta de contratos'!$K$4="",D22='Consulta de contratos'!$K$4),OR('Consulta de contratos'!$K$5="",E22='Consulta de contratos'!$K$5),OR('Consulta de contratos'!$K$6="",IFERROR(ISNUMBER(SEARCH("|"&amp;'Consulta de contratos'!$K$6&amp;"|",AF22)),FALSE))),1,0)</f>
        <v>0</v>
      </c>
      <c r="W22">
        <f>IF(V22=1,SUM($V$2:V22),0)</f>
        <v>0</v>
      </c>
      <c r="X22" t="s">
        <v>59</v>
      </c>
      <c r="Y22" t="s">
        <v>79</v>
      </c>
      <c r="Z22" t="s">
        <v>80</v>
      </c>
      <c r="AA22" t="s">
        <v>62</v>
      </c>
      <c r="AF22" t="s">
        <v>81</v>
      </c>
    </row>
    <row r="23" spans="1:32" hidden="1" x14ac:dyDescent="0.35">
      <c r="A23" t="s">
        <v>135</v>
      </c>
      <c r="B23" t="s">
        <v>41</v>
      </c>
      <c r="C23" t="s">
        <v>42</v>
      </c>
      <c r="D23" t="s">
        <v>43</v>
      </c>
      <c r="E23" t="s">
        <v>44</v>
      </c>
      <c r="F23" t="s">
        <v>82</v>
      </c>
      <c r="G23" t="s">
        <v>83</v>
      </c>
      <c r="H23" t="s">
        <v>84</v>
      </c>
      <c r="I23" t="s">
        <v>85</v>
      </c>
      <c r="J23" t="s">
        <v>86</v>
      </c>
      <c r="K23" t="s">
        <v>87</v>
      </c>
      <c r="M23">
        <v>46850</v>
      </c>
      <c r="N23" t="s">
        <v>51</v>
      </c>
      <c r="O23" t="s">
        <v>52</v>
      </c>
      <c r="P23" t="s">
        <v>53</v>
      </c>
      <c r="R23" t="s">
        <v>88</v>
      </c>
      <c r="S23" t="s">
        <v>89</v>
      </c>
      <c r="T23" t="s">
        <v>139</v>
      </c>
      <c r="U23" t="s">
        <v>91</v>
      </c>
      <c r="V23">
        <f>IF(AND(SUM(IF('Consulta de contratos'!$K$1="",0,1),IF('Consulta de contratos'!$K$2="",0,1),IF('Consulta de contratos'!$K$3="",0,1),IF('Consulta de contratos'!$K$4="",0,1),IF('Consulta de contratos'!$K$5="",0,1),IF('Consulta de contratos'!$K$6="",0,1))&gt;0,OR('Consulta de contratos'!$K$1="",A23='Consulta de contratos'!$K$1),OR('Consulta de contratos'!$K$2="",I23='Consulta de contratos'!$K$2),OR('Consulta de contratos'!$K$3="",C23='Consulta de contratos'!$K$3),OR('Consulta de contratos'!$K$4="",D23='Consulta de contratos'!$K$4),OR('Consulta de contratos'!$K$5="",E23='Consulta de contratos'!$K$5),OR('Consulta de contratos'!$K$6="",IFERROR(ISNUMBER(SEARCH("|"&amp;'Consulta de contratos'!$K$6&amp;"|",AF23)),FALSE))),1,0)</f>
        <v>0</v>
      </c>
      <c r="W23">
        <f>IF(V23=1,SUM($V$2:V23),0)</f>
        <v>0</v>
      </c>
      <c r="X23" t="s">
        <v>59</v>
      </c>
      <c r="Y23" t="s">
        <v>85</v>
      </c>
      <c r="Z23" t="s">
        <v>71</v>
      </c>
      <c r="AA23" t="s">
        <v>62</v>
      </c>
      <c r="AF23" t="s">
        <v>92</v>
      </c>
    </row>
    <row r="24" spans="1:32" hidden="1" x14ac:dyDescent="0.35">
      <c r="A24" t="s">
        <v>135</v>
      </c>
      <c r="B24" t="s">
        <v>41</v>
      </c>
      <c r="C24" t="s">
        <v>42</v>
      </c>
      <c r="D24" t="s">
        <v>43</v>
      </c>
      <c r="E24" t="s">
        <v>44</v>
      </c>
      <c r="F24" t="s">
        <v>93</v>
      </c>
      <c r="G24" t="s">
        <v>94</v>
      </c>
      <c r="H24" t="s">
        <v>84</v>
      </c>
      <c r="I24" t="s">
        <v>95</v>
      </c>
      <c r="J24" t="s">
        <v>96</v>
      </c>
      <c r="K24" t="s">
        <v>97</v>
      </c>
      <c r="L24">
        <v>45622</v>
      </c>
      <c r="M24">
        <v>47447</v>
      </c>
      <c r="N24" t="s">
        <v>51</v>
      </c>
      <c r="O24" t="s">
        <v>52</v>
      </c>
      <c r="P24" t="s">
        <v>53</v>
      </c>
      <c r="Q24" t="s">
        <v>98</v>
      </c>
      <c r="R24" t="s">
        <v>99</v>
      </c>
      <c r="S24" t="s">
        <v>100</v>
      </c>
      <c r="T24" t="s">
        <v>140</v>
      </c>
      <c r="U24" t="s">
        <v>102</v>
      </c>
      <c r="V24">
        <f>IF(AND(SUM(IF('Consulta de contratos'!$K$1="",0,1),IF('Consulta de contratos'!$K$2="",0,1),IF('Consulta de contratos'!$K$3="",0,1),IF('Consulta de contratos'!$K$4="",0,1),IF('Consulta de contratos'!$K$5="",0,1),IF('Consulta de contratos'!$K$6="",0,1))&gt;0,OR('Consulta de contratos'!$K$1="",A24='Consulta de contratos'!$K$1),OR('Consulta de contratos'!$K$2="",I24='Consulta de contratos'!$K$2),OR('Consulta de contratos'!$K$3="",C24='Consulta de contratos'!$K$3),OR('Consulta de contratos'!$K$4="",D24='Consulta de contratos'!$K$4),OR('Consulta de contratos'!$K$5="",E24='Consulta de contratos'!$K$5),OR('Consulta de contratos'!$K$6="",IFERROR(ISNUMBER(SEARCH("|"&amp;'Consulta de contratos'!$K$6&amp;"|",AF24)),FALSE))),1,0)</f>
        <v>0</v>
      </c>
      <c r="W24">
        <f>IF(V24=1,SUM($V$2:V24),0)</f>
        <v>0</v>
      </c>
      <c r="X24" t="s">
        <v>59</v>
      </c>
      <c r="Y24" t="s">
        <v>103</v>
      </c>
      <c r="Z24" t="s">
        <v>61</v>
      </c>
      <c r="AA24" t="s">
        <v>62</v>
      </c>
      <c r="AF24" t="s">
        <v>104</v>
      </c>
    </row>
    <row r="25" spans="1:32" hidden="1" x14ac:dyDescent="0.35">
      <c r="A25" t="s">
        <v>135</v>
      </c>
      <c r="B25" t="s">
        <v>41</v>
      </c>
      <c r="C25" t="s">
        <v>42</v>
      </c>
      <c r="D25" t="s">
        <v>43</v>
      </c>
      <c r="E25" t="s">
        <v>44</v>
      </c>
      <c r="F25" t="s">
        <v>105</v>
      </c>
      <c r="G25" t="s">
        <v>106</v>
      </c>
      <c r="H25" t="s">
        <v>84</v>
      </c>
      <c r="I25" t="s">
        <v>107</v>
      </c>
      <c r="J25" t="s">
        <v>108</v>
      </c>
      <c r="K25" t="s">
        <v>109</v>
      </c>
      <c r="N25" t="s">
        <v>51</v>
      </c>
      <c r="O25" t="s">
        <v>52</v>
      </c>
      <c r="P25" t="s">
        <v>53</v>
      </c>
      <c r="Q25" t="s">
        <v>1988</v>
      </c>
      <c r="R25" t="s">
        <v>1989</v>
      </c>
      <c r="S25" t="s">
        <v>1990</v>
      </c>
      <c r="T25" t="s">
        <v>141</v>
      </c>
      <c r="U25" t="s">
        <v>111</v>
      </c>
      <c r="V25">
        <f>IF(AND(SUM(IF('Consulta de contratos'!$K$1="",0,1),IF('Consulta de contratos'!$K$2="",0,1),IF('Consulta de contratos'!$K$3="",0,1),IF('Consulta de contratos'!$K$4="",0,1),IF('Consulta de contratos'!$K$5="",0,1),IF('Consulta de contratos'!$K$6="",0,1))&gt;0,OR('Consulta de contratos'!$K$1="",A25='Consulta de contratos'!$K$1),OR('Consulta de contratos'!$K$2="",I25='Consulta de contratos'!$K$2),OR('Consulta de contratos'!$K$3="",C25='Consulta de contratos'!$K$3),OR('Consulta de contratos'!$K$4="",D25='Consulta de contratos'!$K$4),OR('Consulta de contratos'!$K$5="",E25='Consulta de contratos'!$K$5),OR('Consulta de contratos'!$K$6="",IFERROR(ISNUMBER(SEARCH("|"&amp;'Consulta de contratos'!$K$6&amp;"|",AF25)),FALSE))),1,0)</f>
        <v>0</v>
      </c>
      <c r="W25">
        <f>IF(V25=1,SUM($V$2:V25),0)</f>
        <v>0</v>
      </c>
      <c r="X25" t="s">
        <v>112</v>
      </c>
      <c r="Y25" t="s">
        <v>113</v>
      </c>
      <c r="Z25" t="s">
        <v>114</v>
      </c>
      <c r="AA25" t="s">
        <v>62</v>
      </c>
      <c r="AF25" t="s">
        <v>115</v>
      </c>
    </row>
    <row r="26" spans="1:32" hidden="1" x14ac:dyDescent="0.35">
      <c r="A26" t="s">
        <v>142</v>
      </c>
      <c r="B26" t="s">
        <v>41</v>
      </c>
      <c r="C26" t="s">
        <v>42</v>
      </c>
      <c r="D26" t="s">
        <v>43</v>
      </c>
      <c r="E26" t="s">
        <v>44</v>
      </c>
      <c r="F26" t="s">
        <v>45</v>
      </c>
      <c r="G26" t="s">
        <v>46</v>
      </c>
      <c r="H26" t="s">
        <v>124</v>
      </c>
      <c r="I26" t="s">
        <v>125</v>
      </c>
      <c r="J26" t="s">
        <v>49</v>
      </c>
      <c r="K26" t="s">
        <v>50</v>
      </c>
      <c r="L26">
        <v>44866</v>
      </c>
      <c r="M26" s="1">
        <v>47057</v>
      </c>
      <c r="N26" t="s">
        <v>51</v>
      </c>
      <c r="O26" t="s">
        <v>52</v>
      </c>
      <c r="P26" t="s">
        <v>53</v>
      </c>
      <c r="R26" t="s">
        <v>55</v>
      </c>
      <c r="S26" t="s">
        <v>56</v>
      </c>
      <c r="T26" t="s">
        <v>143</v>
      </c>
      <c r="U26" t="s">
        <v>127</v>
      </c>
      <c r="V26">
        <f>IF(AND(SUM(IF('Consulta de contratos'!$K$1="",0,1),IF('Consulta de contratos'!$K$2="",0,1),IF('Consulta de contratos'!$K$3="",0,1),IF('Consulta de contratos'!$K$4="",0,1),IF('Consulta de contratos'!$K$5="",0,1),IF('Consulta de contratos'!$K$6="",0,1))&gt;0,OR('Consulta de contratos'!$K$1="",A26='Consulta de contratos'!$K$1),OR('Consulta de contratos'!$K$2="",I26='Consulta de contratos'!$K$2),OR('Consulta de contratos'!$K$3="",C26='Consulta de contratos'!$K$3),OR('Consulta de contratos'!$K$4="",D26='Consulta de contratos'!$K$4),OR('Consulta de contratos'!$K$5="",E26='Consulta de contratos'!$K$5),OR('Consulta de contratos'!$K$6="",IFERROR(ISNUMBER(SEARCH("|"&amp;'Consulta de contratos'!$K$6&amp;"|",AF26)),FALSE))),1,0)</f>
        <v>0</v>
      </c>
      <c r="W26">
        <f>IF(V26=1,SUM($V$2:V26),0)</f>
        <v>0</v>
      </c>
      <c r="X26" t="s">
        <v>59</v>
      </c>
      <c r="Y26" t="s">
        <v>128</v>
      </c>
      <c r="Z26" t="s">
        <v>80</v>
      </c>
      <c r="AA26" t="s">
        <v>62</v>
      </c>
      <c r="AF26" t="s">
        <v>129</v>
      </c>
    </row>
    <row r="27" spans="1:32" x14ac:dyDescent="0.35">
      <c r="A27" t="s">
        <v>142</v>
      </c>
      <c r="B27" t="s">
        <v>41</v>
      </c>
      <c r="C27" t="s">
        <v>42</v>
      </c>
      <c r="D27" t="s">
        <v>43</v>
      </c>
      <c r="E27" t="s">
        <v>44</v>
      </c>
      <c r="F27" t="s">
        <v>45</v>
      </c>
      <c r="G27" t="s">
        <v>46</v>
      </c>
      <c r="H27" t="s">
        <v>64</v>
      </c>
      <c r="I27" t="s">
        <v>65</v>
      </c>
      <c r="J27" t="s">
        <v>66</v>
      </c>
      <c r="K27" t="s">
        <v>67</v>
      </c>
      <c r="L27">
        <v>44866</v>
      </c>
      <c r="M27" s="1">
        <v>47057</v>
      </c>
      <c r="N27" t="s">
        <v>51</v>
      </c>
      <c r="O27" t="s">
        <v>52</v>
      </c>
      <c r="P27" t="s">
        <v>53</v>
      </c>
      <c r="Q27" t="s">
        <v>68</v>
      </c>
      <c r="R27" t="s">
        <v>55</v>
      </c>
      <c r="S27" t="s">
        <v>56</v>
      </c>
      <c r="T27" t="s">
        <v>144</v>
      </c>
      <c r="U27" t="s">
        <v>70</v>
      </c>
      <c r="V27">
        <f>IF(AND(SUM(IF('Consulta de contratos'!$K$1="",0,1),IF('Consulta de contratos'!$K$2="",0,1),IF('Consulta de contratos'!$K$3="",0,1),IF('Consulta de contratos'!$K$4="",0,1),IF('Consulta de contratos'!$K$5="",0,1),IF('Consulta de contratos'!$K$6="",0,1))&gt;0,OR('Consulta de contratos'!$K$1="",A27='Consulta de contratos'!$K$1),OR('Consulta de contratos'!$K$2="",I27='Consulta de contratos'!$K$2),OR('Consulta de contratos'!$K$3="",C27='Consulta de contratos'!$K$3),OR('Consulta de contratos'!$K$4="",D27='Consulta de contratos'!$K$4),OR('Consulta de contratos'!$K$5="",E27='Consulta de contratos'!$K$5),OR('Consulta de contratos'!$K$6="",IFERROR(ISNUMBER(SEARCH("|"&amp;'Consulta de contratos'!$K$6&amp;"|",AF27)),FALSE))),1,0)</f>
        <v>0</v>
      </c>
      <c r="W27">
        <f>IF(V27=1,SUM($V$2:V27),0)</f>
        <v>0</v>
      </c>
      <c r="X27" t="s">
        <v>59</v>
      </c>
      <c r="Y27" t="s">
        <v>65</v>
      </c>
      <c r="Z27" t="s">
        <v>71</v>
      </c>
      <c r="AA27" t="s">
        <v>62</v>
      </c>
      <c r="AF27" t="s">
        <v>72</v>
      </c>
    </row>
    <row r="28" spans="1:32" hidden="1" x14ac:dyDescent="0.35">
      <c r="A28" t="s">
        <v>142</v>
      </c>
      <c r="B28" t="s">
        <v>41</v>
      </c>
      <c r="C28" t="s">
        <v>42</v>
      </c>
      <c r="D28" t="s">
        <v>43</v>
      </c>
      <c r="E28" t="s">
        <v>44</v>
      </c>
      <c r="F28" t="s">
        <v>45</v>
      </c>
      <c r="G28" t="s">
        <v>46</v>
      </c>
      <c r="H28" t="s">
        <v>73</v>
      </c>
      <c r="I28" t="s">
        <v>74</v>
      </c>
      <c r="J28" t="s">
        <v>75</v>
      </c>
      <c r="K28" t="s">
        <v>67</v>
      </c>
      <c r="L28">
        <v>44866</v>
      </c>
      <c r="M28" s="1">
        <v>47057</v>
      </c>
      <c r="N28" t="s">
        <v>51</v>
      </c>
      <c r="O28" t="s">
        <v>52</v>
      </c>
      <c r="P28" t="s">
        <v>53</v>
      </c>
      <c r="Q28" t="s">
        <v>76</v>
      </c>
      <c r="R28" t="s">
        <v>55</v>
      </c>
      <c r="S28" t="s">
        <v>56</v>
      </c>
      <c r="T28" t="s">
        <v>145</v>
      </c>
      <c r="U28" t="s">
        <v>78</v>
      </c>
      <c r="V28">
        <f>IF(AND(SUM(IF('Consulta de contratos'!$K$1="",0,1),IF('Consulta de contratos'!$K$2="",0,1),IF('Consulta de contratos'!$K$3="",0,1),IF('Consulta de contratos'!$K$4="",0,1),IF('Consulta de contratos'!$K$5="",0,1),IF('Consulta de contratos'!$K$6="",0,1))&gt;0,OR('Consulta de contratos'!$K$1="",A28='Consulta de contratos'!$K$1),OR('Consulta de contratos'!$K$2="",I28='Consulta de contratos'!$K$2),OR('Consulta de contratos'!$K$3="",C28='Consulta de contratos'!$K$3),OR('Consulta de contratos'!$K$4="",D28='Consulta de contratos'!$K$4),OR('Consulta de contratos'!$K$5="",E28='Consulta de contratos'!$K$5),OR('Consulta de contratos'!$K$6="",IFERROR(ISNUMBER(SEARCH("|"&amp;'Consulta de contratos'!$K$6&amp;"|",AF28)),FALSE))),1,0)</f>
        <v>0</v>
      </c>
      <c r="W28">
        <f>IF(V28=1,SUM($V$2:V28),0)</f>
        <v>0</v>
      </c>
      <c r="X28" t="s">
        <v>59</v>
      </c>
      <c r="Y28" t="s">
        <v>79</v>
      </c>
      <c r="Z28" t="s">
        <v>80</v>
      </c>
      <c r="AA28" t="s">
        <v>62</v>
      </c>
      <c r="AF28" t="s">
        <v>81</v>
      </c>
    </row>
    <row r="29" spans="1:32" hidden="1" x14ac:dyDescent="0.35">
      <c r="A29" t="s">
        <v>142</v>
      </c>
      <c r="B29" t="s">
        <v>41</v>
      </c>
      <c r="C29" t="s">
        <v>42</v>
      </c>
      <c r="D29" t="s">
        <v>43</v>
      </c>
      <c r="E29" t="s">
        <v>44</v>
      </c>
      <c r="F29" t="s">
        <v>82</v>
      </c>
      <c r="G29" t="s">
        <v>83</v>
      </c>
      <c r="H29" t="s">
        <v>84</v>
      </c>
      <c r="I29" t="s">
        <v>85</v>
      </c>
      <c r="J29" t="s">
        <v>86</v>
      </c>
      <c r="K29" t="s">
        <v>87</v>
      </c>
      <c r="M29">
        <v>46850</v>
      </c>
      <c r="N29" t="s">
        <v>51</v>
      </c>
      <c r="O29" t="s">
        <v>52</v>
      </c>
      <c r="P29" t="s">
        <v>53</v>
      </c>
      <c r="R29" t="s">
        <v>88</v>
      </c>
      <c r="S29" t="s">
        <v>89</v>
      </c>
      <c r="T29" t="s">
        <v>146</v>
      </c>
      <c r="U29" t="s">
        <v>91</v>
      </c>
      <c r="V29">
        <f>IF(AND(SUM(IF('Consulta de contratos'!$K$1="",0,1),IF('Consulta de contratos'!$K$2="",0,1),IF('Consulta de contratos'!$K$3="",0,1),IF('Consulta de contratos'!$K$4="",0,1),IF('Consulta de contratos'!$K$5="",0,1),IF('Consulta de contratos'!$K$6="",0,1))&gt;0,OR('Consulta de contratos'!$K$1="",A29='Consulta de contratos'!$K$1),OR('Consulta de contratos'!$K$2="",I29='Consulta de contratos'!$K$2),OR('Consulta de contratos'!$K$3="",C29='Consulta de contratos'!$K$3),OR('Consulta de contratos'!$K$4="",D29='Consulta de contratos'!$K$4),OR('Consulta de contratos'!$K$5="",E29='Consulta de contratos'!$K$5),OR('Consulta de contratos'!$K$6="",IFERROR(ISNUMBER(SEARCH("|"&amp;'Consulta de contratos'!$K$6&amp;"|",AF29)),FALSE))),1,0)</f>
        <v>0</v>
      </c>
      <c r="W29">
        <f>IF(V29=1,SUM($V$2:V29),0)</f>
        <v>0</v>
      </c>
      <c r="X29" t="s">
        <v>59</v>
      </c>
      <c r="Y29" t="s">
        <v>85</v>
      </c>
      <c r="Z29" t="s">
        <v>71</v>
      </c>
      <c r="AA29" t="s">
        <v>62</v>
      </c>
      <c r="AF29" t="s">
        <v>92</v>
      </c>
    </row>
    <row r="30" spans="1:32" hidden="1" x14ac:dyDescent="0.35">
      <c r="A30" t="s">
        <v>142</v>
      </c>
      <c r="B30" t="s">
        <v>41</v>
      </c>
      <c r="C30" t="s">
        <v>42</v>
      </c>
      <c r="D30" t="s">
        <v>43</v>
      </c>
      <c r="E30" t="s">
        <v>44</v>
      </c>
      <c r="F30" t="s">
        <v>93</v>
      </c>
      <c r="G30" t="s">
        <v>94</v>
      </c>
      <c r="H30" t="s">
        <v>84</v>
      </c>
      <c r="I30" t="s">
        <v>95</v>
      </c>
      <c r="J30" t="s">
        <v>96</v>
      </c>
      <c r="K30" t="s">
        <v>97</v>
      </c>
      <c r="L30">
        <v>45622</v>
      </c>
      <c r="M30">
        <v>47447</v>
      </c>
      <c r="N30" t="s">
        <v>51</v>
      </c>
      <c r="O30" t="s">
        <v>52</v>
      </c>
      <c r="P30" t="s">
        <v>53</v>
      </c>
      <c r="Q30" t="s">
        <v>98</v>
      </c>
      <c r="R30" t="s">
        <v>99</v>
      </c>
      <c r="S30" t="s">
        <v>100</v>
      </c>
      <c r="T30" t="s">
        <v>147</v>
      </c>
      <c r="U30" t="s">
        <v>102</v>
      </c>
      <c r="V30">
        <f>IF(AND(SUM(IF('Consulta de contratos'!$K$1="",0,1),IF('Consulta de contratos'!$K$2="",0,1),IF('Consulta de contratos'!$K$3="",0,1),IF('Consulta de contratos'!$K$4="",0,1),IF('Consulta de contratos'!$K$5="",0,1),IF('Consulta de contratos'!$K$6="",0,1))&gt;0,OR('Consulta de contratos'!$K$1="",A30='Consulta de contratos'!$K$1),OR('Consulta de contratos'!$K$2="",I30='Consulta de contratos'!$K$2),OR('Consulta de contratos'!$K$3="",C30='Consulta de contratos'!$K$3),OR('Consulta de contratos'!$K$4="",D30='Consulta de contratos'!$K$4),OR('Consulta de contratos'!$K$5="",E30='Consulta de contratos'!$K$5),OR('Consulta de contratos'!$K$6="",IFERROR(ISNUMBER(SEARCH("|"&amp;'Consulta de contratos'!$K$6&amp;"|",AF30)),FALSE))),1,0)</f>
        <v>0</v>
      </c>
      <c r="W30">
        <f>IF(V30=1,SUM($V$2:V30),0)</f>
        <v>0</v>
      </c>
      <c r="X30" t="s">
        <v>59</v>
      </c>
      <c r="Y30" t="s">
        <v>103</v>
      </c>
      <c r="Z30" t="s">
        <v>61</v>
      </c>
      <c r="AA30" t="s">
        <v>62</v>
      </c>
      <c r="AF30" t="s">
        <v>104</v>
      </c>
    </row>
    <row r="31" spans="1:32" hidden="1" x14ac:dyDescent="0.35">
      <c r="A31" t="s">
        <v>142</v>
      </c>
      <c r="B31" t="s">
        <v>41</v>
      </c>
      <c r="C31" t="s">
        <v>42</v>
      </c>
      <c r="D31" t="s">
        <v>43</v>
      </c>
      <c r="E31" t="s">
        <v>44</v>
      </c>
      <c r="F31" t="s">
        <v>105</v>
      </c>
      <c r="G31" t="s">
        <v>106</v>
      </c>
      <c r="H31" t="s">
        <v>84</v>
      </c>
      <c r="I31" t="s">
        <v>107</v>
      </c>
      <c r="J31" t="s">
        <v>108</v>
      </c>
      <c r="K31" t="s">
        <v>109</v>
      </c>
      <c r="N31" t="s">
        <v>51</v>
      </c>
      <c r="O31" t="s">
        <v>52</v>
      </c>
      <c r="P31" t="s">
        <v>53</v>
      </c>
      <c r="Q31" t="s">
        <v>1988</v>
      </c>
      <c r="R31" t="s">
        <v>1989</v>
      </c>
      <c r="S31" t="s">
        <v>1990</v>
      </c>
      <c r="T31" t="s">
        <v>148</v>
      </c>
      <c r="U31" t="s">
        <v>111</v>
      </c>
      <c r="V31">
        <f>IF(AND(SUM(IF('Consulta de contratos'!$K$1="",0,1),IF('Consulta de contratos'!$K$2="",0,1),IF('Consulta de contratos'!$K$3="",0,1),IF('Consulta de contratos'!$K$4="",0,1),IF('Consulta de contratos'!$K$5="",0,1),IF('Consulta de contratos'!$K$6="",0,1))&gt;0,OR('Consulta de contratos'!$K$1="",A31='Consulta de contratos'!$K$1),OR('Consulta de contratos'!$K$2="",I31='Consulta de contratos'!$K$2),OR('Consulta de contratos'!$K$3="",C31='Consulta de contratos'!$K$3),OR('Consulta de contratos'!$K$4="",D31='Consulta de contratos'!$K$4),OR('Consulta de contratos'!$K$5="",E31='Consulta de contratos'!$K$5),OR('Consulta de contratos'!$K$6="",IFERROR(ISNUMBER(SEARCH("|"&amp;'Consulta de contratos'!$K$6&amp;"|",AF31)),FALSE))),1,0)</f>
        <v>0</v>
      </c>
      <c r="W31">
        <f>IF(V31=1,SUM($V$2:V31),0)</f>
        <v>0</v>
      </c>
      <c r="X31" t="s">
        <v>112</v>
      </c>
      <c r="Y31" t="s">
        <v>113</v>
      </c>
      <c r="Z31" t="s">
        <v>114</v>
      </c>
      <c r="AA31" t="s">
        <v>62</v>
      </c>
      <c r="AF31" t="s">
        <v>115</v>
      </c>
    </row>
    <row r="32" spans="1:32" hidden="1" x14ac:dyDescent="0.35">
      <c r="A32" t="s">
        <v>149</v>
      </c>
      <c r="B32" t="s">
        <v>41</v>
      </c>
      <c r="C32" t="s">
        <v>42</v>
      </c>
      <c r="D32" t="s">
        <v>43</v>
      </c>
      <c r="E32" t="s">
        <v>44</v>
      </c>
      <c r="F32" t="s">
        <v>45</v>
      </c>
      <c r="G32" t="s">
        <v>46</v>
      </c>
      <c r="H32" t="s">
        <v>47</v>
      </c>
      <c r="I32" t="s">
        <v>48</v>
      </c>
      <c r="J32" t="s">
        <v>49</v>
      </c>
      <c r="K32" t="s">
        <v>50</v>
      </c>
      <c r="L32">
        <v>44866</v>
      </c>
      <c r="M32" s="1">
        <v>47057</v>
      </c>
      <c r="N32" t="s">
        <v>51</v>
      </c>
      <c r="O32" t="s">
        <v>52</v>
      </c>
      <c r="P32" t="s">
        <v>53</v>
      </c>
      <c r="Q32" t="s">
        <v>54</v>
      </c>
      <c r="R32" t="s">
        <v>55</v>
      </c>
      <c r="S32" t="s">
        <v>56</v>
      </c>
      <c r="T32" t="s">
        <v>150</v>
      </c>
      <c r="U32" t="s">
        <v>58</v>
      </c>
      <c r="V32">
        <f>IF(AND(SUM(IF('Consulta de contratos'!$K$1="",0,1),IF('Consulta de contratos'!$K$2="",0,1),IF('Consulta de contratos'!$K$3="",0,1),IF('Consulta de contratos'!$K$4="",0,1),IF('Consulta de contratos'!$K$5="",0,1),IF('Consulta de contratos'!$K$6="",0,1))&gt;0,OR('Consulta de contratos'!$K$1="",A32='Consulta de contratos'!$K$1),OR('Consulta de contratos'!$K$2="",I32='Consulta de contratos'!$K$2),OR('Consulta de contratos'!$K$3="",C32='Consulta de contratos'!$K$3),OR('Consulta de contratos'!$K$4="",D32='Consulta de contratos'!$K$4),OR('Consulta de contratos'!$K$5="",E32='Consulta de contratos'!$K$5),OR('Consulta de contratos'!$K$6="",IFERROR(ISNUMBER(SEARCH("|"&amp;'Consulta de contratos'!$K$6&amp;"|",AF32)),FALSE))),1,0)</f>
        <v>0</v>
      </c>
      <c r="W32">
        <f>IF(V32=1,SUM($V$2:V32),0)</f>
        <v>0</v>
      </c>
      <c r="X32" t="s">
        <v>59</v>
      </c>
      <c r="Y32" t="s">
        <v>60</v>
      </c>
      <c r="Z32" t="s">
        <v>61</v>
      </c>
      <c r="AA32" t="s">
        <v>62</v>
      </c>
      <c r="AF32" t="s">
        <v>63</v>
      </c>
    </row>
    <row r="33" spans="1:32" x14ac:dyDescent="0.35">
      <c r="A33" t="s">
        <v>149</v>
      </c>
      <c r="B33" t="s">
        <v>41</v>
      </c>
      <c r="C33" t="s">
        <v>42</v>
      </c>
      <c r="D33" t="s">
        <v>43</v>
      </c>
      <c r="E33" t="s">
        <v>44</v>
      </c>
      <c r="F33" t="s">
        <v>45</v>
      </c>
      <c r="G33" t="s">
        <v>46</v>
      </c>
      <c r="H33" t="s">
        <v>64</v>
      </c>
      <c r="I33" t="s">
        <v>65</v>
      </c>
      <c r="J33" t="s">
        <v>66</v>
      </c>
      <c r="K33" t="s">
        <v>67</v>
      </c>
      <c r="L33">
        <v>44866</v>
      </c>
      <c r="M33" s="1">
        <v>47057</v>
      </c>
      <c r="N33" t="s">
        <v>51</v>
      </c>
      <c r="O33" t="s">
        <v>52</v>
      </c>
      <c r="P33" t="s">
        <v>53</v>
      </c>
      <c r="Q33" t="s">
        <v>68</v>
      </c>
      <c r="R33" t="s">
        <v>55</v>
      </c>
      <c r="S33" t="s">
        <v>56</v>
      </c>
      <c r="T33" t="s">
        <v>151</v>
      </c>
      <c r="U33" t="s">
        <v>70</v>
      </c>
      <c r="V33">
        <f>IF(AND(SUM(IF('Consulta de contratos'!$K$1="",0,1),IF('Consulta de contratos'!$K$2="",0,1),IF('Consulta de contratos'!$K$3="",0,1),IF('Consulta de contratos'!$K$4="",0,1),IF('Consulta de contratos'!$K$5="",0,1),IF('Consulta de contratos'!$K$6="",0,1))&gt;0,OR('Consulta de contratos'!$K$1="",A33='Consulta de contratos'!$K$1),OR('Consulta de contratos'!$K$2="",I33='Consulta de contratos'!$K$2),OR('Consulta de contratos'!$K$3="",C33='Consulta de contratos'!$K$3),OR('Consulta de contratos'!$K$4="",D33='Consulta de contratos'!$K$4),OR('Consulta de contratos'!$K$5="",E33='Consulta de contratos'!$K$5),OR('Consulta de contratos'!$K$6="",IFERROR(ISNUMBER(SEARCH("|"&amp;'Consulta de contratos'!$K$6&amp;"|",AF33)),FALSE))),1,0)</f>
        <v>0</v>
      </c>
      <c r="W33">
        <f>IF(V33=1,SUM($V$2:V33),0)</f>
        <v>0</v>
      </c>
      <c r="X33" t="s">
        <v>59</v>
      </c>
      <c r="Y33" t="s">
        <v>65</v>
      </c>
      <c r="Z33" t="s">
        <v>71</v>
      </c>
      <c r="AA33" t="s">
        <v>62</v>
      </c>
      <c r="AF33" t="s">
        <v>72</v>
      </c>
    </row>
    <row r="34" spans="1:32" hidden="1" x14ac:dyDescent="0.35">
      <c r="A34" t="s">
        <v>149</v>
      </c>
      <c r="B34" t="s">
        <v>41</v>
      </c>
      <c r="C34" t="s">
        <v>42</v>
      </c>
      <c r="D34" t="s">
        <v>43</v>
      </c>
      <c r="E34" t="s">
        <v>44</v>
      </c>
      <c r="F34" t="s">
        <v>45</v>
      </c>
      <c r="G34" t="s">
        <v>46</v>
      </c>
      <c r="H34" t="s">
        <v>73</v>
      </c>
      <c r="I34" t="s">
        <v>74</v>
      </c>
      <c r="J34" t="s">
        <v>75</v>
      </c>
      <c r="K34" t="s">
        <v>67</v>
      </c>
      <c r="L34">
        <v>44866</v>
      </c>
      <c r="M34" s="1">
        <v>47057</v>
      </c>
      <c r="N34" t="s">
        <v>51</v>
      </c>
      <c r="O34" t="s">
        <v>52</v>
      </c>
      <c r="P34" t="s">
        <v>53</v>
      </c>
      <c r="Q34" t="s">
        <v>76</v>
      </c>
      <c r="R34" t="s">
        <v>55</v>
      </c>
      <c r="S34" t="s">
        <v>56</v>
      </c>
      <c r="T34" t="s">
        <v>152</v>
      </c>
      <c r="U34" t="s">
        <v>78</v>
      </c>
      <c r="V34">
        <f>IF(AND(SUM(IF('Consulta de contratos'!$K$1="",0,1),IF('Consulta de contratos'!$K$2="",0,1),IF('Consulta de contratos'!$K$3="",0,1),IF('Consulta de contratos'!$K$4="",0,1),IF('Consulta de contratos'!$K$5="",0,1),IF('Consulta de contratos'!$K$6="",0,1))&gt;0,OR('Consulta de contratos'!$K$1="",A34='Consulta de contratos'!$K$1),OR('Consulta de contratos'!$K$2="",I34='Consulta de contratos'!$K$2),OR('Consulta de contratos'!$K$3="",C34='Consulta de contratos'!$K$3),OR('Consulta de contratos'!$K$4="",D34='Consulta de contratos'!$K$4),OR('Consulta de contratos'!$K$5="",E34='Consulta de contratos'!$K$5),OR('Consulta de contratos'!$K$6="",IFERROR(ISNUMBER(SEARCH("|"&amp;'Consulta de contratos'!$K$6&amp;"|",AF34)),FALSE))),1,0)</f>
        <v>0</v>
      </c>
      <c r="W34">
        <f>IF(V34=1,SUM($V$2:V34),0)</f>
        <v>0</v>
      </c>
      <c r="X34" t="s">
        <v>59</v>
      </c>
      <c r="Y34" t="s">
        <v>79</v>
      </c>
      <c r="Z34" t="s">
        <v>80</v>
      </c>
      <c r="AA34" t="s">
        <v>62</v>
      </c>
      <c r="AF34" t="s">
        <v>81</v>
      </c>
    </row>
    <row r="35" spans="1:32" hidden="1" x14ac:dyDescent="0.35">
      <c r="A35" t="s">
        <v>149</v>
      </c>
      <c r="B35" t="s">
        <v>41</v>
      </c>
      <c r="C35" t="s">
        <v>42</v>
      </c>
      <c r="D35" t="s">
        <v>43</v>
      </c>
      <c r="E35" t="s">
        <v>44</v>
      </c>
      <c r="F35" t="s">
        <v>82</v>
      </c>
      <c r="G35" t="s">
        <v>83</v>
      </c>
      <c r="H35" t="s">
        <v>84</v>
      </c>
      <c r="I35" t="s">
        <v>85</v>
      </c>
      <c r="J35" t="s">
        <v>86</v>
      </c>
      <c r="K35" t="s">
        <v>87</v>
      </c>
      <c r="M35">
        <v>46850</v>
      </c>
      <c r="N35" t="s">
        <v>51</v>
      </c>
      <c r="O35" t="s">
        <v>52</v>
      </c>
      <c r="P35" t="s">
        <v>53</v>
      </c>
      <c r="R35" t="s">
        <v>88</v>
      </c>
      <c r="S35" t="s">
        <v>89</v>
      </c>
      <c r="T35" t="s">
        <v>153</v>
      </c>
      <c r="U35" t="s">
        <v>91</v>
      </c>
      <c r="V35">
        <f>IF(AND(SUM(IF('Consulta de contratos'!$K$1="",0,1),IF('Consulta de contratos'!$K$2="",0,1),IF('Consulta de contratos'!$K$3="",0,1),IF('Consulta de contratos'!$K$4="",0,1),IF('Consulta de contratos'!$K$5="",0,1),IF('Consulta de contratos'!$K$6="",0,1))&gt;0,OR('Consulta de contratos'!$K$1="",A35='Consulta de contratos'!$K$1),OR('Consulta de contratos'!$K$2="",I35='Consulta de contratos'!$K$2),OR('Consulta de contratos'!$K$3="",C35='Consulta de contratos'!$K$3),OR('Consulta de contratos'!$K$4="",D35='Consulta de contratos'!$K$4),OR('Consulta de contratos'!$K$5="",E35='Consulta de contratos'!$K$5),OR('Consulta de contratos'!$K$6="",IFERROR(ISNUMBER(SEARCH("|"&amp;'Consulta de contratos'!$K$6&amp;"|",AF35)),FALSE))),1,0)</f>
        <v>0</v>
      </c>
      <c r="W35">
        <f>IF(V35=1,SUM($V$2:V35),0)</f>
        <v>0</v>
      </c>
      <c r="X35" t="s">
        <v>59</v>
      </c>
      <c r="Y35" t="s">
        <v>85</v>
      </c>
      <c r="Z35" t="s">
        <v>71</v>
      </c>
      <c r="AA35" t="s">
        <v>62</v>
      </c>
      <c r="AF35" t="s">
        <v>92</v>
      </c>
    </row>
    <row r="36" spans="1:32" hidden="1" x14ac:dyDescent="0.35">
      <c r="A36" t="s">
        <v>149</v>
      </c>
      <c r="B36" t="s">
        <v>41</v>
      </c>
      <c r="C36" t="s">
        <v>42</v>
      </c>
      <c r="D36" t="s">
        <v>43</v>
      </c>
      <c r="E36" t="s">
        <v>44</v>
      </c>
      <c r="F36" t="s">
        <v>93</v>
      </c>
      <c r="G36" t="s">
        <v>94</v>
      </c>
      <c r="H36" t="s">
        <v>84</v>
      </c>
      <c r="I36" t="s">
        <v>95</v>
      </c>
      <c r="J36" t="s">
        <v>96</v>
      </c>
      <c r="K36" t="s">
        <v>97</v>
      </c>
      <c r="L36">
        <v>45622</v>
      </c>
      <c r="M36">
        <v>47447</v>
      </c>
      <c r="N36" t="s">
        <v>51</v>
      </c>
      <c r="O36" t="s">
        <v>52</v>
      </c>
      <c r="P36" t="s">
        <v>53</v>
      </c>
      <c r="Q36" t="s">
        <v>98</v>
      </c>
      <c r="R36" t="s">
        <v>99</v>
      </c>
      <c r="S36" t="s">
        <v>100</v>
      </c>
      <c r="T36" t="s">
        <v>154</v>
      </c>
      <c r="U36" t="s">
        <v>102</v>
      </c>
      <c r="V36">
        <f>IF(AND(SUM(IF('Consulta de contratos'!$K$1="",0,1),IF('Consulta de contratos'!$K$2="",0,1),IF('Consulta de contratos'!$K$3="",0,1),IF('Consulta de contratos'!$K$4="",0,1),IF('Consulta de contratos'!$K$5="",0,1),IF('Consulta de contratos'!$K$6="",0,1))&gt;0,OR('Consulta de contratos'!$K$1="",A36='Consulta de contratos'!$K$1),OR('Consulta de contratos'!$K$2="",I36='Consulta de contratos'!$K$2),OR('Consulta de contratos'!$K$3="",C36='Consulta de contratos'!$K$3),OR('Consulta de contratos'!$K$4="",D36='Consulta de contratos'!$K$4),OR('Consulta de contratos'!$K$5="",E36='Consulta de contratos'!$K$5),OR('Consulta de contratos'!$K$6="",IFERROR(ISNUMBER(SEARCH("|"&amp;'Consulta de contratos'!$K$6&amp;"|",AF36)),FALSE))),1,0)</f>
        <v>0</v>
      </c>
      <c r="W36">
        <f>IF(V36=1,SUM($V$2:V36),0)</f>
        <v>0</v>
      </c>
      <c r="X36" t="s">
        <v>59</v>
      </c>
      <c r="Y36" t="s">
        <v>103</v>
      </c>
      <c r="Z36" t="s">
        <v>61</v>
      </c>
      <c r="AA36" t="s">
        <v>62</v>
      </c>
      <c r="AF36" t="s">
        <v>104</v>
      </c>
    </row>
    <row r="37" spans="1:32" hidden="1" x14ac:dyDescent="0.35">
      <c r="A37" t="s">
        <v>149</v>
      </c>
      <c r="B37" t="s">
        <v>41</v>
      </c>
      <c r="C37" t="s">
        <v>42</v>
      </c>
      <c r="D37" t="s">
        <v>43</v>
      </c>
      <c r="E37" t="s">
        <v>44</v>
      </c>
      <c r="F37" t="s">
        <v>105</v>
      </c>
      <c r="G37" t="s">
        <v>106</v>
      </c>
      <c r="H37" t="s">
        <v>84</v>
      </c>
      <c r="I37" t="s">
        <v>107</v>
      </c>
      <c r="J37" t="s">
        <v>108</v>
      </c>
      <c r="K37" t="s">
        <v>109</v>
      </c>
      <c r="N37" t="s">
        <v>51</v>
      </c>
      <c r="O37" t="s">
        <v>52</v>
      </c>
      <c r="P37" t="s">
        <v>53</v>
      </c>
      <c r="Q37" t="s">
        <v>1988</v>
      </c>
      <c r="R37" t="s">
        <v>1989</v>
      </c>
      <c r="S37" t="s">
        <v>1990</v>
      </c>
      <c r="T37" t="s">
        <v>155</v>
      </c>
      <c r="U37" t="s">
        <v>111</v>
      </c>
      <c r="V37">
        <f>IF(AND(SUM(IF('Consulta de contratos'!$K$1="",0,1),IF('Consulta de contratos'!$K$2="",0,1),IF('Consulta de contratos'!$K$3="",0,1),IF('Consulta de contratos'!$K$4="",0,1),IF('Consulta de contratos'!$K$5="",0,1),IF('Consulta de contratos'!$K$6="",0,1))&gt;0,OR('Consulta de contratos'!$K$1="",A37='Consulta de contratos'!$K$1),OR('Consulta de contratos'!$K$2="",I37='Consulta de contratos'!$K$2),OR('Consulta de contratos'!$K$3="",C37='Consulta de contratos'!$K$3),OR('Consulta de contratos'!$K$4="",D37='Consulta de contratos'!$K$4),OR('Consulta de contratos'!$K$5="",E37='Consulta de contratos'!$K$5),OR('Consulta de contratos'!$K$6="",IFERROR(ISNUMBER(SEARCH("|"&amp;'Consulta de contratos'!$K$6&amp;"|",AF37)),FALSE))),1,0)</f>
        <v>0</v>
      </c>
      <c r="W37">
        <f>IF(V37=1,SUM($V$2:V37),0)</f>
        <v>0</v>
      </c>
      <c r="X37" t="s">
        <v>112</v>
      </c>
      <c r="Y37" t="s">
        <v>113</v>
      </c>
      <c r="Z37" t="s">
        <v>114</v>
      </c>
      <c r="AA37" t="s">
        <v>62</v>
      </c>
      <c r="AF37" t="s">
        <v>115</v>
      </c>
    </row>
    <row r="38" spans="1:32" hidden="1" x14ac:dyDescent="0.35">
      <c r="A38" t="s">
        <v>156</v>
      </c>
      <c r="B38" t="s">
        <v>41</v>
      </c>
      <c r="C38" t="s">
        <v>42</v>
      </c>
      <c r="D38" t="s">
        <v>43</v>
      </c>
      <c r="E38" t="s">
        <v>44</v>
      </c>
      <c r="F38" t="s">
        <v>45</v>
      </c>
      <c r="G38" t="s">
        <v>46</v>
      </c>
      <c r="H38" t="s">
        <v>47</v>
      </c>
      <c r="I38" t="s">
        <v>48</v>
      </c>
      <c r="J38" t="s">
        <v>49</v>
      </c>
      <c r="K38" t="s">
        <v>50</v>
      </c>
      <c r="L38">
        <v>44866</v>
      </c>
      <c r="M38" s="1">
        <v>47057</v>
      </c>
      <c r="N38" t="s">
        <v>51</v>
      </c>
      <c r="O38" t="s">
        <v>52</v>
      </c>
      <c r="P38" t="s">
        <v>53</v>
      </c>
      <c r="Q38" t="s">
        <v>54</v>
      </c>
      <c r="R38" t="s">
        <v>55</v>
      </c>
      <c r="S38" t="s">
        <v>56</v>
      </c>
      <c r="T38" t="s">
        <v>157</v>
      </c>
      <c r="U38" t="s">
        <v>58</v>
      </c>
      <c r="V38">
        <f>IF(AND(SUM(IF('Consulta de contratos'!$K$1="",0,1),IF('Consulta de contratos'!$K$2="",0,1),IF('Consulta de contratos'!$K$3="",0,1),IF('Consulta de contratos'!$K$4="",0,1),IF('Consulta de contratos'!$K$5="",0,1),IF('Consulta de contratos'!$K$6="",0,1))&gt;0,OR('Consulta de contratos'!$K$1="",A38='Consulta de contratos'!$K$1),OR('Consulta de contratos'!$K$2="",I38='Consulta de contratos'!$K$2),OR('Consulta de contratos'!$K$3="",C38='Consulta de contratos'!$K$3),OR('Consulta de contratos'!$K$4="",D38='Consulta de contratos'!$K$4),OR('Consulta de contratos'!$K$5="",E38='Consulta de contratos'!$K$5),OR('Consulta de contratos'!$K$6="",IFERROR(ISNUMBER(SEARCH("|"&amp;'Consulta de contratos'!$K$6&amp;"|",AF38)),FALSE))),1,0)</f>
        <v>0</v>
      </c>
      <c r="W38">
        <f>IF(V38=1,SUM($V$2:V38),0)</f>
        <v>0</v>
      </c>
      <c r="X38" t="s">
        <v>59</v>
      </c>
      <c r="Y38" t="s">
        <v>60</v>
      </c>
      <c r="Z38" t="s">
        <v>61</v>
      </c>
      <c r="AA38" t="s">
        <v>62</v>
      </c>
      <c r="AF38" t="s">
        <v>63</v>
      </c>
    </row>
    <row r="39" spans="1:32" x14ac:dyDescent="0.35">
      <c r="A39" t="s">
        <v>156</v>
      </c>
      <c r="B39" t="s">
        <v>41</v>
      </c>
      <c r="C39" t="s">
        <v>42</v>
      </c>
      <c r="D39" t="s">
        <v>43</v>
      </c>
      <c r="E39" t="s">
        <v>44</v>
      </c>
      <c r="F39" t="s">
        <v>45</v>
      </c>
      <c r="G39" t="s">
        <v>46</v>
      </c>
      <c r="H39" t="s">
        <v>64</v>
      </c>
      <c r="I39" t="s">
        <v>65</v>
      </c>
      <c r="J39" t="s">
        <v>66</v>
      </c>
      <c r="K39" t="s">
        <v>67</v>
      </c>
      <c r="L39">
        <v>44866</v>
      </c>
      <c r="M39" s="1">
        <v>47057</v>
      </c>
      <c r="N39" t="s">
        <v>51</v>
      </c>
      <c r="O39" t="s">
        <v>52</v>
      </c>
      <c r="P39" t="s">
        <v>53</v>
      </c>
      <c r="Q39" t="s">
        <v>68</v>
      </c>
      <c r="R39" t="s">
        <v>55</v>
      </c>
      <c r="S39" t="s">
        <v>56</v>
      </c>
      <c r="T39" t="s">
        <v>158</v>
      </c>
      <c r="U39" t="s">
        <v>70</v>
      </c>
      <c r="V39">
        <f>IF(AND(SUM(IF('Consulta de contratos'!$K$1="",0,1),IF('Consulta de contratos'!$K$2="",0,1),IF('Consulta de contratos'!$K$3="",0,1),IF('Consulta de contratos'!$K$4="",0,1),IF('Consulta de contratos'!$K$5="",0,1),IF('Consulta de contratos'!$K$6="",0,1))&gt;0,OR('Consulta de contratos'!$K$1="",A39='Consulta de contratos'!$K$1),OR('Consulta de contratos'!$K$2="",I39='Consulta de contratos'!$K$2),OR('Consulta de contratos'!$K$3="",C39='Consulta de contratos'!$K$3),OR('Consulta de contratos'!$K$4="",D39='Consulta de contratos'!$K$4),OR('Consulta de contratos'!$K$5="",E39='Consulta de contratos'!$K$5),OR('Consulta de contratos'!$K$6="",IFERROR(ISNUMBER(SEARCH("|"&amp;'Consulta de contratos'!$K$6&amp;"|",AF39)),FALSE))),1,0)</f>
        <v>0</v>
      </c>
      <c r="W39">
        <f>IF(V39=1,SUM($V$2:V39),0)</f>
        <v>0</v>
      </c>
      <c r="X39" t="s">
        <v>59</v>
      </c>
      <c r="Y39" t="s">
        <v>65</v>
      </c>
      <c r="Z39" t="s">
        <v>71</v>
      </c>
      <c r="AA39" t="s">
        <v>62</v>
      </c>
      <c r="AF39" t="s">
        <v>72</v>
      </c>
    </row>
    <row r="40" spans="1:32" hidden="1" x14ac:dyDescent="0.35">
      <c r="A40" t="s">
        <v>156</v>
      </c>
      <c r="B40" t="s">
        <v>41</v>
      </c>
      <c r="C40" t="s">
        <v>42</v>
      </c>
      <c r="D40" t="s">
        <v>43</v>
      </c>
      <c r="E40" t="s">
        <v>44</v>
      </c>
      <c r="F40" t="s">
        <v>45</v>
      </c>
      <c r="G40" t="s">
        <v>46</v>
      </c>
      <c r="H40" t="s">
        <v>73</v>
      </c>
      <c r="I40" t="s">
        <v>74</v>
      </c>
      <c r="J40" t="s">
        <v>75</v>
      </c>
      <c r="K40" t="s">
        <v>67</v>
      </c>
      <c r="L40">
        <v>44866</v>
      </c>
      <c r="M40" s="1">
        <v>47057</v>
      </c>
      <c r="N40" t="s">
        <v>51</v>
      </c>
      <c r="O40" t="s">
        <v>52</v>
      </c>
      <c r="P40" t="s">
        <v>53</v>
      </c>
      <c r="Q40" t="s">
        <v>76</v>
      </c>
      <c r="R40" t="s">
        <v>55</v>
      </c>
      <c r="S40" t="s">
        <v>56</v>
      </c>
      <c r="T40" t="s">
        <v>159</v>
      </c>
      <c r="U40" t="s">
        <v>78</v>
      </c>
      <c r="V40">
        <f>IF(AND(SUM(IF('Consulta de contratos'!$K$1="",0,1),IF('Consulta de contratos'!$K$2="",0,1),IF('Consulta de contratos'!$K$3="",0,1),IF('Consulta de contratos'!$K$4="",0,1),IF('Consulta de contratos'!$K$5="",0,1),IF('Consulta de contratos'!$K$6="",0,1))&gt;0,OR('Consulta de contratos'!$K$1="",A40='Consulta de contratos'!$K$1),OR('Consulta de contratos'!$K$2="",I40='Consulta de contratos'!$K$2),OR('Consulta de contratos'!$K$3="",C40='Consulta de contratos'!$K$3),OR('Consulta de contratos'!$K$4="",D40='Consulta de contratos'!$K$4),OR('Consulta de contratos'!$K$5="",E40='Consulta de contratos'!$K$5),OR('Consulta de contratos'!$K$6="",IFERROR(ISNUMBER(SEARCH("|"&amp;'Consulta de contratos'!$K$6&amp;"|",AF40)),FALSE))),1,0)</f>
        <v>0</v>
      </c>
      <c r="W40">
        <f>IF(V40=1,SUM($V$2:V40),0)</f>
        <v>0</v>
      </c>
      <c r="X40" t="s">
        <v>59</v>
      </c>
      <c r="Y40" t="s">
        <v>79</v>
      </c>
      <c r="Z40" t="s">
        <v>80</v>
      </c>
      <c r="AA40" t="s">
        <v>62</v>
      </c>
      <c r="AF40" t="s">
        <v>81</v>
      </c>
    </row>
    <row r="41" spans="1:32" hidden="1" x14ac:dyDescent="0.35">
      <c r="A41" t="s">
        <v>156</v>
      </c>
      <c r="B41" t="s">
        <v>41</v>
      </c>
      <c r="C41" t="s">
        <v>42</v>
      </c>
      <c r="D41" t="s">
        <v>43</v>
      </c>
      <c r="E41" t="s">
        <v>44</v>
      </c>
      <c r="F41" t="s">
        <v>82</v>
      </c>
      <c r="G41" t="s">
        <v>83</v>
      </c>
      <c r="H41" t="s">
        <v>84</v>
      </c>
      <c r="I41" t="s">
        <v>85</v>
      </c>
      <c r="J41" t="s">
        <v>86</v>
      </c>
      <c r="K41" t="s">
        <v>87</v>
      </c>
      <c r="M41">
        <v>46850</v>
      </c>
      <c r="N41" t="s">
        <v>51</v>
      </c>
      <c r="O41" t="s">
        <v>52</v>
      </c>
      <c r="P41" t="s">
        <v>53</v>
      </c>
      <c r="R41" t="s">
        <v>88</v>
      </c>
      <c r="S41" t="s">
        <v>89</v>
      </c>
      <c r="T41" t="s">
        <v>160</v>
      </c>
      <c r="U41" t="s">
        <v>91</v>
      </c>
      <c r="V41">
        <f>IF(AND(SUM(IF('Consulta de contratos'!$K$1="",0,1),IF('Consulta de contratos'!$K$2="",0,1),IF('Consulta de contratos'!$K$3="",0,1),IF('Consulta de contratos'!$K$4="",0,1),IF('Consulta de contratos'!$K$5="",0,1),IF('Consulta de contratos'!$K$6="",0,1))&gt;0,OR('Consulta de contratos'!$K$1="",A41='Consulta de contratos'!$K$1),OR('Consulta de contratos'!$K$2="",I41='Consulta de contratos'!$K$2),OR('Consulta de contratos'!$K$3="",C41='Consulta de contratos'!$K$3),OR('Consulta de contratos'!$K$4="",D41='Consulta de contratos'!$K$4),OR('Consulta de contratos'!$K$5="",E41='Consulta de contratos'!$K$5),OR('Consulta de contratos'!$K$6="",IFERROR(ISNUMBER(SEARCH("|"&amp;'Consulta de contratos'!$K$6&amp;"|",AF41)),FALSE))),1,0)</f>
        <v>0</v>
      </c>
      <c r="W41">
        <f>IF(V41=1,SUM($V$2:V41),0)</f>
        <v>0</v>
      </c>
      <c r="X41" t="s">
        <v>59</v>
      </c>
      <c r="Y41" t="s">
        <v>85</v>
      </c>
      <c r="Z41" t="s">
        <v>71</v>
      </c>
      <c r="AA41" t="s">
        <v>62</v>
      </c>
      <c r="AF41" t="s">
        <v>92</v>
      </c>
    </row>
    <row r="42" spans="1:32" hidden="1" x14ac:dyDescent="0.35">
      <c r="A42" t="s">
        <v>156</v>
      </c>
      <c r="B42" t="s">
        <v>41</v>
      </c>
      <c r="C42" t="s">
        <v>42</v>
      </c>
      <c r="D42" t="s">
        <v>43</v>
      </c>
      <c r="E42" t="s">
        <v>44</v>
      </c>
      <c r="F42" t="s">
        <v>93</v>
      </c>
      <c r="G42" t="s">
        <v>94</v>
      </c>
      <c r="H42" t="s">
        <v>84</v>
      </c>
      <c r="I42" t="s">
        <v>95</v>
      </c>
      <c r="J42" t="s">
        <v>96</v>
      </c>
      <c r="K42" t="s">
        <v>97</v>
      </c>
      <c r="L42">
        <v>45622</v>
      </c>
      <c r="M42">
        <v>47447</v>
      </c>
      <c r="N42" t="s">
        <v>51</v>
      </c>
      <c r="O42" t="s">
        <v>52</v>
      </c>
      <c r="P42" t="s">
        <v>53</v>
      </c>
      <c r="Q42" t="s">
        <v>98</v>
      </c>
      <c r="R42" t="s">
        <v>99</v>
      </c>
      <c r="S42" t="s">
        <v>100</v>
      </c>
      <c r="T42" t="s">
        <v>161</v>
      </c>
      <c r="U42" t="s">
        <v>102</v>
      </c>
      <c r="V42">
        <f>IF(AND(SUM(IF('Consulta de contratos'!$K$1="",0,1),IF('Consulta de contratos'!$K$2="",0,1),IF('Consulta de contratos'!$K$3="",0,1),IF('Consulta de contratos'!$K$4="",0,1),IF('Consulta de contratos'!$K$5="",0,1),IF('Consulta de contratos'!$K$6="",0,1))&gt;0,OR('Consulta de contratos'!$K$1="",A42='Consulta de contratos'!$K$1),OR('Consulta de contratos'!$K$2="",I42='Consulta de contratos'!$K$2),OR('Consulta de contratos'!$K$3="",C42='Consulta de contratos'!$K$3),OR('Consulta de contratos'!$K$4="",D42='Consulta de contratos'!$K$4),OR('Consulta de contratos'!$K$5="",E42='Consulta de contratos'!$K$5),OR('Consulta de contratos'!$K$6="",IFERROR(ISNUMBER(SEARCH("|"&amp;'Consulta de contratos'!$K$6&amp;"|",AF42)),FALSE))),1,0)</f>
        <v>0</v>
      </c>
      <c r="W42">
        <f>IF(V42=1,SUM($V$2:V42),0)</f>
        <v>0</v>
      </c>
      <c r="X42" t="s">
        <v>59</v>
      </c>
      <c r="Y42" t="s">
        <v>103</v>
      </c>
      <c r="Z42" t="s">
        <v>61</v>
      </c>
      <c r="AA42" t="s">
        <v>62</v>
      </c>
      <c r="AF42" t="s">
        <v>104</v>
      </c>
    </row>
    <row r="43" spans="1:32" hidden="1" x14ac:dyDescent="0.35">
      <c r="A43" t="s">
        <v>156</v>
      </c>
      <c r="B43" t="s">
        <v>41</v>
      </c>
      <c r="C43" t="s">
        <v>42</v>
      </c>
      <c r="D43" t="s">
        <v>43</v>
      </c>
      <c r="E43" t="s">
        <v>44</v>
      </c>
      <c r="F43" t="s">
        <v>105</v>
      </c>
      <c r="G43" t="s">
        <v>106</v>
      </c>
      <c r="H43" t="s">
        <v>84</v>
      </c>
      <c r="I43" t="s">
        <v>107</v>
      </c>
      <c r="J43" t="s">
        <v>108</v>
      </c>
      <c r="K43" t="s">
        <v>109</v>
      </c>
      <c r="N43" t="s">
        <v>51</v>
      </c>
      <c r="O43" t="s">
        <v>52</v>
      </c>
      <c r="P43" t="s">
        <v>53</v>
      </c>
      <c r="Q43" t="s">
        <v>1988</v>
      </c>
      <c r="R43" t="s">
        <v>1989</v>
      </c>
      <c r="S43" t="s">
        <v>1990</v>
      </c>
      <c r="T43" t="s">
        <v>162</v>
      </c>
      <c r="U43" t="s">
        <v>111</v>
      </c>
      <c r="V43">
        <f>IF(AND(SUM(IF('Consulta de contratos'!$K$1="",0,1),IF('Consulta de contratos'!$K$2="",0,1),IF('Consulta de contratos'!$K$3="",0,1),IF('Consulta de contratos'!$K$4="",0,1),IF('Consulta de contratos'!$K$5="",0,1),IF('Consulta de contratos'!$K$6="",0,1))&gt;0,OR('Consulta de contratos'!$K$1="",A43='Consulta de contratos'!$K$1),OR('Consulta de contratos'!$K$2="",I43='Consulta de contratos'!$K$2),OR('Consulta de contratos'!$K$3="",C43='Consulta de contratos'!$K$3),OR('Consulta de contratos'!$K$4="",D43='Consulta de contratos'!$K$4),OR('Consulta de contratos'!$K$5="",E43='Consulta de contratos'!$K$5),OR('Consulta de contratos'!$K$6="",IFERROR(ISNUMBER(SEARCH("|"&amp;'Consulta de contratos'!$K$6&amp;"|",AF43)),FALSE))),1,0)</f>
        <v>0</v>
      </c>
      <c r="W43">
        <f>IF(V43=1,SUM($V$2:V43),0)</f>
        <v>0</v>
      </c>
      <c r="X43" t="s">
        <v>112</v>
      </c>
      <c r="Y43" t="s">
        <v>113</v>
      </c>
      <c r="Z43" t="s">
        <v>114</v>
      </c>
      <c r="AA43" t="s">
        <v>62</v>
      </c>
      <c r="AF43" t="s">
        <v>115</v>
      </c>
    </row>
    <row r="44" spans="1:32" hidden="1" x14ac:dyDescent="0.35">
      <c r="A44" t="s">
        <v>163</v>
      </c>
      <c r="B44" t="s">
        <v>41</v>
      </c>
      <c r="C44" t="s">
        <v>42</v>
      </c>
      <c r="D44" t="s">
        <v>43</v>
      </c>
      <c r="E44" t="s">
        <v>44</v>
      </c>
      <c r="F44" t="s">
        <v>45</v>
      </c>
      <c r="G44" t="s">
        <v>46</v>
      </c>
      <c r="H44" t="s">
        <v>47</v>
      </c>
      <c r="I44" t="s">
        <v>48</v>
      </c>
      <c r="J44" t="s">
        <v>49</v>
      </c>
      <c r="K44" t="s">
        <v>50</v>
      </c>
      <c r="L44">
        <v>44866</v>
      </c>
      <c r="M44" s="1">
        <v>47057</v>
      </c>
      <c r="N44" t="s">
        <v>51</v>
      </c>
      <c r="O44" t="s">
        <v>52</v>
      </c>
      <c r="P44" t="s">
        <v>53</v>
      </c>
      <c r="Q44" t="s">
        <v>54</v>
      </c>
      <c r="R44" t="s">
        <v>55</v>
      </c>
      <c r="S44" t="s">
        <v>56</v>
      </c>
      <c r="T44" t="s">
        <v>164</v>
      </c>
      <c r="U44" t="s">
        <v>58</v>
      </c>
      <c r="V44">
        <f>IF(AND(SUM(IF('Consulta de contratos'!$K$1="",0,1),IF('Consulta de contratos'!$K$2="",0,1),IF('Consulta de contratos'!$K$3="",0,1),IF('Consulta de contratos'!$K$4="",0,1),IF('Consulta de contratos'!$K$5="",0,1),IF('Consulta de contratos'!$K$6="",0,1))&gt;0,OR('Consulta de contratos'!$K$1="",A44='Consulta de contratos'!$K$1),OR('Consulta de contratos'!$K$2="",I44='Consulta de contratos'!$K$2),OR('Consulta de contratos'!$K$3="",C44='Consulta de contratos'!$K$3),OR('Consulta de contratos'!$K$4="",D44='Consulta de contratos'!$K$4),OR('Consulta de contratos'!$K$5="",E44='Consulta de contratos'!$K$5),OR('Consulta de contratos'!$K$6="",IFERROR(ISNUMBER(SEARCH("|"&amp;'Consulta de contratos'!$K$6&amp;"|",AF44)),FALSE))),1,0)</f>
        <v>0</v>
      </c>
      <c r="W44">
        <f>IF(V44=1,SUM($V$2:V44),0)</f>
        <v>0</v>
      </c>
      <c r="X44" t="s">
        <v>59</v>
      </c>
      <c r="Y44" t="s">
        <v>60</v>
      </c>
      <c r="Z44" t="s">
        <v>61</v>
      </c>
      <c r="AA44" t="s">
        <v>62</v>
      </c>
      <c r="AF44" t="s">
        <v>63</v>
      </c>
    </row>
    <row r="45" spans="1:32" x14ac:dyDescent="0.35">
      <c r="A45" t="s">
        <v>163</v>
      </c>
      <c r="B45" t="s">
        <v>41</v>
      </c>
      <c r="C45" t="s">
        <v>42</v>
      </c>
      <c r="D45" t="s">
        <v>43</v>
      </c>
      <c r="E45" t="s">
        <v>44</v>
      </c>
      <c r="F45" t="s">
        <v>45</v>
      </c>
      <c r="G45" t="s">
        <v>46</v>
      </c>
      <c r="H45" t="s">
        <v>64</v>
      </c>
      <c r="I45" t="s">
        <v>65</v>
      </c>
      <c r="J45" t="s">
        <v>66</v>
      </c>
      <c r="K45" t="s">
        <v>67</v>
      </c>
      <c r="L45">
        <v>44866</v>
      </c>
      <c r="M45" s="1">
        <v>47057</v>
      </c>
      <c r="N45" t="s">
        <v>51</v>
      </c>
      <c r="O45" t="s">
        <v>52</v>
      </c>
      <c r="P45" t="s">
        <v>53</v>
      </c>
      <c r="Q45" t="s">
        <v>68</v>
      </c>
      <c r="R45" t="s">
        <v>55</v>
      </c>
      <c r="S45" t="s">
        <v>56</v>
      </c>
      <c r="T45" t="s">
        <v>165</v>
      </c>
      <c r="U45" t="s">
        <v>70</v>
      </c>
      <c r="V45">
        <f>IF(AND(SUM(IF('Consulta de contratos'!$K$1="",0,1),IF('Consulta de contratos'!$K$2="",0,1),IF('Consulta de contratos'!$K$3="",0,1),IF('Consulta de contratos'!$K$4="",0,1),IF('Consulta de contratos'!$K$5="",0,1),IF('Consulta de contratos'!$K$6="",0,1))&gt;0,OR('Consulta de contratos'!$K$1="",A45='Consulta de contratos'!$K$1),OR('Consulta de contratos'!$K$2="",I45='Consulta de contratos'!$K$2),OR('Consulta de contratos'!$K$3="",C45='Consulta de contratos'!$K$3),OR('Consulta de contratos'!$K$4="",D45='Consulta de contratos'!$K$4),OR('Consulta de contratos'!$K$5="",E45='Consulta de contratos'!$K$5),OR('Consulta de contratos'!$K$6="",IFERROR(ISNUMBER(SEARCH("|"&amp;'Consulta de contratos'!$K$6&amp;"|",AF45)),FALSE))),1,0)</f>
        <v>0</v>
      </c>
      <c r="W45">
        <f>IF(V45=1,SUM($V$2:V45),0)</f>
        <v>0</v>
      </c>
      <c r="X45" t="s">
        <v>59</v>
      </c>
      <c r="Y45" t="s">
        <v>65</v>
      </c>
      <c r="Z45" t="s">
        <v>71</v>
      </c>
      <c r="AA45" t="s">
        <v>62</v>
      </c>
      <c r="AF45" t="s">
        <v>72</v>
      </c>
    </row>
    <row r="46" spans="1:32" hidden="1" x14ac:dyDescent="0.35">
      <c r="A46" t="s">
        <v>163</v>
      </c>
      <c r="B46" t="s">
        <v>41</v>
      </c>
      <c r="C46" t="s">
        <v>42</v>
      </c>
      <c r="D46" t="s">
        <v>43</v>
      </c>
      <c r="E46" t="s">
        <v>44</v>
      </c>
      <c r="F46" t="s">
        <v>45</v>
      </c>
      <c r="G46" t="s">
        <v>46</v>
      </c>
      <c r="H46" t="s">
        <v>73</v>
      </c>
      <c r="I46" t="s">
        <v>74</v>
      </c>
      <c r="J46" t="s">
        <v>75</v>
      </c>
      <c r="K46" t="s">
        <v>67</v>
      </c>
      <c r="L46">
        <v>44866</v>
      </c>
      <c r="M46" s="1">
        <v>47057</v>
      </c>
      <c r="N46" t="s">
        <v>51</v>
      </c>
      <c r="O46" t="s">
        <v>52</v>
      </c>
      <c r="P46" t="s">
        <v>53</v>
      </c>
      <c r="Q46" t="s">
        <v>76</v>
      </c>
      <c r="R46" t="s">
        <v>55</v>
      </c>
      <c r="S46" t="s">
        <v>56</v>
      </c>
      <c r="T46" t="s">
        <v>166</v>
      </c>
      <c r="U46" t="s">
        <v>78</v>
      </c>
      <c r="V46">
        <f>IF(AND(SUM(IF('Consulta de contratos'!$K$1="",0,1),IF('Consulta de contratos'!$K$2="",0,1),IF('Consulta de contratos'!$K$3="",0,1),IF('Consulta de contratos'!$K$4="",0,1),IF('Consulta de contratos'!$K$5="",0,1),IF('Consulta de contratos'!$K$6="",0,1))&gt;0,OR('Consulta de contratos'!$K$1="",A46='Consulta de contratos'!$K$1),OR('Consulta de contratos'!$K$2="",I46='Consulta de contratos'!$K$2),OR('Consulta de contratos'!$K$3="",C46='Consulta de contratos'!$K$3),OR('Consulta de contratos'!$K$4="",D46='Consulta de contratos'!$K$4),OR('Consulta de contratos'!$K$5="",E46='Consulta de contratos'!$K$5),OR('Consulta de contratos'!$K$6="",IFERROR(ISNUMBER(SEARCH("|"&amp;'Consulta de contratos'!$K$6&amp;"|",AF46)),FALSE))),1,0)</f>
        <v>0</v>
      </c>
      <c r="W46">
        <f>IF(V46=1,SUM($V$2:V46),0)</f>
        <v>0</v>
      </c>
      <c r="X46" t="s">
        <v>59</v>
      </c>
      <c r="Y46" t="s">
        <v>79</v>
      </c>
      <c r="Z46" t="s">
        <v>80</v>
      </c>
      <c r="AA46" t="s">
        <v>62</v>
      </c>
      <c r="AF46" t="s">
        <v>81</v>
      </c>
    </row>
    <row r="47" spans="1:32" hidden="1" x14ac:dyDescent="0.35">
      <c r="A47" t="s">
        <v>163</v>
      </c>
      <c r="B47" t="s">
        <v>41</v>
      </c>
      <c r="C47" t="s">
        <v>42</v>
      </c>
      <c r="D47" t="s">
        <v>43</v>
      </c>
      <c r="E47" t="s">
        <v>44</v>
      </c>
      <c r="F47" t="s">
        <v>82</v>
      </c>
      <c r="G47" t="s">
        <v>83</v>
      </c>
      <c r="H47" t="s">
        <v>84</v>
      </c>
      <c r="I47" t="s">
        <v>85</v>
      </c>
      <c r="J47" t="s">
        <v>86</v>
      </c>
      <c r="K47" t="s">
        <v>87</v>
      </c>
      <c r="M47">
        <v>46850</v>
      </c>
      <c r="N47" t="s">
        <v>51</v>
      </c>
      <c r="O47" t="s">
        <v>52</v>
      </c>
      <c r="P47" t="s">
        <v>53</v>
      </c>
      <c r="R47" t="s">
        <v>88</v>
      </c>
      <c r="S47" t="s">
        <v>89</v>
      </c>
      <c r="T47" t="s">
        <v>167</v>
      </c>
      <c r="U47" t="s">
        <v>91</v>
      </c>
      <c r="V47">
        <f>IF(AND(SUM(IF('Consulta de contratos'!$K$1="",0,1),IF('Consulta de contratos'!$K$2="",0,1),IF('Consulta de contratos'!$K$3="",0,1),IF('Consulta de contratos'!$K$4="",0,1),IF('Consulta de contratos'!$K$5="",0,1),IF('Consulta de contratos'!$K$6="",0,1))&gt;0,OR('Consulta de contratos'!$K$1="",A47='Consulta de contratos'!$K$1),OR('Consulta de contratos'!$K$2="",I47='Consulta de contratos'!$K$2),OR('Consulta de contratos'!$K$3="",C47='Consulta de contratos'!$K$3),OR('Consulta de contratos'!$K$4="",D47='Consulta de contratos'!$K$4),OR('Consulta de contratos'!$K$5="",E47='Consulta de contratos'!$K$5),OR('Consulta de contratos'!$K$6="",IFERROR(ISNUMBER(SEARCH("|"&amp;'Consulta de contratos'!$K$6&amp;"|",AF47)),FALSE))),1,0)</f>
        <v>0</v>
      </c>
      <c r="W47">
        <f>IF(V47=1,SUM($V$2:V47),0)</f>
        <v>0</v>
      </c>
      <c r="X47" t="s">
        <v>59</v>
      </c>
      <c r="Y47" t="s">
        <v>85</v>
      </c>
      <c r="Z47" t="s">
        <v>71</v>
      </c>
      <c r="AA47" t="s">
        <v>62</v>
      </c>
      <c r="AF47" t="s">
        <v>92</v>
      </c>
    </row>
    <row r="48" spans="1:32" hidden="1" x14ac:dyDescent="0.35">
      <c r="A48" t="s">
        <v>163</v>
      </c>
      <c r="B48" t="s">
        <v>41</v>
      </c>
      <c r="C48" t="s">
        <v>42</v>
      </c>
      <c r="D48" t="s">
        <v>43</v>
      </c>
      <c r="E48" t="s">
        <v>44</v>
      </c>
      <c r="F48" t="s">
        <v>93</v>
      </c>
      <c r="G48" t="s">
        <v>94</v>
      </c>
      <c r="H48" t="s">
        <v>84</v>
      </c>
      <c r="I48" t="s">
        <v>95</v>
      </c>
      <c r="J48" t="s">
        <v>96</v>
      </c>
      <c r="K48" t="s">
        <v>97</v>
      </c>
      <c r="L48">
        <v>45622</v>
      </c>
      <c r="M48">
        <v>47447</v>
      </c>
      <c r="N48" t="s">
        <v>51</v>
      </c>
      <c r="O48" t="s">
        <v>52</v>
      </c>
      <c r="P48" t="s">
        <v>53</v>
      </c>
      <c r="Q48" t="s">
        <v>98</v>
      </c>
      <c r="R48" t="s">
        <v>99</v>
      </c>
      <c r="S48" t="s">
        <v>100</v>
      </c>
      <c r="T48" t="s">
        <v>168</v>
      </c>
      <c r="U48" t="s">
        <v>102</v>
      </c>
      <c r="V48">
        <f>IF(AND(SUM(IF('Consulta de contratos'!$K$1="",0,1),IF('Consulta de contratos'!$K$2="",0,1),IF('Consulta de contratos'!$K$3="",0,1),IF('Consulta de contratos'!$K$4="",0,1),IF('Consulta de contratos'!$K$5="",0,1),IF('Consulta de contratos'!$K$6="",0,1))&gt;0,OR('Consulta de contratos'!$K$1="",A48='Consulta de contratos'!$K$1),OR('Consulta de contratos'!$K$2="",I48='Consulta de contratos'!$K$2),OR('Consulta de contratos'!$K$3="",C48='Consulta de contratos'!$K$3),OR('Consulta de contratos'!$K$4="",D48='Consulta de contratos'!$K$4),OR('Consulta de contratos'!$K$5="",E48='Consulta de contratos'!$K$5),OR('Consulta de contratos'!$K$6="",IFERROR(ISNUMBER(SEARCH("|"&amp;'Consulta de contratos'!$K$6&amp;"|",AF48)),FALSE))),1,0)</f>
        <v>0</v>
      </c>
      <c r="W48">
        <f>IF(V48=1,SUM($V$2:V48),0)</f>
        <v>0</v>
      </c>
      <c r="X48" t="s">
        <v>59</v>
      </c>
      <c r="Y48" t="s">
        <v>103</v>
      </c>
      <c r="Z48" t="s">
        <v>61</v>
      </c>
      <c r="AA48" t="s">
        <v>62</v>
      </c>
      <c r="AF48" t="s">
        <v>104</v>
      </c>
    </row>
    <row r="49" spans="1:32" hidden="1" x14ac:dyDescent="0.35">
      <c r="A49" t="s">
        <v>163</v>
      </c>
      <c r="B49" t="s">
        <v>41</v>
      </c>
      <c r="C49" t="s">
        <v>42</v>
      </c>
      <c r="D49" t="s">
        <v>43</v>
      </c>
      <c r="E49" t="s">
        <v>44</v>
      </c>
      <c r="F49" t="s">
        <v>105</v>
      </c>
      <c r="G49" t="s">
        <v>106</v>
      </c>
      <c r="H49" t="s">
        <v>84</v>
      </c>
      <c r="I49" t="s">
        <v>107</v>
      </c>
      <c r="J49" t="s">
        <v>108</v>
      </c>
      <c r="K49" t="s">
        <v>109</v>
      </c>
      <c r="N49" t="s">
        <v>51</v>
      </c>
      <c r="O49" t="s">
        <v>52</v>
      </c>
      <c r="P49" t="s">
        <v>53</v>
      </c>
      <c r="Q49" t="s">
        <v>1988</v>
      </c>
      <c r="R49" t="s">
        <v>1989</v>
      </c>
      <c r="S49" t="s">
        <v>1990</v>
      </c>
      <c r="T49" t="s">
        <v>169</v>
      </c>
      <c r="U49" t="s">
        <v>111</v>
      </c>
      <c r="V49">
        <f>IF(AND(SUM(IF('Consulta de contratos'!$K$1="",0,1),IF('Consulta de contratos'!$K$2="",0,1),IF('Consulta de contratos'!$K$3="",0,1),IF('Consulta de contratos'!$K$4="",0,1),IF('Consulta de contratos'!$K$5="",0,1),IF('Consulta de contratos'!$K$6="",0,1))&gt;0,OR('Consulta de contratos'!$K$1="",A49='Consulta de contratos'!$K$1),OR('Consulta de contratos'!$K$2="",I49='Consulta de contratos'!$K$2),OR('Consulta de contratos'!$K$3="",C49='Consulta de contratos'!$K$3),OR('Consulta de contratos'!$K$4="",D49='Consulta de contratos'!$K$4),OR('Consulta de contratos'!$K$5="",E49='Consulta de contratos'!$K$5),OR('Consulta de contratos'!$K$6="",IFERROR(ISNUMBER(SEARCH("|"&amp;'Consulta de contratos'!$K$6&amp;"|",AF49)),FALSE))),1,0)</f>
        <v>0</v>
      </c>
      <c r="W49">
        <f>IF(V49=1,SUM($V$2:V49),0)</f>
        <v>0</v>
      </c>
      <c r="X49" t="s">
        <v>112</v>
      </c>
      <c r="Y49" t="s">
        <v>113</v>
      </c>
      <c r="Z49" t="s">
        <v>114</v>
      </c>
      <c r="AA49" t="s">
        <v>62</v>
      </c>
      <c r="AF49" t="s">
        <v>115</v>
      </c>
    </row>
    <row r="50" spans="1:32" hidden="1" x14ac:dyDescent="0.35">
      <c r="A50" t="s">
        <v>170</v>
      </c>
      <c r="B50" t="s">
        <v>41</v>
      </c>
      <c r="C50" t="s">
        <v>42</v>
      </c>
      <c r="D50" t="s">
        <v>43</v>
      </c>
      <c r="E50" t="s">
        <v>44</v>
      </c>
      <c r="F50" t="s">
        <v>45</v>
      </c>
      <c r="G50" t="s">
        <v>46</v>
      </c>
      <c r="H50" t="s">
        <v>47</v>
      </c>
      <c r="I50" t="s">
        <v>48</v>
      </c>
      <c r="J50" t="s">
        <v>49</v>
      </c>
      <c r="K50" t="s">
        <v>50</v>
      </c>
      <c r="L50">
        <v>44866</v>
      </c>
      <c r="M50" s="1">
        <v>47057</v>
      </c>
      <c r="N50" t="s">
        <v>51</v>
      </c>
      <c r="O50" t="s">
        <v>52</v>
      </c>
      <c r="P50" t="s">
        <v>53</v>
      </c>
      <c r="Q50" t="s">
        <v>54</v>
      </c>
      <c r="R50" t="s">
        <v>55</v>
      </c>
      <c r="S50" t="s">
        <v>56</v>
      </c>
      <c r="T50" t="s">
        <v>171</v>
      </c>
      <c r="U50" t="s">
        <v>58</v>
      </c>
      <c r="V50">
        <f>IF(AND(SUM(IF('Consulta de contratos'!$K$1="",0,1),IF('Consulta de contratos'!$K$2="",0,1),IF('Consulta de contratos'!$K$3="",0,1),IF('Consulta de contratos'!$K$4="",0,1),IF('Consulta de contratos'!$K$5="",0,1),IF('Consulta de contratos'!$K$6="",0,1))&gt;0,OR('Consulta de contratos'!$K$1="",A50='Consulta de contratos'!$K$1),OR('Consulta de contratos'!$K$2="",I50='Consulta de contratos'!$K$2),OR('Consulta de contratos'!$K$3="",C50='Consulta de contratos'!$K$3),OR('Consulta de contratos'!$K$4="",D50='Consulta de contratos'!$K$4),OR('Consulta de contratos'!$K$5="",E50='Consulta de contratos'!$K$5),OR('Consulta de contratos'!$K$6="",IFERROR(ISNUMBER(SEARCH("|"&amp;'Consulta de contratos'!$K$6&amp;"|",AF50)),FALSE))),1,0)</f>
        <v>0</v>
      </c>
      <c r="W50">
        <f>IF(V50=1,SUM($V$2:V50),0)</f>
        <v>0</v>
      </c>
      <c r="X50" t="s">
        <v>59</v>
      </c>
      <c r="Y50" t="s">
        <v>60</v>
      </c>
      <c r="Z50" t="s">
        <v>61</v>
      </c>
      <c r="AA50" t="s">
        <v>62</v>
      </c>
      <c r="AF50" t="s">
        <v>63</v>
      </c>
    </row>
    <row r="51" spans="1:32" x14ac:dyDescent="0.35">
      <c r="A51" t="s">
        <v>170</v>
      </c>
      <c r="B51" t="s">
        <v>41</v>
      </c>
      <c r="C51" t="s">
        <v>42</v>
      </c>
      <c r="D51" t="s">
        <v>43</v>
      </c>
      <c r="E51" t="s">
        <v>44</v>
      </c>
      <c r="F51" t="s">
        <v>45</v>
      </c>
      <c r="G51" t="s">
        <v>46</v>
      </c>
      <c r="H51" t="s">
        <v>64</v>
      </c>
      <c r="I51" t="s">
        <v>65</v>
      </c>
      <c r="J51" t="s">
        <v>66</v>
      </c>
      <c r="K51" t="s">
        <v>67</v>
      </c>
      <c r="L51">
        <v>44866</v>
      </c>
      <c r="M51" s="1">
        <v>47057</v>
      </c>
      <c r="N51" t="s">
        <v>51</v>
      </c>
      <c r="O51" t="s">
        <v>52</v>
      </c>
      <c r="P51" t="s">
        <v>53</v>
      </c>
      <c r="Q51" t="s">
        <v>68</v>
      </c>
      <c r="R51" t="s">
        <v>55</v>
      </c>
      <c r="S51" t="s">
        <v>56</v>
      </c>
      <c r="T51" t="s">
        <v>172</v>
      </c>
      <c r="U51" t="s">
        <v>70</v>
      </c>
      <c r="V51">
        <f>IF(AND(SUM(IF('Consulta de contratos'!$K$1="",0,1),IF('Consulta de contratos'!$K$2="",0,1),IF('Consulta de contratos'!$K$3="",0,1),IF('Consulta de contratos'!$K$4="",0,1),IF('Consulta de contratos'!$K$5="",0,1),IF('Consulta de contratos'!$K$6="",0,1))&gt;0,OR('Consulta de contratos'!$K$1="",A51='Consulta de contratos'!$K$1),OR('Consulta de contratos'!$K$2="",I51='Consulta de contratos'!$K$2),OR('Consulta de contratos'!$K$3="",C51='Consulta de contratos'!$K$3),OR('Consulta de contratos'!$K$4="",D51='Consulta de contratos'!$K$4),OR('Consulta de contratos'!$K$5="",E51='Consulta de contratos'!$K$5),OR('Consulta de contratos'!$K$6="",IFERROR(ISNUMBER(SEARCH("|"&amp;'Consulta de contratos'!$K$6&amp;"|",AF51)),FALSE))),1,0)</f>
        <v>0</v>
      </c>
      <c r="W51">
        <f>IF(V51=1,SUM($V$2:V51),0)</f>
        <v>0</v>
      </c>
      <c r="X51" t="s">
        <v>59</v>
      </c>
      <c r="Y51" t="s">
        <v>65</v>
      </c>
      <c r="Z51" t="s">
        <v>71</v>
      </c>
      <c r="AA51" t="s">
        <v>62</v>
      </c>
      <c r="AF51" t="s">
        <v>72</v>
      </c>
    </row>
    <row r="52" spans="1:32" hidden="1" x14ac:dyDescent="0.35">
      <c r="A52" t="s">
        <v>170</v>
      </c>
      <c r="B52" t="s">
        <v>41</v>
      </c>
      <c r="C52" t="s">
        <v>42</v>
      </c>
      <c r="D52" t="s">
        <v>43</v>
      </c>
      <c r="E52" t="s">
        <v>44</v>
      </c>
      <c r="F52" t="s">
        <v>45</v>
      </c>
      <c r="G52" t="s">
        <v>46</v>
      </c>
      <c r="H52" t="s">
        <v>73</v>
      </c>
      <c r="I52" t="s">
        <v>74</v>
      </c>
      <c r="J52" t="s">
        <v>75</v>
      </c>
      <c r="K52" t="s">
        <v>67</v>
      </c>
      <c r="L52">
        <v>44866</v>
      </c>
      <c r="M52" s="1">
        <v>47057</v>
      </c>
      <c r="N52" t="s">
        <v>51</v>
      </c>
      <c r="O52" t="s">
        <v>52</v>
      </c>
      <c r="P52" t="s">
        <v>53</v>
      </c>
      <c r="Q52" t="s">
        <v>76</v>
      </c>
      <c r="R52" t="s">
        <v>55</v>
      </c>
      <c r="S52" t="s">
        <v>56</v>
      </c>
      <c r="T52" t="s">
        <v>173</v>
      </c>
      <c r="U52" t="s">
        <v>78</v>
      </c>
      <c r="V52">
        <f>IF(AND(SUM(IF('Consulta de contratos'!$K$1="",0,1),IF('Consulta de contratos'!$K$2="",0,1),IF('Consulta de contratos'!$K$3="",0,1),IF('Consulta de contratos'!$K$4="",0,1),IF('Consulta de contratos'!$K$5="",0,1),IF('Consulta de contratos'!$K$6="",0,1))&gt;0,OR('Consulta de contratos'!$K$1="",A52='Consulta de contratos'!$K$1),OR('Consulta de contratos'!$K$2="",I52='Consulta de contratos'!$K$2),OR('Consulta de contratos'!$K$3="",C52='Consulta de contratos'!$K$3),OR('Consulta de contratos'!$K$4="",D52='Consulta de contratos'!$K$4),OR('Consulta de contratos'!$K$5="",E52='Consulta de contratos'!$K$5),OR('Consulta de contratos'!$K$6="",IFERROR(ISNUMBER(SEARCH("|"&amp;'Consulta de contratos'!$K$6&amp;"|",AF52)),FALSE))),1,0)</f>
        <v>0</v>
      </c>
      <c r="W52">
        <f>IF(V52=1,SUM($V$2:V52),0)</f>
        <v>0</v>
      </c>
      <c r="X52" t="s">
        <v>59</v>
      </c>
      <c r="Y52" t="s">
        <v>79</v>
      </c>
      <c r="Z52" t="s">
        <v>80</v>
      </c>
      <c r="AA52" t="s">
        <v>62</v>
      </c>
      <c r="AF52" t="s">
        <v>81</v>
      </c>
    </row>
    <row r="53" spans="1:32" hidden="1" x14ac:dyDescent="0.35">
      <c r="A53" t="s">
        <v>170</v>
      </c>
      <c r="B53" t="s">
        <v>41</v>
      </c>
      <c r="C53" t="s">
        <v>42</v>
      </c>
      <c r="D53" t="s">
        <v>43</v>
      </c>
      <c r="E53" t="s">
        <v>44</v>
      </c>
      <c r="F53" t="s">
        <v>82</v>
      </c>
      <c r="G53" t="s">
        <v>83</v>
      </c>
      <c r="H53" t="s">
        <v>84</v>
      </c>
      <c r="I53" t="s">
        <v>85</v>
      </c>
      <c r="J53" t="s">
        <v>86</v>
      </c>
      <c r="K53" t="s">
        <v>87</v>
      </c>
      <c r="M53">
        <v>46850</v>
      </c>
      <c r="N53" t="s">
        <v>51</v>
      </c>
      <c r="O53" t="s">
        <v>52</v>
      </c>
      <c r="P53" t="s">
        <v>53</v>
      </c>
      <c r="R53" t="s">
        <v>88</v>
      </c>
      <c r="S53" t="s">
        <v>89</v>
      </c>
      <c r="T53" t="s">
        <v>174</v>
      </c>
      <c r="U53" t="s">
        <v>91</v>
      </c>
      <c r="V53">
        <f>IF(AND(SUM(IF('Consulta de contratos'!$K$1="",0,1),IF('Consulta de contratos'!$K$2="",0,1),IF('Consulta de contratos'!$K$3="",0,1),IF('Consulta de contratos'!$K$4="",0,1),IF('Consulta de contratos'!$K$5="",0,1),IF('Consulta de contratos'!$K$6="",0,1))&gt;0,OR('Consulta de contratos'!$K$1="",A53='Consulta de contratos'!$K$1),OR('Consulta de contratos'!$K$2="",I53='Consulta de contratos'!$K$2),OR('Consulta de contratos'!$K$3="",C53='Consulta de contratos'!$K$3),OR('Consulta de contratos'!$K$4="",D53='Consulta de contratos'!$K$4),OR('Consulta de contratos'!$K$5="",E53='Consulta de contratos'!$K$5),OR('Consulta de contratos'!$K$6="",IFERROR(ISNUMBER(SEARCH("|"&amp;'Consulta de contratos'!$K$6&amp;"|",AF53)),FALSE))),1,0)</f>
        <v>0</v>
      </c>
      <c r="W53">
        <f>IF(V53=1,SUM($V$2:V53),0)</f>
        <v>0</v>
      </c>
      <c r="X53" t="s">
        <v>59</v>
      </c>
      <c r="Y53" t="s">
        <v>85</v>
      </c>
      <c r="Z53" t="s">
        <v>71</v>
      </c>
      <c r="AA53" t="s">
        <v>62</v>
      </c>
      <c r="AF53" t="s">
        <v>92</v>
      </c>
    </row>
    <row r="54" spans="1:32" hidden="1" x14ac:dyDescent="0.35">
      <c r="A54" t="s">
        <v>170</v>
      </c>
      <c r="B54" t="s">
        <v>41</v>
      </c>
      <c r="C54" t="s">
        <v>42</v>
      </c>
      <c r="D54" t="s">
        <v>43</v>
      </c>
      <c r="E54" t="s">
        <v>44</v>
      </c>
      <c r="F54" t="s">
        <v>93</v>
      </c>
      <c r="G54" t="s">
        <v>94</v>
      </c>
      <c r="H54" t="s">
        <v>84</v>
      </c>
      <c r="I54" t="s">
        <v>95</v>
      </c>
      <c r="J54" t="s">
        <v>96</v>
      </c>
      <c r="K54" t="s">
        <v>97</v>
      </c>
      <c r="L54">
        <v>45622</v>
      </c>
      <c r="M54">
        <v>47447</v>
      </c>
      <c r="N54" t="s">
        <v>51</v>
      </c>
      <c r="O54" t="s">
        <v>52</v>
      </c>
      <c r="P54" t="s">
        <v>53</v>
      </c>
      <c r="Q54" t="s">
        <v>98</v>
      </c>
      <c r="R54" t="s">
        <v>99</v>
      </c>
      <c r="S54" t="s">
        <v>100</v>
      </c>
      <c r="T54" t="s">
        <v>175</v>
      </c>
      <c r="U54" t="s">
        <v>102</v>
      </c>
      <c r="V54">
        <f>IF(AND(SUM(IF('Consulta de contratos'!$K$1="",0,1),IF('Consulta de contratos'!$K$2="",0,1),IF('Consulta de contratos'!$K$3="",0,1),IF('Consulta de contratos'!$K$4="",0,1),IF('Consulta de contratos'!$K$5="",0,1),IF('Consulta de contratos'!$K$6="",0,1))&gt;0,OR('Consulta de contratos'!$K$1="",A54='Consulta de contratos'!$K$1),OR('Consulta de contratos'!$K$2="",I54='Consulta de contratos'!$K$2),OR('Consulta de contratos'!$K$3="",C54='Consulta de contratos'!$K$3),OR('Consulta de contratos'!$K$4="",D54='Consulta de contratos'!$K$4),OR('Consulta de contratos'!$K$5="",E54='Consulta de contratos'!$K$5),OR('Consulta de contratos'!$K$6="",IFERROR(ISNUMBER(SEARCH("|"&amp;'Consulta de contratos'!$K$6&amp;"|",AF54)),FALSE))),1,0)</f>
        <v>0</v>
      </c>
      <c r="W54">
        <f>IF(V54=1,SUM($V$2:V54),0)</f>
        <v>0</v>
      </c>
      <c r="X54" t="s">
        <v>59</v>
      </c>
      <c r="Y54" t="s">
        <v>103</v>
      </c>
      <c r="Z54" t="s">
        <v>61</v>
      </c>
      <c r="AA54" t="s">
        <v>62</v>
      </c>
      <c r="AF54" t="s">
        <v>104</v>
      </c>
    </row>
    <row r="55" spans="1:32" hidden="1" x14ac:dyDescent="0.35">
      <c r="A55" t="s">
        <v>170</v>
      </c>
      <c r="B55" t="s">
        <v>41</v>
      </c>
      <c r="C55" t="s">
        <v>42</v>
      </c>
      <c r="D55" t="s">
        <v>43</v>
      </c>
      <c r="E55" t="s">
        <v>44</v>
      </c>
      <c r="F55" t="s">
        <v>105</v>
      </c>
      <c r="G55" t="s">
        <v>106</v>
      </c>
      <c r="H55" t="s">
        <v>84</v>
      </c>
      <c r="I55" t="s">
        <v>107</v>
      </c>
      <c r="J55" t="s">
        <v>108</v>
      </c>
      <c r="K55" t="s">
        <v>109</v>
      </c>
      <c r="N55" t="s">
        <v>51</v>
      </c>
      <c r="O55" t="s">
        <v>52</v>
      </c>
      <c r="P55" t="s">
        <v>53</v>
      </c>
      <c r="Q55" t="s">
        <v>1988</v>
      </c>
      <c r="R55" t="s">
        <v>1989</v>
      </c>
      <c r="S55" t="s">
        <v>1990</v>
      </c>
      <c r="T55" t="s">
        <v>176</v>
      </c>
      <c r="U55" t="s">
        <v>111</v>
      </c>
      <c r="V55">
        <f>IF(AND(SUM(IF('Consulta de contratos'!$K$1="",0,1),IF('Consulta de contratos'!$K$2="",0,1),IF('Consulta de contratos'!$K$3="",0,1),IF('Consulta de contratos'!$K$4="",0,1),IF('Consulta de contratos'!$K$5="",0,1),IF('Consulta de contratos'!$K$6="",0,1))&gt;0,OR('Consulta de contratos'!$K$1="",A55='Consulta de contratos'!$K$1),OR('Consulta de contratos'!$K$2="",I55='Consulta de contratos'!$K$2),OR('Consulta de contratos'!$K$3="",C55='Consulta de contratos'!$K$3),OR('Consulta de contratos'!$K$4="",D55='Consulta de contratos'!$K$4),OR('Consulta de contratos'!$K$5="",E55='Consulta de contratos'!$K$5),OR('Consulta de contratos'!$K$6="",IFERROR(ISNUMBER(SEARCH("|"&amp;'Consulta de contratos'!$K$6&amp;"|",AF55)),FALSE))),1,0)</f>
        <v>0</v>
      </c>
      <c r="W55">
        <f>IF(V55=1,SUM($V$2:V55),0)</f>
        <v>0</v>
      </c>
      <c r="X55" t="s">
        <v>112</v>
      </c>
      <c r="Y55" t="s">
        <v>113</v>
      </c>
      <c r="Z55" t="s">
        <v>114</v>
      </c>
      <c r="AA55" t="s">
        <v>62</v>
      </c>
      <c r="AF55" t="s">
        <v>115</v>
      </c>
    </row>
    <row r="56" spans="1:32" hidden="1" x14ac:dyDescent="0.35">
      <c r="A56" t="s">
        <v>177</v>
      </c>
      <c r="B56" t="s">
        <v>41</v>
      </c>
      <c r="C56" t="s">
        <v>42</v>
      </c>
      <c r="D56" t="s">
        <v>43</v>
      </c>
      <c r="E56" t="s">
        <v>44</v>
      </c>
      <c r="F56" t="s">
        <v>45</v>
      </c>
      <c r="G56" t="s">
        <v>46</v>
      </c>
      <c r="H56" t="s">
        <v>47</v>
      </c>
      <c r="I56" t="s">
        <v>48</v>
      </c>
      <c r="J56" t="s">
        <v>49</v>
      </c>
      <c r="K56" t="s">
        <v>50</v>
      </c>
      <c r="L56">
        <v>44866</v>
      </c>
      <c r="M56" s="1">
        <v>47057</v>
      </c>
      <c r="N56" t="s">
        <v>51</v>
      </c>
      <c r="O56" t="s">
        <v>52</v>
      </c>
      <c r="P56" t="s">
        <v>53</v>
      </c>
      <c r="Q56" t="s">
        <v>54</v>
      </c>
      <c r="R56" t="s">
        <v>55</v>
      </c>
      <c r="S56" t="s">
        <v>56</v>
      </c>
      <c r="T56" t="s">
        <v>178</v>
      </c>
      <c r="U56" t="s">
        <v>58</v>
      </c>
      <c r="V56">
        <f>IF(AND(SUM(IF('Consulta de contratos'!$K$1="",0,1),IF('Consulta de contratos'!$K$2="",0,1),IF('Consulta de contratos'!$K$3="",0,1),IF('Consulta de contratos'!$K$4="",0,1),IF('Consulta de contratos'!$K$5="",0,1),IF('Consulta de contratos'!$K$6="",0,1))&gt;0,OR('Consulta de contratos'!$K$1="",A56='Consulta de contratos'!$K$1),OR('Consulta de contratos'!$K$2="",I56='Consulta de contratos'!$K$2),OR('Consulta de contratos'!$K$3="",C56='Consulta de contratos'!$K$3),OR('Consulta de contratos'!$K$4="",D56='Consulta de contratos'!$K$4),OR('Consulta de contratos'!$K$5="",E56='Consulta de contratos'!$K$5),OR('Consulta de contratos'!$K$6="",IFERROR(ISNUMBER(SEARCH("|"&amp;'Consulta de contratos'!$K$6&amp;"|",AF56)),FALSE))),1,0)</f>
        <v>0</v>
      </c>
      <c r="W56">
        <f>IF(V56=1,SUM($V$2:V56),0)</f>
        <v>0</v>
      </c>
      <c r="X56" t="s">
        <v>59</v>
      </c>
      <c r="Y56" t="s">
        <v>60</v>
      </c>
      <c r="Z56" t="s">
        <v>61</v>
      </c>
      <c r="AA56" t="s">
        <v>62</v>
      </c>
      <c r="AF56" t="s">
        <v>63</v>
      </c>
    </row>
    <row r="57" spans="1:32" x14ac:dyDescent="0.35">
      <c r="A57" t="s">
        <v>177</v>
      </c>
      <c r="B57" t="s">
        <v>41</v>
      </c>
      <c r="C57" t="s">
        <v>42</v>
      </c>
      <c r="D57" t="s">
        <v>43</v>
      </c>
      <c r="E57" t="s">
        <v>44</v>
      </c>
      <c r="F57" t="s">
        <v>45</v>
      </c>
      <c r="G57" t="s">
        <v>46</v>
      </c>
      <c r="H57" t="s">
        <v>64</v>
      </c>
      <c r="I57" t="s">
        <v>65</v>
      </c>
      <c r="J57" t="s">
        <v>66</v>
      </c>
      <c r="K57" t="s">
        <v>67</v>
      </c>
      <c r="L57">
        <v>44866</v>
      </c>
      <c r="M57" s="1">
        <v>47057</v>
      </c>
      <c r="N57" t="s">
        <v>51</v>
      </c>
      <c r="O57" t="s">
        <v>52</v>
      </c>
      <c r="P57" t="s">
        <v>53</v>
      </c>
      <c r="Q57" t="s">
        <v>68</v>
      </c>
      <c r="R57" t="s">
        <v>55</v>
      </c>
      <c r="S57" t="s">
        <v>56</v>
      </c>
      <c r="T57" t="s">
        <v>179</v>
      </c>
      <c r="U57" t="s">
        <v>70</v>
      </c>
      <c r="V57">
        <f>IF(AND(SUM(IF('Consulta de contratos'!$K$1="",0,1),IF('Consulta de contratos'!$K$2="",0,1),IF('Consulta de contratos'!$K$3="",0,1),IF('Consulta de contratos'!$K$4="",0,1),IF('Consulta de contratos'!$K$5="",0,1),IF('Consulta de contratos'!$K$6="",0,1))&gt;0,OR('Consulta de contratos'!$K$1="",A57='Consulta de contratos'!$K$1),OR('Consulta de contratos'!$K$2="",I57='Consulta de contratos'!$K$2),OR('Consulta de contratos'!$K$3="",C57='Consulta de contratos'!$K$3),OR('Consulta de contratos'!$K$4="",D57='Consulta de contratos'!$K$4),OR('Consulta de contratos'!$K$5="",E57='Consulta de contratos'!$K$5),OR('Consulta de contratos'!$K$6="",IFERROR(ISNUMBER(SEARCH("|"&amp;'Consulta de contratos'!$K$6&amp;"|",AF57)),FALSE))),1,0)</f>
        <v>0</v>
      </c>
      <c r="W57">
        <f>IF(V57=1,SUM($V$2:V57),0)</f>
        <v>0</v>
      </c>
      <c r="X57" t="s">
        <v>59</v>
      </c>
      <c r="Y57" t="s">
        <v>65</v>
      </c>
      <c r="Z57" t="s">
        <v>71</v>
      </c>
      <c r="AA57" t="s">
        <v>62</v>
      </c>
      <c r="AF57" t="s">
        <v>72</v>
      </c>
    </row>
    <row r="58" spans="1:32" hidden="1" x14ac:dyDescent="0.35">
      <c r="A58" t="s">
        <v>177</v>
      </c>
      <c r="B58" t="s">
        <v>41</v>
      </c>
      <c r="C58" t="s">
        <v>42</v>
      </c>
      <c r="D58" t="s">
        <v>43</v>
      </c>
      <c r="E58" t="s">
        <v>44</v>
      </c>
      <c r="F58" t="s">
        <v>45</v>
      </c>
      <c r="G58" t="s">
        <v>46</v>
      </c>
      <c r="H58" t="s">
        <v>73</v>
      </c>
      <c r="I58" t="s">
        <v>74</v>
      </c>
      <c r="J58" t="s">
        <v>75</v>
      </c>
      <c r="K58" t="s">
        <v>67</v>
      </c>
      <c r="L58">
        <v>44866</v>
      </c>
      <c r="M58" s="1">
        <v>47057</v>
      </c>
      <c r="N58" t="s">
        <v>51</v>
      </c>
      <c r="O58" t="s">
        <v>52</v>
      </c>
      <c r="P58" t="s">
        <v>53</v>
      </c>
      <c r="Q58" t="s">
        <v>76</v>
      </c>
      <c r="R58" t="s">
        <v>55</v>
      </c>
      <c r="S58" t="s">
        <v>56</v>
      </c>
      <c r="T58" t="s">
        <v>180</v>
      </c>
      <c r="U58" t="s">
        <v>78</v>
      </c>
      <c r="V58">
        <f>IF(AND(SUM(IF('Consulta de contratos'!$K$1="",0,1),IF('Consulta de contratos'!$K$2="",0,1),IF('Consulta de contratos'!$K$3="",0,1),IF('Consulta de contratos'!$K$4="",0,1),IF('Consulta de contratos'!$K$5="",0,1),IF('Consulta de contratos'!$K$6="",0,1))&gt;0,OR('Consulta de contratos'!$K$1="",A58='Consulta de contratos'!$K$1),OR('Consulta de contratos'!$K$2="",I58='Consulta de contratos'!$K$2),OR('Consulta de contratos'!$K$3="",C58='Consulta de contratos'!$K$3),OR('Consulta de contratos'!$K$4="",D58='Consulta de contratos'!$K$4),OR('Consulta de contratos'!$K$5="",E58='Consulta de contratos'!$K$5),OR('Consulta de contratos'!$K$6="",IFERROR(ISNUMBER(SEARCH("|"&amp;'Consulta de contratos'!$K$6&amp;"|",AF58)),FALSE))),1,0)</f>
        <v>0</v>
      </c>
      <c r="W58">
        <f>IF(V58=1,SUM($V$2:V58),0)</f>
        <v>0</v>
      </c>
      <c r="X58" t="s">
        <v>59</v>
      </c>
      <c r="Y58" t="s">
        <v>79</v>
      </c>
      <c r="Z58" t="s">
        <v>80</v>
      </c>
      <c r="AA58" t="s">
        <v>62</v>
      </c>
      <c r="AF58" t="s">
        <v>81</v>
      </c>
    </row>
    <row r="59" spans="1:32" hidden="1" x14ac:dyDescent="0.35">
      <c r="A59" t="s">
        <v>177</v>
      </c>
      <c r="B59" t="s">
        <v>41</v>
      </c>
      <c r="C59" t="s">
        <v>42</v>
      </c>
      <c r="D59" t="s">
        <v>43</v>
      </c>
      <c r="E59" t="s">
        <v>44</v>
      </c>
      <c r="F59" t="s">
        <v>82</v>
      </c>
      <c r="G59" t="s">
        <v>83</v>
      </c>
      <c r="H59" t="s">
        <v>84</v>
      </c>
      <c r="I59" t="s">
        <v>85</v>
      </c>
      <c r="J59" t="s">
        <v>86</v>
      </c>
      <c r="K59" t="s">
        <v>87</v>
      </c>
      <c r="M59">
        <v>46850</v>
      </c>
      <c r="N59" t="s">
        <v>51</v>
      </c>
      <c r="O59" t="s">
        <v>52</v>
      </c>
      <c r="P59" t="s">
        <v>53</v>
      </c>
      <c r="R59" t="s">
        <v>88</v>
      </c>
      <c r="S59" t="s">
        <v>89</v>
      </c>
      <c r="T59" t="s">
        <v>181</v>
      </c>
      <c r="U59" t="s">
        <v>91</v>
      </c>
      <c r="V59">
        <f>IF(AND(SUM(IF('Consulta de contratos'!$K$1="",0,1),IF('Consulta de contratos'!$K$2="",0,1),IF('Consulta de contratos'!$K$3="",0,1),IF('Consulta de contratos'!$K$4="",0,1),IF('Consulta de contratos'!$K$5="",0,1),IF('Consulta de contratos'!$K$6="",0,1))&gt;0,OR('Consulta de contratos'!$K$1="",A59='Consulta de contratos'!$K$1),OR('Consulta de contratos'!$K$2="",I59='Consulta de contratos'!$K$2),OR('Consulta de contratos'!$K$3="",C59='Consulta de contratos'!$K$3),OR('Consulta de contratos'!$K$4="",D59='Consulta de contratos'!$K$4),OR('Consulta de contratos'!$K$5="",E59='Consulta de contratos'!$K$5),OR('Consulta de contratos'!$K$6="",IFERROR(ISNUMBER(SEARCH("|"&amp;'Consulta de contratos'!$K$6&amp;"|",AF59)),FALSE))),1,0)</f>
        <v>0</v>
      </c>
      <c r="W59">
        <f>IF(V59=1,SUM($V$2:V59),0)</f>
        <v>0</v>
      </c>
      <c r="X59" t="s">
        <v>59</v>
      </c>
      <c r="Y59" t="s">
        <v>85</v>
      </c>
      <c r="Z59" t="s">
        <v>71</v>
      </c>
      <c r="AA59" t="s">
        <v>62</v>
      </c>
      <c r="AF59" t="s">
        <v>92</v>
      </c>
    </row>
    <row r="60" spans="1:32" hidden="1" x14ac:dyDescent="0.35">
      <c r="A60" t="s">
        <v>177</v>
      </c>
      <c r="B60" t="s">
        <v>41</v>
      </c>
      <c r="C60" t="s">
        <v>42</v>
      </c>
      <c r="D60" t="s">
        <v>43</v>
      </c>
      <c r="E60" t="s">
        <v>44</v>
      </c>
      <c r="F60" t="s">
        <v>93</v>
      </c>
      <c r="G60" t="s">
        <v>94</v>
      </c>
      <c r="H60" t="s">
        <v>84</v>
      </c>
      <c r="I60" t="s">
        <v>95</v>
      </c>
      <c r="J60" t="s">
        <v>96</v>
      </c>
      <c r="K60" t="s">
        <v>97</v>
      </c>
      <c r="L60">
        <v>45622</v>
      </c>
      <c r="M60">
        <v>47447</v>
      </c>
      <c r="N60" t="s">
        <v>51</v>
      </c>
      <c r="O60" t="s">
        <v>52</v>
      </c>
      <c r="P60" t="s">
        <v>53</v>
      </c>
      <c r="Q60" t="s">
        <v>98</v>
      </c>
      <c r="R60" t="s">
        <v>99</v>
      </c>
      <c r="S60" t="s">
        <v>100</v>
      </c>
      <c r="T60" t="s">
        <v>182</v>
      </c>
      <c r="U60" t="s">
        <v>102</v>
      </c>
      <c r="V60">
        <f>IF(AND(SUM(IF('Consulta de contratos'!$K$1="",0,1),IF('Consulta de contratos'!$K$2="",0,1),IF('Consulta de contratos'!$K$3="",0,1),IF('Consulta de contratos'!$K$4="",0,1),IF('Consulta de contratos'!$K$5="",0,1),IF('Consulta de contratos'!$K$6="",0,1))&gt;0,OR('Consulta de contratos'!$K$1="",A60='Consulta de contratos'!$K$1),OR('Consulta de contratos'!$K$2="",I60='Consulta de contratos'!$K$2),OR('Consulta de contratos'!$K$3="",C60='Consulta de contratos'!$K$3),OR('Consulta de contratos'!$K$4="",D60='Consulta de contratos'!$K$4),OR('Consulta de contratos'!$K$5="",E60='Consulta de contratos'!$K$5),OR('Consulta de contratos'!$K$6="",IFERROR(ISNUMBER(SEARCH("|"&amp;'Consulta de contratos'!$K$6&amp;"|",AF60)),FALSE))),1,0)</f>
        <v>0</v>
      </c>
      <c r="W60">
        <f>IF(V60=1,SUM($V$2:V60),0)</f>
        <v>0</v>
      </c>
      <c r="X60" t="s">
        <v>59</v>
      </c>
      <c r="Y60" t="s">
        <v>103</v>
      </c>
      <c r="Z60" t="s">
        <v>61</v>
      </c>
      <c r="AA60" t="s">
        <v>62</v>
      </c>
      <c r="AF60" t="s">
        <v>104</v>
      </c>
    </row>
    <row r="61" spans="1:32" hidden="1" x14ac:dyDescent="0.35">
      <c r="A61" t="s">
        <v>177</v>
      </c>
      <c r="B61" t="s">
        <v>41</v>
      </c>
      <c r="C61" t="s">
        <v>42</v>
      </c>
      <c r="D61" t="s">
        <v>43</v>
      </c>
      <c r="E61" t="s">
        <v>44</v>
      </c>
      <c r="F61" t="s">
        <v>105</v>
      </c>
      <c r="G61" t="s">
        <v>106</v>
      </c>
      <c r="H61" t="s">
        <v>84</v>
      </c>
      <c r="I61" t="s">
        <v>107</v>
      </c>
      <c r="J61" t="s">
        <v>108</v>
      </c>
      <c r="K61" t="s">
        <v>109</v>
      </c>
      <c r="N61" t="s">
        <v>51</v>
      </c>
      <c r="O61" t="s">
        <v>52</v>
      </c>
      <c r="P61" t="s">
        <v>53</v>
      </c>
      <c r="Q61" t="s">
        <v>1988</v>
      </c>
      <c r="R61" t="s">
        <v>1989</v>
      </c>
      <c r="S61" t="s">
        <v>1990</v>
      </c>
      <c r="T61" t="s">
        <v>183</v>
      </c>
      <c r="U61" t="s">
        <v>111</v>
      </c>
      <c r="V61">
        <f>IF(AND(SUM(IF('Consulta de contratos'!$K$1="",0,1),IF('Consulta de contratos'!$K$2="",0,1),IF('Consulta de contratos'!$K$3="",0,1),IF('Consulta de contratos'!$K$4="",0,1),IF('Consulta de contratos'!$K$5="",0,1),IF('Consulta de contratos'!$K$6="",0,1))&gt;0,OR('Consulta de contratos'!$K$1="",A61='Consulta de contratos'!$K$1),OR('Consulta de contratos'!$K$2="",I61='Consulta de contratos'!$K$2),OR('Consulta de contratos'!$K$3="",C61='Consulta de contratos'!$K$3),OR('Consulta de contratos'!$K$4="",D61='Consulta de contratos'!$K$4),OR('Consulta de contratos'!$K$5="",E61='Consulta de contratos'!$K$5),OR('Consulta de contratos'!$K$6="",IFERROR(ISNUMBER(SEARCH("|"&amp;'Consulta de contratos'!$K$6&amp;"|",AF61)),FALSE))),1,0)</f>
        <v>0</v>
      </c>
      <c r="W61">
        <f>IF(V61=1,SUM($V$2:V61),0)</f>
        <v>0</v>
      </c>
      <c r="X61" t="s">
        <v>112</v>
      </c>
      <c r="Y61" t="s">
        <v>113</v>
      </c>
      <c r="Z61" t="s">
        <v>114</v>
      </c>
      <c r="AA61" t="s">
        <v>62</v>
      </c>
      <c r="AF61" t="s">
        <v>115</v>
      </c>
    </row>
    <row r="62" spans="1:32" hidden="1" x14ac:dyDescent="0.35">
      <c r="A62" t="s">
        <v>184</v>
      </c>
      <c r="B62" t="s">
        <v>41</v>
      </c>
      <c r="C62" t="s">
        <v>42</v>
      </c>
      <c r="D62" t="s">
        <v>43</v>
      </c>
      <c r="E62" t="s">
        <v>44</v>
      </c>
      <c r="F62" t="s">
        <v>45</v>
      </c>
      <c r="G62" t="s">
        <v>46</v>
      </c>
      <c r="H62" t="s">
        <v>73</v>
      </c>
      <c r="I62" t="s">
        <v>74</v>
      </c>
      <c r="J62" t="s">
        <v>49</v>
      </c>
      <c r="K62" t="s">
        <v>50</v>
      </c>
      <c r="L62">
        <v>44866</v>
      </c>
      <c r="M62" s="1">
        <v>47057</v>
      </c>
      <c r="N62" t="s">
        <v>51</v>
      </c>
      <c r="O62" t="s">
        <v>52</v>
      </c>
      <c r="P62" t="s">
        <v>53</v>
      </c>
      <c r="R62" t="s">
        <v>55</v>
      </c>
      <c r="S62" t="s">
        <v>56</v>
      </c>
      <c r="T62" t="s">
        <v>185</v>
      </c>
      <c r="U62" t="s">
        <v>78</v>
      </c>
      <c r="V62">
        <f>IF(AND(SUM(IF('Consulta de contratos'!$K$1="",0,1),IF('Consulta de contratos'!$K$2="",0,1),IF('Consulta de contratos'!$K$3="",0,1),IF('Consulta de contratos'!$K$4="",0,1),IF('Consulta de contratos'!$K$5="",0,1),IF('Consulta de contratos'!$K$6="",0,1))&gt;0,OR('Consulta de contratos'!$K$1="",A62='Consulta de contratos'!$K$1),OR('Consulta de contratos'!$K$2="",I62='Consulta de contratos'!$K$2),OR('Consulta de contratos'!$K$3="",C62='Consulta de contratos'!$K$3),OR('Consulta de contratos'!$K$4="",D62='Consulta de contratos'!$K$4),OR('Consulta de contratos'!$K$5="",E62='Consulta de contratos'!$K$5),OR('Consulta de contratos'!$K$6="",IFERROR(ISNUMBER(SEARCH("|"&amp;'Consulta de contratos'!$K$6&amp;"|",AF62)),FALSE))),1,0)</f>
        <v>0</v>
      </c>
      <c r="W62">
        <f>IF(V62=1,SUM($V$2:V62),0)</f>
        <v>0</v>
      </c>
      <c r="X62" t="s">
        <v>59</v>
      </c>
      <c r="Y62" t="s">
        <v>79</v>
      </c>
      <c r="Z62" t="s">
        <v>80</v>
      </c>
      <c r="AA62" t="s">
        <v>62</v>
      </c>
      <c r="AF62" t="s">
        <v>81</v>
      </c>
    </row>
    <row r="63" spans="1:32" x14ac:dyDescent="0.35">
      <c r="A63" t="s">
        <v>184</v>
      </c>
      <c r="B63" t="s">
        <v>41</v>
      </c>
      <c r="C63" t="s">
        <v>42</v>
      </c>
      <c r="D63" t="s">
        <v>43</v>
      </c>
      <c r="E63" t="s">
        <v>44</v>
      </c>
      <c r="F63" t="s">
        <v>45</v>
      </c>
      <c r="G63" t="s">
        <v>46</v>
      </c>
      <c r="H63" t="s">
        <v>64</v>
      </c>
      <c r="I63" t="s">
        <v>65</v>
      </c>
      <c r="J63" t="s">
        <v>66</v>
      </c>
      <c r="K63" t="s">
        <v>67</v>
      </c>
      <c r="L63">
        <v>44866</v>
      </c>
      <c r="M63" s="1">
        <v>47057</v>
      </c>
      <c r="N63" t="s">
        <v>51</v>
      </c>
      <c r="O63" t="s">
        <v>52</v>
      </c>
      <c r="P63" t="s">
        <v>53</v>
      </c>
      <c r="Q63" t="s">
        <v>68</v>
      </c>
      <c r="R63" t="s">
        <v>55</v>
      </c>
      <c r="S63" t="s">
        <v>56</v>
      </c>
      <c r="T63" t="s">
        <v>186</v>
      </c>
      <c r="U63" t="s">
        <v>70</v>
      </c>
      <c r="V63">
        <f>IF(AND(SUM(IF('Consulta de contratos'!$K$1="",0,1),IF('Consulta de contratos'!$K$2="",0,1),IF('Consulta de contratos'!$K$3="",0,1),IF('Consulta de contratos'!$K$4="",0,1),IF('Consulta de contratos'!$K$5="",0,1),IF('Consulta de contratos'!$K$6="",0,1))&gt;0,OR('Consulta de contratos'!$K$1="",A63='Consulta de contratos'!$K$1),OR('Consulta de contratos'!$K$2="",I63='Consulta de contratos'!$K$2),OR('Consulta de contratos'!$K$3="",C63='Consulta de contratos'!$K$3),OR('Consulta de contratos'!$K$4="",D63='Consulta de contratos'!$K$4),OR('Consulta de contratos'!$K$5="",E63='Consulta de contratos'!$K$5),OR('Consulta de contratos'!$K$6="",IFERROR(ISNUMBER(SEARCH("|"&amp;'Consulta de contratos'!$K$6&amp;"|",AF63)),FALSE))),1,0)</f>
        <v>0</v>
      </c>
      <c r="W63">
        <f>IF(V63=1,SUM($V$2:V63),0)</f>
        <v>0</v>
      </c>
      <c r="X63" t="s">
        <v>59</v>
      </c>
      <c r="Y63" t="s">
        <v>65</v>
      </c>
      <c r="Z63" t="s">
        <v>71</v>
      </c>
      <c r="AA63" t="s">
        <v>62</v>
      </c>
      <c r="AF63" t="s">
        <v>72</v>
      </c>
    </row>
    <row r="64" spans="1:32" hidden="1" x14ac:dyDescent="0.35">
      <c r="A64" t="s">
        <v>184</v>
      </c>
      <c r="B64" t="s">
        <v>41</v>
      </c>
      <c r="C64" t="s">
        <v>42</v>
      </c>
      <c r="D64" t="s">
        <v>43</v>
      </c>
      <c r="E64" t="s">
        <v>44</v>
      </c>
      <c r="F64" t="s">
        <v>45</v>
      </c>
      <c r="G64" t="s">
        <v>46</v>
      </c>
      <c r="H64" t="s">
        <v>73</v>
      </c>
      <c r="I64" t="s">
        <v>74</v>
      </c>
      <c r="J64" t="s">
        <v>75</v>
      </c>
      <c r="K64" t="s">
        <v>67</v>
      </c>
      <c r="L64">
        <v>44866</v>
      </c>
      <c r="M64" s="1">
        <v>47057</v>
      </c>
      <c r="N64" t="s">
        <v>51</v>
      </c>
      <c r="O64" t="s">
        <v>52</v>
      </c>
      <c r="P64" t="s">
        <v>53</v>
      </c>
      <c r="Q64" t="s">
        <v>76</v>
      </c>
      <c r="R64" t="s">
        <v>55</v>
      </c>
      <c r="S64" t="s">
        <v>56</v>
      </c>
      <c r="T64" t="s">
        <v>187</v>
      </c>
      <c r="U64" t="s">
        <v>78</v>
      </c>
      <c r="V64">
        <f>IF(AND(SUM(IF('Consulta de contratos'!$K$1="",0,1),IF('Consulta de contratos'!$K$2="",0,1),IF('Consulta de contratos'!$K$3="",0,1),IF('Consulta de contratos'!$K$4="",0,1),IF('Consulta de contratos'!$K$5="",0,1),IF('Consulta de contratos'!$K$6="",0,1))&gt;0,OR('Consulta de contratos'!$K$1="",A64='Consulta de contratos'!$K$1),OR('Consulta de contratos'!$K$2="",I64='Consulta de contratos'!$K$2),OR('Consulta de contratos'!$K$3="",C64='Consulta de contratos'!$K$3),OR('Consulta de contratos'!$K$4="",D64='Consulta de contratos'!$K$4),OR('Consulta de contratos'!$K$5="",E64='Consulta de contratos'!$K$5),OR('Consulta de contratos'!$K$6="",IFERROR(ISNUMBER(SEARCH("|"&amp;'Consulta de contratos'!$K$6&amp;"|",AF64)),FALSE))),1,0)</f>
        <v>0</v>
      </c>
      <c r="W64">
        <f>IF(V64=1,SUM($V$2:V64),0)</f>
        <v>0</v>
      </c>
      <c r="X64" t="s">
        <v>59</v>
      </c>
      <c r="Y64" t="s">
        <v>79</v>
      </c>
      <c r="Z64" t="s">
        <v>80</v>
      </c>
      <c r="AA64" t="s">
        <v>62</v>
      </c>
      <c r="AF64" t="s">
        <v>81</v>
      </c>
    </row>
    <row r="65" spans="1:32" hidden="1" x14ac:dyDescent="0.35">
      <c r="A65" t="s">
        <v>184</v>
      </c>
      <c r="B65" t="s">
        <v>41</v>
      </c>
      <c r="C65" t="s">
        <v>42</v>
      </c>
      <c r="D65" t="s">
        <v>43</v>
      </c>
      <c r="E65" t="s">
        <v>44</v>
      </c>
      <c r="F65" t="s">
        <v>82</v>
      </c>
      <c r="G65" t="s">
        <v>83</v>
      </c>
      <c r="H65" t="s">
        <v>84</v>
      </c>
      <c r="I65" t="s">
        <v>85</v>
      </c>
      <c r="J65" t="s">
        <v>86</v>
      </c>
      <c r="K65" t="s">
        <v>87</v>
      </c>
      <c r="M65">
        <v>46850</v>
      </c>
      <c r="N65" t="s">
        <v>51</v>
      </c>
      <c r="O65" t="s">
        <v>52</v>
      </c>
      <c r="P65" t="s">
        <v>53</v>
      </c>
      <c r="R65" t="s">
        <v>88</v>
      </c>
      <c r="S65" t="s">
        <v>89</v>
      </c>
      <c r="T65" t="s">
        <v>188</v>
      </c>
      <c r="U65" t="s">
        <v>91</v>
      </c>
      <c r="V65">
        <f>IF(AND(SUM(IF('Consulta de contratos'!$K$1="",0,1),IF('Consulta de contratos'!$K$2="",0,1),IF('Consulta de contratos'!$K$3="",0,1),IF('Consulta de contratos'!$K$4="",0,1),IF('Consulta de contratos'!$K$5="",0,1),IF('Consulta de contratos'!$K$6="",0,1))&gt;0,OR('Consulta de contratos'!$K$1="",A65='Consulta de contratos'!$K$1),OR('Consulta de contratos'!$K$2="",I65='Consulta de contratos'!$K$2),OR('Consulta de contratos'!$K$3="",C65='Consulta de contratos'!$K$3),OR('Consulta de contratos'!$K$4="",D65='Consulta de contratos'!$K$4),OR('Consulta de contratos'!$K$5="",E65='Consulta de contratos'!$K$5),OR('Consulta de contratos'!$K$6="",IFERROR(ISNUMBER(SEARCH("|"&amp;'Consulta de contratos'!$K$6&amp;"|",AF65)),FALSE))),1,0)</f>
        <v>0</v>
      </c>
      <c r="W65">
        <f>IF(V65=1,SUM($V$2:V65),0)</f>
        <v>0</v>
      </c>
      <c r="X65" t="s">
        <v>59</v>
      </c>
      <c r="Y65" t="s">
        <v>85</v>
      </c>
      <c r="Z65" t="s">
        <v>71</v>
      </c>
      <c r="AA65" t="s">
        <v>62</v>
      </c>
      <c r="AF65" t="s">
        <v>92</v>
      </c>
    </row>
    <row r="66" spans="1:32" hidden="1" x14ac:dyDescent="0.35">
      <c r="A66" t="s">
        <v>184</v>
      </c>
      <c r="B66" t="s">
        <v>41</v>
      </c>
      <c r="C66" t="s">
        <v>42</v>
      </c>
      <c r="D66" t="s">
        <v>43</v>
      </c>
      <c r="E66" t="s">
        <v>44</v>
      </c>
      <c r="F66" t="s">
        <v>93</v>
      </c>
      <c r="G66" t="s">
        <v>94</v>
      </c>
      <c r="H66" t="s">
        <v>84</v>
      </c>
      <c r="I66" t="s">
        <v>95</v>
      </c>
      <c r="J66" t="s">
        <v>96</v>
      </c>
      <c r="K66" t="s">
        <v>97</v>
      </c>
      <c r="L66">
        <v>45622</v>
      </c>
      <c r="M66">
        <v>47447</v>
      </c>
      <c r="N66" t="s">
        <v>51</v>
      </c>
      <c r="O66" t="s">
        <v>52</v>
      </c>
      <c r="P66" t="s">
        <v>53</v>
      </c>
      <c r="Q66" t="s">
        <v>98</v>
      </c>
      <c r="R66" t="s">
        <v>99</v>
      </c>
      <c r="S66" t="s">
        <v>100</v>
      </c>
      <c r="T66" t="s">
        <v>189</v>
      </c>
      <c r="U66" t="s">
        <v>102</v>
      </c>
      <c r="V66">
        <f>IF(AND(SUM(IF('Consulta de contratos'!$K$1="",0,1),IF('Consulta de contratos'!$K$2="",0,1),IF('Consulta de contratos'!$K$3="",0,1),IF('Consulta de contratos'!$K$4="",0,1),IF('Consulta de contratos'!$K$5="",0,1),IF('Consulta de contratos'!$K$6="",0,1))&gt;0,OR('Consulta de contratos'!$K$1="",A66='Consulta de contratos'!$K$1),OR('Consulta de contratos'!$K$2="",I66='Consulta de contratos'!$K$2),OR('Consulta de contratos'!$K$3="",C66='Consulta de contratos'!$K$3),OR('Consulta de contratos'!$K$4="",D66='Consulta de contratos'!$K$4),OR('Consulta de contratos'!$K$5="",E66='Consulta de contratos'!$K$5),OR('Consulta de contratos'!$K$6="",IFERROR(ISNUMBER(SEARCH("|"&amp;'Consulta de contratos'!$K$6&amp;"|",AF66)),FALSE))),1,0)</f>
        <v>0</v>
      </c>
      <c r="W66">
        <f>IF(V66=1,SUM($V$2:V66),0)</f>
        <v>0</v>
      </c>
      <c r="X66" t="s">
        <v>59</v>
      </c>
      <c r="Y66" t="s">
        <v>103</v>
      </c>
      <c r="Z66" t="s">
        <v>61</v>
      </c>
      <c r="AA66" t="s">
        <v>62</v>
      </c>
      <c r="AF66" t="s">
        <v>104</v>
      </c>
    </row>
    <row r="67" spans="1:32" hidden="1" x14ac:dyDescent="0.35">
      <c r="A67" t="s">
        <v>184</v>
      </c>
      <c r="B67" t="s">
        <v>41</v>
      </c>
      <c r="C67" t="s">
        <v>42</v>
      </c>
      <c r="D67" t="s">
        <v>43</v>
      </c>
      <c r="E67" t="s">
        <v>44</v>
      </c>
      <c r="F67" t="s">
        <v>105</v>
      </c>
      <c r="G67" t="s">
        <v>106</v>
      </c>
      <c r="H67" t="s">
        <v>84</v>
      </c>
      <c r="I67" t="s">
        <v>107</v>
      </c>
      <c r="J67" t="s">
        <v>108</v>
      </c>
      <c r="K67" t="s">
        <v>109</v>
      </c>
      <c r="N67" t="s">
        <v>51</v>
      </c>
      <c r="O67" t="s">
        <v>52</v>
      </c>
      <c r="P67" t="s">
        <v>53</v>
      </c>
      <c r="Q67" t="s">
        <v>1988</v>
      </c>
      <c r="R67" t="s">
        <v>1989</v>
      </c>
      <c r="S67" t="s">
        <v>1990</v>
      </c>
      <c r="T67" t="s">
        <v>190</v>
      </c>
      <c r="U67" t="s">
        <v>111</v>
      </c>
      <c r="V67">
        <f>IF(AND(SUM(IF('Consulta de contratos'!$K$1="",0,1),IF('Consulta de contratos'!$K$2="",0,1),IF('Consulta de contratos'!$K$3="",0,1),IF('Consulta de contratos'!$K$4="",0,1),IF('Consulta de contratos'!$K$5="",0,1),IF('Consulta de contratos'!$K$6="",0,1))&gt;0,OR('Consulta de contratos'!$K$1="",A67='Consulta de contratos'!$K$1),OR('Consulta de contratos'!$K$2="",I67='Consulta de contratos'!$K$2),OR('Consulta de contratos'!$K$3="",C67='Consulta de contratos'!$K$3),OR('Consulta de contratos'!$K$4="",D67='Consulta de contratos'!$K$4),OR('Consulta de contratos'!$K$5="",E67='Consulta de contratos'!$K$5),OR('Consulta de contratos'!$K$6="",IFERROR(ISNUMBER(SEARCH("|"&amp;'Consulta de contratos'!$K$6&amp;"|",AF67)),FALSE))),1,0)</f>
        <v>0</v>
      </c>
      <c r="W67">
        <f>IF(V67=1,SUM($V$2:V67),0)</f>
        <v>0</v>
      </c>
      <c r="X67" t="s">
        <v>112</v>
      </c>
      <c r="Y67" t="s">
        <v>113</v>
      </c>
      <c r="Z67" t="s">
        <v>114</v>
      </c>
      <c r="AA67" t="s">
        <v>62</v>
      </c>
      <c r="AF67" t="s">
        <v>115</v>
      </c>
    </row>
    <row r="68" spans="1:32" hidden="1" x14ac:dyDescent="0.35">
      <c r="A68" t="s">
        <v>191</v>
      </c>
      <c r="B68" t="s">
        <v>41</v>
      </c>
      <c r="C68" t="s">
        <v>42</v>
      </c>
      <c r="D68" t="s">
        <v>43</v>
      </c>
      <c r="E68" t="s">
        <v>44</v>
      </c>
      <c r="F68" t="s">
        <v>45</v>
      </c>
      <c r="G68" t="s">
        <v>46</v>
      </c>
      <c r="H68" t="s">
        <v>73</v>
      </c>
      <c r="I68" t="s">
        <v>74</v>
      </c>
      <c r="J68" t="s">
        <v>49</v>
      </c>
      <c r="K68" t="s">
        <v>50</v>
      </c>
      <c r="L68">
        <v>44866</v>
      </c>
      <c r="M68" s="1">
        <v>47057</v>
      </c>
      <c r="N68" t="s">
        <v>51</v>
      </c>
      <c r="O68" t="s">
        <v>52</v>
      </c>
      <c r="P68" t="s">
        <v>53</v>
      </c>
      <c r="R68" t="s">
        <v>55</v>
      </c>
      <c r="S68" t="s">
        <v>56</v>
      </c>
      <c r="T68" t="s">
        <v>192</v>
      </c>
      <c r="U68" t="s">
        <v>78</v>
      </c>
      <c r="V68">
        <f>IF(AND(SUM(IF('Consulta de contratos'!$K$1="",0,1),IF('Consulta de contratos'!$K$2="",0,1),IF('Consulta de contratos'!$K$3="",0,1),IF('Consulta de contratos'!$K$4="",0,1),IF('Consulta de contratos'!$K$5="",0,1),IF('Consulta de contratos'!$K$6="",0,1))&gt;0,OR('Consulta de contratos'!$K$1="",A68='Consulta de contratos'!$K$1),OR('Consulta de contratos'!$K$2="",I68='Consulta de contratos'!$K$2),OR('Consulta de contratos'!$K$3="",C68='Consulta de contratos'!$K$3),OR('Consulta de contratos'!$K$4="",D68='Consulta de contratos'!$K$4),OR('Consulta de contratos'!$K$5="",E68='Consulta de contratos'!$K$5),OR('Consulta de contratos'!$K$6="",IFERROR(ISNUMBER(SEARCH("|"&amp;'Consulta de contratos'!$K$6&amp;"|",AF68)),FALSE))),1,0)</f>
        <v>0</v>
      </c>
      <c r="W68">
        <f>IF(V68=1,SUM($V$2:V68),0)</f>
        <v>0</v>
      </c>
      <c r="X68" t="s">
        <v>59</v>
      </c>
      <c r="Y68" t="s">
        <v>79</v>
      </c>
      <c r="Z68" t="s">
        <v>80</v>
      </c>
      <c r="AA68" t="s">
        <v>62</v>
      </c>
      <c r="AF68" t="s">
        <v>81</v>
      </c>
    </row>
    <row r="69" spans="1:32" x14ac:dyDescent="0.35">
      <c r="A69" t="s">
        <v>191</v>
      </c>
      <c r="B69" t="s">
        <v>41</v>
      </c>
      <c r="C69" t="s">
        <v>42</v>
      </c>
      <c r="D69" t="s">
        <v>43</v>
      </c>
      <c r="E69" t="s">
        <v>44</v>
      </c>
      <c r="F69" t="s">
        <v>45</v>
      </c>
      <c r="G69" t="s">
        <v>46</v>
      </c>
      <c r="H69" t="s">
        <v>64</v>
      </c>
      <c r="I69" t="s">
        <v>65</v>
      </c>
      <c r="J69" t="s">
        <v>66</v>
      </c>
      <c r="K69" t="s">
        <v>67</v>
      </c>
      <c r="L69">
        <v>44866</v>
      </c>
      <c r="M69" s="1">
        <v>47057</v>
      </c>
      <c r="N69" t="s">
        <v>51</v>
      </c>
      <c r="O69" t="s">
        <v>52</v>
      </c>
      <c r="P69" t="s">
        <v>53</v>
      </c>
      <c r="Q69" t="s">
        <v>68</v>
      </c>
      <c r="R69" t="s">
        <v>55</v>
      </c>
      <c r="S69" t="s">
        <v>56</v>
      </c>
      <c r="T69" t="s">
        <v>193</v>
      </c>
      <c r="U69" t="s">
        <v>70</v>
      </c>
      <c r="V69">
        <f>IF(AND(SUM(IF('Consulta de contratos'!$K$1="",0,1),IF('Consulta de contratos'!$K$2="",0,1),IF('Consulta de contratos'!$K$3="",0,1),IF('Consulta de contratos'!$K$4="",0,1),IF('Consulta de contratos'!$K$5="",0,1),IF('Consulta de contratos'!$K$6="",0,1))&gt;0,OR('Consulta de contratos'!$K$1="",A69='Consulta de contratos'!$K$1),OR('Consulta de contratos'!$K$2="",I69='Consulta de contratos'!$K$2),OR('Consulta de contratos'!$K$3="",C69='Consulta de contratos'!$K$3),OR('Consulta de contratos'!$K$4="",D69='Consulta de contratos'!$K$4),OR('Consulta de contratos'!$K$5="",E69='Consulta de contratos'!$K$5),OR('Consulta de contratos'!$K$6="",IFERROR(ISNUMBER(SEARCH("|"&amp;'Consulta de contratos'!$K$6&amp;"|",AF69)),FALSE))),1,0)</f>
        <v>0</v>
      </c>
      <c r="W69">
        <f>IF(V69=1,SUM($V$2:V69),0)</f>
        <v>0</v>
      </c>
      <c r="X69" t="s">
        <v>59</v>
      </c>
      <c r="Y69" t="s">
        <v>65</v>
      </c>
      <c r="Z69" t="s">
        <v>71</v>
      </c>
      <c r="AA69" t="s">
        <v>62</v>
      </c>
      <c r="AF69" t="s">
        <v>72</v>
      </c>
    </row>
    <row r="70" spans="1:32" hidden="1" x14ac:dyDescent="0.35">
      <c r="A70" t="s">
        <v>191</v>
      </c>
      <c r="B70" t="s">
        <v>41</v>
      </c>
      <c r="C70" t="s">
        <v>42</v>
      </c>
      <c r="D70" t="s">
        <v>43</v>
      </c>
      <c r="E70" t="s">
        <v>44</v>
      </c>
      <c r="F70" t="s">
        <v>45</v>
      </c>
      <c r="G70" t="s">
        <v>46</v>
      </c>
      <c r="H70" t="s">
        <v>73</v>
      </c>
      <c r="I70" t="s">
        <v>74</v>
      </c>
      <c r="J70" t="s">
        <v>75</v>
      </c>
      <c r="K70" t="s">
        <v>67</v>
      </c>
      <c r="L70">
        <v>44866</v>
      </c>
      <c r="M70" s="1">
        <v>47057</v>
      </c>
      <c r="N70" t="s">
        <v>51</v>
      </c>
      <c r="O70" t="s">
        <v>52</v>
      </c>
      <c r="P70" t="s">
        <v>53</v>
      </c>
      <c r="Q70" t="s">
        <v>76</v>
      </c>
      <c r="R70" t="s">
        <v>55</v>
      </c>
      <c r="S70" t="s">
        <v>56</v>
      </c>
      <c r="T70" t="s">
        <v>194</v>
      </c>
      <c r="U70" t="s">
        <v>78</v>
      </c>
      <c r="V70">
        <f>IF(AND(SUM(IF('Consulta de contratos'!$K$1="",0,1),IF('Consulta de contratos'!$K$2="",0,1),IF('Consulta de contratos'!$K$3="",0,1),IF('Consulta de contratos'!$K$4="",0,1),IF('Consulta de contratos'!$K$5="",0,1),IF('Consulta de contratos'!$K$6="",0,1))&gt;0,OR('Consulta de contratos'!$K$1="",A70='Consulta de contratos'!$K$1),OR('Consulta de contratos'!$K$2="",I70='Consulta de contratos'!$K$2),OR('Consulta de contratos'!$K$3="",C70='Consulta de contratos'!$K$3),OR('Consulta de contratos'!$K$4="",D70='Consulta de contratos'!$K$4),OR('Consulta de contratos'!$K$5="",E70='Consulta de contratos'!$K$5),OR('Consulta de contratos'!$K$6="",IFERROR(ISNUMBER(SEARCH("|"&amp;'Consulta de contratos'!$K$6&amp;"|",AF70)),FALSE))),1,0)</f>
        <v>0</v>
      </c>
      <c r="W70">
        <f>IF(V70=1,SUM($V$2:V70),0)</f>
        <v>0</v>
      </c>
      <c r="X70" t="s">
        <v>59</v>
      </c>
      <c r="Y70" t="s">
        <v>79</v>
      </c>
      <c r="Z70" t="s">
        <v>80</v>
      </c>
      <c r="AA70" t="s">
        <v>62</v>
      </c>
      <c r="AF70" t="s">
        <v>81</v>
      </c>
    </row>
    <row r="71" spans="1:32" hidden="1" x14ac:dyDescent="0.35">
      <c r="A71" t="s">
        <v>191</v>
      </c>
      <c r="B71" t="s">
        <v>41</v>
      </c>
      <c r="C71" t="s">
        <v>42</v>
      </c>
      <c r="D71" t="s">
        <v>43</v>
      </c>
      <c r="E71" t="s">
        <v>44</v>
      </c>
      <c r="F71" t="s">
        <v>82</v>
      </c>
      <c r="G71" t="s">
        <v>83</v>
      </c>
      <c r="H71" t="s">
        <v>84</v>
      </c>
      <c r="I71" t="s">
        <v>85</v>
      </c>
      <c r="J71" t="s">
        <v>86</v>
      </c>
      <c r="K71" t="s">
        <v>87</v>
      </c>
      <c r="M71">
        <v>46850</v>
      </c>
      <c r="N71" t="s">
        <v>51</v>
      </c>
      <c r="O71" t="s">
        <v>52</v>
      </c>
      <c r="P71" t="s">
        <v>53</v>
      </c>
      <c r="R71" t="s">
        <v>88</v>
      </c>
      <c r="S71" t="s">
        <v>89</v>
      </c>
      <c r="T71" t="s">
        <v>195</v>
      </c>
      <c r="U71" t="s">
        <v>91</v>
      </c>
      <c r="V71">
        <f>IF(AND(SUM(IF('Consulta de contratos'!$K$1="",0,1),IF('Consulta de contratos'!$K$2="",0,1),IF('Consulta de contratos'!$K$3="",0,1),IF('Consulta de contratos'!$K$4="",0,1),IF('Consulta de contratos'!$K$5="",0,1),IF('Consulta de contratos'!$K$6="",0,1))&gt;0,OR('Consulta de contratos'!$K$1="",A71='Consulta de contratos'!$K$1),OR('Consulta de contratos'!$K$2="",I71='Consulta de contratos'!$K$2),OR('Consulta de contratos'!$K$3="",C71='Consulta de contratos'!$K$3),OR('Consulta de contratos'!$K$4="",D71='Consulta de contratos'!$K$4),OR('Consulta de contratos'!$K$5="",E71='Consulta de contratos'!$K$5),OR('Consulta de contratos'!$K$6="",IFERROR(ISNUMBER(SEARCH("|"&amp;'Consulta de contratos'!$K$6&amp;"|",AF71)),FALSE))),1,0)</f>
        <v>0</v>
      </c>
      <c r="W71">
        <f>IF(V71=1,SUM($V$2:V71),0)</f>
        <v>0</v>
      </c>
      <c r="X71" t="s">
        <v>59</v>
      </c>
      <c r="Y71" t="s">
        <v>85</v>
      </c>
      <c r="Z71" t="s">
        <v>71</v>
      </c>
      <c r="AA71" t="s">
        <v>62</v>
      </c>
      <c r="AF71" t="s">
        <v>92</v>
      </c>
    </row>
    <row r="72" spans="1:32" hidden="1" x14ac:dyDescent="0.35">
      <c r="A72" t="s">
        <v>191</v>
      </c>
      <c r="B72" t="s">
        <v>41</v>
      </c>
      <c r="C72" t="s">
        <v>42</v>
      </c>
      <c r="D72" t="s">
        <v>43</v>
      </c>
      <c r="E72" t="s">
        <v>44</v>
      </c>
      <c r="F72" t="s">
        <v>93</v>
      </c>
      <c r="G72" t="s">
        <v>94</v>
      </c>
      <c r="H72" t="s">
        <v>84</v>
      </c>
      <c r="I72" t="s">
        <v>95</v>
      </c>
      <c r="J72" t="s">
        <v>96</v>
      </c>
      <c r="K72" t="s">
        <v>97</v>
      </c>
      <c r="L72">
        <v>45622</v>
      </c>
      <c r="M72">
        <v>47447</v>
      </c>
      <c r="N72" t="s">
        <v>51</v>
      </c>
      <c r="O72" t="s">
        <v>52</v>
      </c>
      <c r="P72" t="s">
        <v>53</v>
      </c>
      <c r="Q72" t="s">
        <v>98</v>
      </c>
      <c r="R72" t="s">
        <v>99</v>
      </c>
      <c r="S72" t="s">
        <v>100</v>
      </c>
      <c r="T72" t="s">
        <v>196</v>
      </c>
      <c r="U72" t="s">
        <v>102</v>
      </c>
      <c r="V72">
        <f>IF(AND(SUM(IF('Consulta de contratos'!$K$1="",0,1),IF('Consulta de contratos'!$K$2="",0,1),IF('Consulta de contratos'!$K$3="",0,1),IF('Consulta de contratos'!$K$4="",0,1),IF('Consulta de contratos'!$K$5="",0,1),IF('Consulta de contratos'!$K$6="",0,1))&gt;0,OR('Consulta de contratos'!$K$1="",A72='Consulta de contratos'!$K$1),OR('Consulta de contratos'!$K$2="",I72='Consulta de contratos'!$K$2),OR('Consulta de contratos'!$K$3="",C72='Consulta de contratos'!$K$3),OR('Consulta de contratos'!$K$4="",D72='Consulta de contratos'!$K$4),OR('Consulta de contratos'!$K$5="",E72='Consulta de contratos'!$K$5),OR('Consulta de contratos'!$K$6="",IFERROR(ISNUMBER(SEARCH("|"&amp;'Consulta de contratos'!$K$6&amp;"|",AF72)),FALSE))),1,0)</f>
        <v>0</v>
      </c>
      <c r="W72">
        <f>IF(V72=1,SUM($V$2:V72),0)</f>
        <v>0</v>
      </c>
      <c r="X72" t="s">
        <v>59</v>
      </c>
      <c r="Y72" t="s">
        <v>103</v>
      </c>
      <c r="Z72" t="s">
        <v>61</v>
      </c>
      <c r="AA72" t="s">
        <v>62</v>
      </c>
      <c r="AF72" t="s">
        <v>104</v>
      </c>
    </row>
    <row r="73" spans="1:32" hidden="1" x14ac:dyDescent="0.35">
      <c r="A73" t="s">
        <v>191</v>
      </c>
      <c r="B73" t="s">
        <v>41</v>
      </c>
      <c r="C73" t="s">
        <v>42</v>
      </c>
      <c r="D73" t="s">
        <v>43</v>
      </c>
      <c r="E73" t="s">
        <v>44</v>
      </c>
      <c r="F73" t="s">
        <v>105</v>
      </c>
      <c r="G73" t="s">
        <v>106</v>
      </c>
      <c r="H73" t="s">
        <v>84</v>
      </c>
      <c r="I73" t="s">
        <v>107</v>
      </c>
      <c r="J73" t="s">
        <v>108</v>
      </c>
      <c r="K73" t="s">
        <v>109</v>
      </c>
      <c r="N73" t="s">
        <v>51</v>
      </c>
      <c r="O73" t="s">
        <v>52</v>
      </c>
      <c r="P73" t="s">
        <v>53</v>
      </c>
      <c r="Q73" t="s">
        <v>1988</v>
      </c>
      <c r="R73" t="s">
        <v>1989</v>
      </c>
      <c r="S73" t="s">
        <v>1990</v>
      </c>
      <c r="T73" t="s">
        <v>197</v>
      </c>
      <c r="U73" t="s">
        <v>111</v>
      </c>
      <c r="V73">
        <f>IF(AND(SUM(IF('Consulta de contratos'!$K$1="",0,1),IF('Consulta de contratos'!$K$2="",0,1),IF('Consulta de contratos'!$K$3="",0,1),IF('Consulta de contratos'!$K$4="",0,1),IF('Consulta de contratos'!$K$5="",0,1),IF('Consulta de contratos'!$K$6="",0,1))&gt;0,OR('Consulta de contratos'!$K$1="",A73='Consulta de contratos'!$K$1),OR('Consulta de contratos'!$K$2="",I73='Consulta de contratos'!$K$2),OR('Consulta de contratos'!$K$3="",C73='Consulta de contratos'!$K$3),OR('Consulta de contratos'!$K$4="",D73='Consulta de contratos'!$K$4),OR('Consulta de contratos'!$K$5="",E73='Consulta de contratos'!$K$5),OR('Consulta de contratos'!$K$6="",IFERROR(ISNUMBER(SEARCH("|"&amp;'Consulta de contratos'!$K$6&amp;"|",AF73)),FALSE))),1,0)</f>
        <v>0</v>
      </c>
      <c r="W73">
        <f>IF(V73=1,SUM($V$2:V73),0)</f>
        <v>0</v>
      </c>
      <c r="X73" t="s">
        <v>112</v>
      </c>
      <c r="Y73" t="s">
        <v>113</v>
      </c>
      <c r="Z73" t="s">
        <v>114</v>
      </c>
      <c r="AA73" t="s">
        <v>62</v>
      </c>
      <c r="AF73" t="s">
        <v>115</v>
      </c>
    </row>
    <row r="74" spans="1:32" hidden="1" x14ac:dyDescent="0.35">
      <c r="A74" t="s">
        <v>198</v>
      </c>
      <c r="B74" t="s">
        <v>41</v>
      </c>
      <c r="C74" t="s">
        <v>42</v>
      </c>
      <c r="D74" t="s">
        <v>43</v>
      </c>
      <c r="E74" t="s">
        <v>44</v>
      </c>
      <c r="F74" t="s">
        <v>45</v>
      </c>
      <c r="G74" t="s">
        <v>46</v>
      </c>
      <c r="H74" t="s">
        <v>73</v>
      </c>
      <c r="I74" t="s">
        <v>74</v>
      </c>
      <c r="J74" t="s">
        <v>49</v>
      </c>
      <c r="K74" t="s">
        <v>50</v>
      </c>
      <c r="L74">
        <v>44866</v>
      </c>
      <c r="M74" s="1">
        <v>47057</v>
      </c>
      <c r="N74" t="s">
        <v>51</v>
      </c>
      <c r="O74" t="s">
        <v>52</v>
      </c>
      <c r="P74" t="s">
        <v>53</v>
      </c>
      <c r="R74" t="s">
        <v>55</v>
      </c>
      <c r="S74" t="s">
        <v>56</v>
      </c>
      <c r="T74" t="s">
        <v>199</v>
      </c>
      <c r="U74" t="s">
        <v>78</v>
      </c>
      <c r="V74">
        <f>IF(AND(SUM(IF('Consulta de contratos'!$K$1="",0,1),IF('Consulta de contratos'!$K$2="",0,1),IF('Consulta de contratos'!$K$3="",0,1),IF('Consulta de contratos'!$K$4="",0,1),IF('Consulta de contratos'!$K$5="",0,1),IF('Consulta de contratos'!$K$6="",0,1))&gt;0,OR('Consulta de contratos'!$K$1="",A74='Consulta de contratos'!$K$1),OR('Consulta de contratos'!$K$2="",I74='Consulta de contratos'!$K$2),OR('Consulta de contratos'!$K$3="",C74='Consulta de contratos'!$K$3),OR('Consulta de contratos'!$K$4="",D74='Consulta de contratos'!$K$4),OR('Consulta de contratos'!$K$5="",E74='Consulta de contratos'!$K$5),OR('Consulta de contratos'!$K$6="",IFERROR(ISNUMBER(SEARCH("|"&amp;'Consulta de contratos'!$K$6&amp;"|",AF74)),FALSE))),1,0)</f>
        <v>0</v>
      </c>
      <c r="W74">
        <f>IF(V74=1,SUM($V$2:V74),0)</f>
        <v>0</v>
      </c>
      <c r="X74" t="s">
        <v>59</v>
      </c>
      <c r="Y74" t="s">
        <v>79</v>
      </c>
      <c r="Z74" t="s">
        <v>80</v>
      </c>
      <c r="AA74" t="s">
        <v>62</v>
      </c>
      <c r="AF74" t="s">
        <v>81</v>
      </c>
    </row>
    <row r="75" spans="1:32" x14ac:dyDescent="0.35">
      <c r="A75" t="s">
        <v>198</v>
      </c>
      <c r="B75" t="s">
        <v>41</v>
      </c>
      <c r="C75" t="s">
        <v>42</v>
      </c>
      <c r="D75" t="s">
        <v>43</v>
      </c>
      <c r="E75" t="s">
        <v>44</v>
      </c>
      <c r="F75" t="s">
        <v>45</v>
      </c>
      <c r="G75" t="s">
        <v>46</v>
      </c>
      <c r="H75" t="s">
        <v>64</v>
      </c>
      <c r="I75" t="s">
        <v>65</v>
      </c>
      <c r="J75" t="s">
        <v>66</v>
      </c>
      <c r="K75" t="s">
        <v>67</v>
      </c>
      <c r="L75">
        <v>44866</v>
      </c>
      <c r="M75" s="1">
        <v>47057</v>
      </c>
      <c r="N75" t="s">
        <v>51</v>
      </c>
      <c r="O75" t="s">
        <v>52</v>
      </c>
      <c r="P75" t="s">
        <v>53</v>
      </c>
      <c r="Q75" t="s">
        <v>68</v>
      </c>
      <c r="R75" t="s">
        <v>55</v>
      </c>
      <c r="S75" t="s">
        <v>56</v>
      </c>
      <c r="T75" t="s">
        <v>200</v>
      </c>
      <c r="U75" t="s">
        <v>70</v>
      </c>
      <c r="V75">
        <f>IF(AND(SUM(IF('Consulta de contratos'!$K$1="",0,1),IF('Consulta de contratos'!$K$2="",0,1),IF('Consulta de contratos'!$K$3="",0,1),IF('Consulta de contratos'!$K$4="",0,1),IF('Consulta de contratos'!$K$5="",0,1),IF('Consulta de contratos'!$K$6="",0,1))&gt;0,OR('Consulta de contratos'!$K$1="",A75='Consulta de contratos'!$K$1),OR('Consulta de contratos'!$K$2="",I75='Consulta de contratos'!$K$2),OR('Consulta de contratos'!$K$3="",C75='Consulta de contratos'!$K$3),OR('Consulta de contratos'!$K$4="",D75='Consulta de contratos'!$K$4),OR('Consulta de contratos'!$K$5="",E75='Consulta de contratos'!$K$5),OR('Consulta de contratos'!$K$6="",IFERROR(ISNUMBER(SEARCH("|"&amp;'Consulta de contratos'!$K$6&amp;"|",AF75)),FALSE))),1,0)</f>
        <v>0</v>
      </c>
      <c r="W75">
        <f>IF(V75=1,SUM($V$2:V75),0)</f>
        <v>0</v>
      </c>
      <c r="X75" t="s">
        <v>59</v>
      </c>
      <c r="Y75" t="s">
        <v>65</v>
      </c>
      <c r="Z75" t="s">
        <v>71</v>
      </c>
      <c r="AA75" t="s">
        <v>62</v>
      </c>
      <c r="AF75" t="s">
        <v>72</v>
      </c>
    </row>
    <row r="76" spans="1:32" hidden="1" x14ac:dyDescent="0.35">
      <c r="A76" t="s">
        <v>198</v>
      </c>
      <c r="B76" t="s">
        <v>41</v>
      </c>
      <c r="C76" t="s">
        <v>42</v>
      </c>
      <c r="D76" t="s">
        <v>43</v>
      </c>
      <c r="E76" t="s">
        <v>44</v>
      </c>
      <c r="F76" t="s">
        <v>45</v>
      </c>
      <c r="G76" t="s">
        <v>46</v>
      </c>
      <c r="H76" t="s">
        <v>73</v>
      </c>
      <c r="I76" t="s">
        <v>74</v>
      </c>
      <c r="J76" t="s">
        <v>75</v>
      </c>
      <c r="K76" t="s">
        <v>67</v>
      </c>
      <c r="L76">
        <v>44866</v>
      </c>
      <c r="M76" s="1">
        <v>47057</v>
      </c>
      <c r="N76" t="s">
        <v>51</v>
      </c>
      <c r="O76" t="s">
        <v>52</v>
      </c>
      <c r="P76" t="s">
        <v>53</v>
      </c>
      <c r="Q76" t="s">
        <v>76</v>
      </c>
      <c r="R76" t="s">
        <v>55</v>
      </c>
      <c r="S76" t="s">
        <v>56</v>
      </c>
      <c r="T76" t="s">
        <v>201</v>
      </c>
      <c r="U76" t="s">
        <v>78</v>
      </c>
      <c r="V76">
        <f>IF(AND(SUM(IF('Consulta de contratos'!$K$1="",0,1),IF('Consulta de contratos'!$K$2="",0,1),IF('Consulta de contratos'!$K$3="",0,1),IF('Consulta de contratos'!$K$4="",0,1),IF('Consulta de contratos'!$K$5="",0,1),IF('Consulta de contratos'!$K$6="",0,1))&gt;0,OR('Consulta de contratos'!$K$1="",A76='Consulta de contratos'!$K$1),OR('Consulta de contratos'!$K$2="",I76='Consulta de contratos'!$K$2),OR('Consulta de contratos'!$K$3="",C76='Consulta de contratos'!$K$3),OR('Consulta de contratos'!$K$4="",D76='Consulta de contratos'!$K$4),OR('Consulta de contratos'!$K$5="",E76='Consulta de contratos'!$K$5),OR('Consulta de contratos'!$K$6="",IFERROR(ISNUMBER(SEARCH("|"&amp;'Consulta de contratos'!$K$6&amp;"|",AF76)),FALSE))),1,0)</f>
        <v>0</v>
      </c>
      <c r="W76">
        <f>IF(V76=1,SUM($V$2:V76),0)</f>
        <v>0</v>
      </c>
      <c r="X76" t="s">
        <v>59</v>
      </c>
      <c r="Y76" t="s">
        <v>79</v>
      </c>
      <c r="Z76" t="s">
        <v>80</v>
      </c>
      <c r="AA76" t="s">
        <v>62</v>
      </c>
      <c r="AF76" t="s">
        <v>81</v>
      </c>
    </row>
    <row r="77" spans="1:32" hidden="1" x14ac:dyDescent="0.35">
      <c r="A77" t="s">
        <v>198</v>
      </c>
      <c r="B77" t="s">
        <v>41</v>
      </c>
      <c r="C77" t="s">
        <v>42</v>
      </c>
      <c r="D77" t="s">
        <v>43</v>
      </c>
      <c r="E77" t="s">
        <v>44</v>
      </c>
      <c r="F77" t="s">
        <v>82</v>
      </c>
      <c r="G77" t="s">
        <v>83</v>
      </c>
      <c r="H77" t="s">
        <v>84</v>
      </c>
      <c r="I77" t="s">
        <v>85</v>
      </c>
      <c r="J77" t="s">
        <v>86</v>
      </c>
      <c r="K77" t="s">
        <v>87</v>
      </c>
      <c r="M77">
        <v>46850</v>
      </c>
      <c r="N77" t="s">
        <v>51</v>
      </c>
      <c r="O77" t="s">
        <v>52</v>
      </c>
      <c r="P77" t="s">
        <v>53</v>
      </c>
      <c r="R77" t="s">
        <v>88</v>
      </c>
      <c r="S77" t="s">
        <v>89</v>
      </c>
      <c r="T77" t="s">
        <v>202</v>
      </c>
      <c r="U77" t="s">
        <v>91</v>
      </c>
      <c r="V77">
        <f>IF(AND(SUM(IF('Consulta de contratos'!$K$1="",0,1),IF('Consulta de contratos'!$K$2="",0,1),IF('Consulta de contratos'!$K$3="",0,1),IF('Consulta de contratos'!$K$4="",0,1),IF('Consulta de contratos'!$K$5="",0,1),IF('Consulta de contratos'!$K$6="",0,1))&gt;0,OR('Consulta de contratos'!$K$1="",A77='Consulta de contratos'!$K$1),OR('Consulta de contratos'!$K$2="",I77='Consulta de contratos'!$K$2),OR('Consulta de contratos'!$K$3="",C77='Consulta de contratos'!$K$3),OR('Consulta de contratos'!$K$4="",D77='Consulta de contratos'!$K$4),OR('Consulta de contratos'!$K$5="",E77='Consulta de contratos'!$K$5),OR('Consulta de contratos'!$K$6="",IFERROR(ISNUMBER(SEARCH("|"&amp;'Consulta de contratos'!$K$6&amp;"|",AF77)),FALSE))),1,0)</f>
        <v>0</v>
      </c>
      <c r="W77">
        <f>IF(V77=1,SUM($V$2:V77),0)</f>
        <v>0</v>
      </c>
      <c r="X77" t="s">
        <v>59</v>
      </c>
      <c r="Y77" t="s">
        <v>85</v>
      </c>
      <c r="Z77" t="s">
        <v>71</v>
      </c>
      <c r="AA77" t="s">
        <v>62</v>
      </c>
      <c r="AF77" t="s">
        <v>92</v>
      </c>
    </row>
    <row r="78" spans="1:32" hidden="1" x14ac:dyDescent="0.35">
      <c r="A78" t="s">
        <v>198</v>
      </c>
      <c r="B78" t="s">
        <v>41</v>
      </c>
      <c r="C78" t="s">
        <v>42</v>
      </c>
      <c r="D78" t="s">
        <v>43</v>
      </c>
      <c r="E78" t="s">
        <v>44</v>
      </c>
      <c r="F78" t="s">
        <v>93</v>
      </c>
      <c r="G78" t="s">
        <v>94</v>
      </c>
      <c r="H78" t="s">
        <v>84</v>
      </c>
      <c r="I78" t="s">
        <v>95</v>
      </c>
      <c r="J78" t="s">
        <v>96</v>
      </c>
      <c r="K78" t="s">
        <v>97</v>
      </c>
      <c r="L78">
        <v>45622</v>
      </c>
      <c r="M78">
        <v>47447</v>
      </c>
      <c r="N78" t="s">
        <v>51</v>
      </c>
      <c r="O78" t="s">
        <v>52</v>
      </c>
      <c r="P78" t="s">
        <v>53</v>
      </c>
      <c r="Q78" t="s">
        <v>98</v>
      </c>
      <c r="R78" t="s">
        <v>99</v>
      </c>
      <c r="S78" t="s">
        <v>100</v>
      </c>
      <c r="T78" t="s">
        <v>203</v>
      </c>
      <c r="U78" t="s">
        <v>102</v>
      </c>
      <c r="V78">
        <f>IF(AND(SUM(IF('Consulta de contratos'!$K$1="",0,1),IF('Consulta de contratos'!$K$2="",0,1),IF('Consulta de contratos'!$K$3="",0,1),IF('Consulta de contratos'!$K$4="",0,1),IF('Consulta de contratos'!$K$5="",0,1),IF('Consulta de contratos'!$K$6="",0,1))&gt;0,OR('Consulta de contratos'!$K$1="",A78='Consulta de contratos'!$K$1),OR('Consulta de contratos'!$K$2="",I78='Consulta de contratos'!$K$2),OR('Consulta de contratos'!$K$3="",C78='Consulta de contratos'!$K$3),OR('Consulta de contratos'!$K$4="",D78='Consulta de contratos'!$K$4),OR('Consulta de contratos'!$K$5="",E78='Consulta de contratos'!$K$5),OR('Consulta de contratos'!$K$6="",IFERROR(ISNUMBER(SEARCH("|"&amp;'Consulta de contratos'!$K$6&amp;"|",AF78)),FALSE))),1,0)</f>
        <v>0</v>
      </c>
      <c r="W78">
        <f>IF(V78=1,SUM($V$2:V78),0)</f>
        <v>0</v>
      </c>
      <c r="X78" t="s">
        <v>59</v>
      </c>
      <c r="Y78" t="s">
        <v>103</v>
      </c>
      <c r="Z78" t="s">
        <v>61</v>
      </c>
      <c r="AA78" t="s">
        <v>62</v>
      </c>
      <c r="AF78" t="s">
        <v>104</v>
      </c>
    </row>
    <row r="79" spans="1:32" hidden="1" x14ac:dyDescent="0.35">
      <c r="A79" t="s">
        <v>198</v>
      </c>
      <c r="B79" t="s">
        <v>41</v>
      </c>
      <c r="C79" t="s">
        <v>42</v>
      </c>
      <c r="D79" t="s">
        <v>43</v>
      </c>
      <c r="E79" t="s">
        <v>44</v>
      </c>
      <c r="F79" t="s">
        <v>105</v>
      </c>
      <c r="G79" t="s">
        <v>106</v>
      </c>
      <c r="H79" t="s">
        <v>84</v>
      </c>
      <c r="I79" t="s">
        <v>107</v>
      </c>
      <c r="J79" t="s">
        <v>108</v>
      </c>
      <c r="K79" t="s">
        <v>109</v>
      </c>
      <c r="N79" t="s">
        <v>51</v>
      </c>
      <c r="O79" t="s">
        <v>52</v>
      </c>
      <c r="P79" t="s">
        <v>53</v>
      </c>
      <c r="Q79" t="s">
        <v>1988</v>
      </c>
      <c r="R79" t="s">
        <v>1989</v>
      </c>
      <c r="S79" t="s">
        <v>1990</v>
      </c>
      <c r="T79" t="s">
        <v>204</v>
      </c>
      <c r="U79" t="s">
        <v>111</v>
      </c>
      <c r="V79">
        <f>IF(AND(SUM(IF('Consulta de contratos'!$K$1="",0,1),IF('Consulta de contratos'!$K$2="",0,1),IF('Consulta de contratos'!$K$3="",0,1),IF('Consulta de contratos'!$K$4="",0,1),IF('Consulta de contratos'!$K$5="",0,1),IF('Consulta de contratos'!$K$6="",0,1))&gt;0,OR('Consulta de contratos'!$K$1="",A79='Consulta de contratos'!$K$1),OR('Consulta de contratos'!$K$2="",I79='Consulta de contratos'!$K$2),OR('Consulta de contratos'!$K$3="",C79='Consulta de contratos'!$K$3),OR('Consulta de contratos'!$K$4="",D79='Consulta de contratos'!$K$4),OR('Consulta de contratos'!$K$5="",E79='Consulta de contratos'!$K$5),OR('Consulta de contratos'!$K$6="",IFERROR(ISNUMBER(SEARCH("|"&amp;'Consulta de contratos'!$K$6&amp;"|",AF79)),FALSE))),1,0)</f>
        <v>0</v>
      </c>
      <c r="W79">
        <f>IF(V79=1,SUM($V$2:V79),0)</f>
        <v>0</v>
      </c>
      <c r="X79" t="s">
        <v>112</v>
      </c>
      <c r="Y79" t="s">
        <v>113</v>
      </c>
      <c r="Z79" t="s">
        <v>114</v>
      </c>
      <c r="AA79" t="s">
        <v>62</v>
      </c>
      <c r="AF79" t="s">
        <v>115</v>
      </c>
    </row>
    <row r="80" spans="1:32" hidden="1" x14ac:dyDescent="0.35">
      <c r="A80" t="s">
        <v>205</v>
      </c>
      <c r="B80" t="s">
        <v>41</v>
      </c>
      <c r="C80" t="s">
        <v>42</v>
      </c>
      <c r="D80" t="s">
        <v>43</v>
      </c>
      <c r="E80" t="s">
        <v>44</v>
      </c>
      <c r="F80" t="s">
        <v>45</v>
      </c>
      <c r="G80" t="s">
        <v>46</v>
      </c>
      <c r="H80" t="s">
        <v>124</v>
      </c>
      <c r="I80" t="s">
        <v>125</v>
      </c>
      <c r="J80" t="s">
        <v>49</v>
      </c>
      <c r="K80" t="s">
        <v>50</v>
      </c>
      <c r="L80">
        <v>44866</v>
      </c>
      <c r="M80" s="1">
        <v>47057</v>
      </c>
      <c r="N80" t="s">
        <v>51</v>
      </c>
      <c r="O80" t="s">
        <v>52</v>
      </c>
      <c r="P80" t="s">
        <v>53</v>
      </c>
      <c r="R80" t="s">
        <v>55</v>
      </c>
      <c r="S80" t="s">
        <v>56</v>
      </c>
      <c r="T80" t="s">
        <v>206</v>
      </c>
      <c r="U80" t="s">
        <v>127</v>
      </c>
      <c r="V80">
        <f>IF(AND(SUM(IF('Consulta de contratos'!$K$1="",0,1),IF('Consulta de contratos'!$K$2="",0,1),IF('Consulta de contratos'!$K$3="",0,1),IF('Consulta de contratos'!$K$4="",0,1),IF('Consulta de contratos'!$K$5="",0,1),IF('Consulta de contratos'!$K$6="",0,1))&gt;0,OR('Consulta de contratos'!$K$1="",A80='Consulta de contratos'!$K$1),OR('Consulta de contratos'!$K$2="",I80='Consulta de contratos'!$K$2),OR('Consulta de contratos'!$K$3="",C80='Consulta de contratos'!$K$3),OR('Consulta de contratos'!$K$4="",D80='Consulta de contratos'!$K$4),OR('Consulta de contratos'!$K$5="",E80='Consulta de contratos'!$K$5),OR('Consulta de contratos'!$K$6="",IFERROR(ISNUMBER(SEARCH("|"&amp;'Consulta de contratos'!$K$6&amp;"|",AF80)),FALSE))),1,0)</f>
        <v>0</v>
      </c>
      <c r="W80">
        <f>IF(V80=1,SUM($V$2:V80),0)</f>
        <v>0</v>
      </c>
      <c r="X80" t="s">
        <v>59</v>
      </c>
      <c r="Y80" t="s">
        <v>128</v>
      </c>
      <c r="Z80" t="s">
        <v>80</v>
      </c>
      <c r="AA80" t="s">
        <v>62</v>
      </c>
      <c r="AF80" t="s">
        <v>129</v>
      </c>
    </row>
    <row r="81" spans="1:32" x14ac:dyDescent="0.35">
      <c r="A81" t="s">
        <v>205</v>
      </c>
      <c r="B81" t="s">
        <v>41</v>
      </c>
      <c r="C81" t="s">
        <v>42</v>
      </c>
      <c r="D81" t="s">
        <v>43</v>
      </c>
      <c r="E81" t="s">
        <v>44</v>
      </c>
      <c r="F81" t="s">
        <v>45</v>
      </c>
      <c r="G81" t="s">
        <v>46</v>
      </c>
      <c r="H81" t="s">
        <v>64</v>
      </c>
      <c r="I81" t="s">
        <v>65</v>
      </c>
      <c r="J81" t="s">
        <v>66</v>
      </c>
      <c r="K81" t="s">
        <v>67</v>
      </c>
      <c r="L81">
        <v>44866</v>
      </c>
      <c r="M81" s="1">
        <v>47057</v>
      </c>
      <c r="N81" t="s">
        <v>51</v>
      </c>
      <c r="O81" t="s">
        <v>52</v>
      </c>
      <c r="P81" t="s">
        <v>53</v>
      </c>
      <c r="Q81" t="s">
        <v>68</v>
      </c>
      <c r="R81" t="s">
        <v>55</v>
      </c>
      <c r="S81" t="s">
        <v>56</v>
      </c>
      <c r="T81" t="s">
        <v>207</v>
      </c>
      <c r="U81" t="s">
        <v>70</v>
      </c>
      <c r="V81">
        <f>IF(AND(SUM(IF('Consulta de contratos'!$K$1="",0,1),IF('Consulta de contratos'!$K$2="",0,1),IF('Consulta de contratos'!$K$3="",0,1),IF('Consulta de contratos'!$K$4="",0,1),IF('Consulta de contratos'!$K$5="",0,1),IF('Consulta de contratos'!$K$6="",0,1))&gt;0,OR('Consulta de contratos'!$K$1="",A81='Consulta de contratos'!$K$1),OR('Consulta de contratos'!$K$2="",I81='Consulta de contratos'!$K$2),OR('Consulta de contratos'!$K$3="",C81='Consulta de contratos'!$K$3),OR('Consulta de contratos'!$K$4="",D81='Consulta de contratos'!$K$4),OR('Consulta de contratos'!$K$5="",E81='Consulta de contratos'!$K$5),OR('Consulta de contratos'!$K$6="",IFERROR(ISNUMBER(SEARCH("|"&amp;'Consulta de contratos'!$K$6&amp;"|",AF81)),FALSE))),1,0)</f>
        <v>0</v>
      </c>
      <c r="W81">
        <f>IF(V81=1,SUM($V$2:V81),0)</f>
        <v>0</v>
      </c>
      <c r="X81" t="s">
        <v>59</v>
      </c>
      <c r="Y81" t="s">
        <v>65</v>
      </c>
      <c r="Z81" t="s">
        <v>71</v>
      </c>
      <c r="AA81" t="s">
        <v>62</v>
      </c>
      <c r="AF81" t="s">
        <v>72</v>
      </c>
    </row>
    <row r="82" spans="1:32" hidden="1" x14ac:dyDescent="0.35">
      <c r="A82" t="s">
        <v>205</v>
      </c>
      <c r="B82" t="s">
        <v>41</v>
      </c>
      <c r="C82" t="s">
        <v>42</v>
      </c>
      <c r="D82" t="s">
        <v>43</v>
      </c>
      <c r="E82" t="s">
        <v>44</v>
      </c>
      <c r="F82" t="s">
        <v>45</v>
      </c>
      <c r="G82" t="s">
        <v>46</v>
      </c>
      <c r="H82" t="s">
        <v>73</v>
      </c>
      <c r="I82" t="s">
        <v>74</v>
      </c>
      <c r="J82" t="s">
        <v>75</v>
      </c>
      <c r="K82" t="s">
        <v>67</v>
      </c>
      <c r="L82">
        <v>44866</v>
      </c>
      <c r="M82" s="1">
        <v>47057</v>
      </c>
      <c r="N82" t="s">
        <v>51</v>
      </c>
      <c r="O82" t="s">
        <v>52</v>
      </c>
      <c r="P82" t="s">
        <v>53</v>
      </c>
      <c r="Q82" t="s">
        <v>76</v>
      </c>
      <c r="R82" t="s">
        <v>55</v>
      </c>
      <c r="S82" t="s">
        <v>56</v>
      </c>
      <c r="T82" t="s">
        <v>208</v>
      </c>
      <c r="U82" t="s">
        <v>78</v>
      </c>
      <c r="V82">
        <f>IF(AND(SUM(IF('Consulta de contratos'!$K$1="",0,1),IF('Consulta de contratos'!$K$2="",0,1),IF('Consulta de contratos'!$K$3="",0,1),IF('Consulta de contratos'!$K$4="",0,1),IF('Consulta de contratos'!$K$5="",0,1),IF('Consulta de contratos'!$K$6="",0,1))&gt;0,OR('Consulta de contratos'!$K$1="",A82='Consulta de contratos'!$K$1),OR('Consulta de contratos'!$K$2="",I82='Consulta de contratos'!$K$2),OR('Consulta de contratos'!$K$3="",C82='Consulta de contratos'!$K$3),OR('Consulta de contratos'!$K$4="",D82='Consulta de contratos'!$K$4),OR('Consulta de contratos'!$K$5="",E82='Consulta de contratos'!$K$5),OR('Consulta de contratos'!$K$6="",IFERROR(ISNUMBER(SEARCH("|"&amp;'Consulta de contratos'!$K$6&amp;"|",AF82)),FALSE))),1,0)</f>
        <v>0</v>
      </c>
      <c r="W82">
        <f>IF(V82=1,SUM($V$2:V82),0)</f>
        <v>0</v>
      </c>
      <c r="X82" t="s">
        <v>59</v>
      </c>
      <c r="Y82" t="s">
        <v>79</v>
      </c>
      <c r="Z82" t="s">
        <v>80</v>
      </c>
      <c r="AA82" t="s">
        <v>62</v>
      </c>
      <c r="AF82" t="s">
        <v>81</v>
      </c>
    </row>
    <row r="83" spans="1:32" hidden="1" x14ac:dyDescent="0.35">
      <c r="A83" t="s">
        <v>205</v>
      </c>
      <c r="B83" t="s">
        <v>41</v>
      </c>
      <c r="C83" t="s">
        <v>42</v>
      </c>
      <c r="D83" t="s">
        <v>43</v>
      </c>
      <c r="E83" t="s">
        <v>44</v>
      </c>
      <c r="F83" t="s">
        <v>82</v>
      </c>
      <c r="G83" t="s">
        <v>83</v>
      </c>
      <c r="H83" t="s">
        <v>84</v>
      </c>
      <c r="I83" t="s">
        <v>85</v>
      </c>
      <c r="J83" t="s">
        <v>86</v>
      </c>
      <c r="K83" t="s">
        <v>87</v>
      </c>
      <c r="M83">
        <v>46850</v>
      </c>
      <c r="N83" t="s">
        <v>51</v>
      </c>
      <c r="O83" t="s">
        <v>52</v>
      </c>
      <c r="P83" t="s">
        <v>53</v>
      </c>
      <c r="R83" t="s">
        <v>88</v>
      </c>
      <c r="S83" t="s">
        <v>89</v>
      </c>
      <c r="T83" t="s">
        <v>209</v>
      </c>
      <c r="U83" t="s">
        <v>91</v>
      </c>
      <c r="V83">
        <f>IF(AND(SUM(IF('Consulta de contratos'!$K$1="",0,1),IF('Consulta de contratos'!$K$2="",0,1),IF('Consulta de contratos'!$K$3="",0,1),IF('Consulta de contratos'!$K$4="",0,1),IF('Consulta de contratos'!$K$5="",0,1),IF('Consulta de contratos'!$K$6="",0,1))&gt;0,OR('Consulta de contratos'!$K$1="",A83='Consulta de contratos'!$K$1),OR('Consulta de contratos'!$K$2="",I83='Consulta de contratos'!$K$2),OR('Consulta de contratos'!$K$3="",C83='Consulta de contratos'!$K$3),OR('Consulta de contratos'!$K$4="",D83='Consulta de contratos'!$K$4),OR('Consulta de contratos'!$K$5="",E83='Consulta de contratos'!$K$5),OR('Consulta de contratos'!$K$6="",IFERROR(ISNUMBER(SEARCH("|"&amp;'Consulta de contratos'!$K$6&amp;"|",AF83)),FALSE))),1,0)</f>
        <v>0</v>
      </c>
      <c r="W83">
        <f>IF(V83=1,SUM($V$2:V83),0)</f>
        <v>0</v>
      </c>
      <c r="X83" t="s">
        <v>59</v>
      </c>
      <c r="Y83" t="s">
        <v>85</v>
      </c>
      <c r="Z83" t="s">
        <v>71</v>
      </c>
      <c r="AA83" t="s">
        <v>62</v>
      </c>
      <c r="AF83" t="s">
        <v>92</v>
      </c>
    </row>
    <row r="84" spans="1:32" hidden="1" x14ac:dyDescent="0.35">
      <c r="A84" t="s">
        <v>205</v>
      </c>
      <c r="B84" t="s">
        <v>41</v>
      </c>
      <c r="C84" t="s">
        <v>42</v>
      </c>
      <c r="D84" t="s">
        <v>43</v>
      </c>
      <c r="E84" t="s">
        <v>44</v>
      </c>
      <c r="F84" t="s">
        <v>93</v>
      </c>
      <c r="G84" t="s">
        <v>94</v>
      </c>
      <c r="H84" t="s">
        <v>84</v>
      </c>
      <c r="I84" t="s">
        <v>95</v>
      </c>
      <c r="J84" t="s">
        <v>96</v>
      </c>
      <c r="K84" t="s">
        <v>97</v>
      </c>
      <c r="L84">
        <v>45622</v>
      </c>
      <c r="M84">
        <v>47447</v>
      </c>
      <c r="N84" t="s">
        <v>51</v>
      </c>
      <c r="O84" t="s">
        <v>52</v>
      </c>
      <c r="P84" t="s">
        <v>53</v>
      </c>
      <c r="Q84" t="s">
        <v>98</v>
      </c>
      <c r="R84" t="s">
        <v>99</v>
      </c>
      <c r="S84" t="s">
        <v>100</v>
      </c>
      <c r="T84" t="s">
        <v>210</v>
      </c>
      <c r="U84" t="s">
        <v>102</v>
      </c>
      <c r="V84">
        <f>IF(AND(SUM(IF('Consulta de contratos'!$K$1="",0,1),IF('Consulta de contratos'!$K$2="",0,1),IF('Consulta de contratos'!$K$3="",0,1),IF('Consulta de contratos'!$K$4="",0,1),IF('Consulta de contratos'!$K$5="",0,1),IF('Consulta de contratos'!$K$6="",0,1))&gt;0,OR('Consulta de contratos'!$K$1="",A84='Consulta de contratos'!$K$1),OR('Consulta de contratos'!$K$2="",I84='Consulta de contratos'!$K$2),OR('Consulta de contratos'!$K$3="",C84='Consulta de contratos'!$K$3),OR('Consulta de contratos'!$K$4="",D84='Consulta de contratos'!$K$4),OR('Consulta de contratos'!$K$5="",E84='Consulta de contratos'!$K$5),OR('Consulta de contratos'!$K$6="",IFERROR(ISNUMBER(SEARCH("|"&amp;'Consulta de contratos'!$K$6&amp;"|",AF84)),FALSE))),1,0)</f>
        <v>0</v>
      </c>
      <c r="W84">
        <f>IF(V84=1,SUM($V$2:V84),0)</f>
        <v>0</v>
      </c>
      <c r="X84" t="s">
        <v>59</v>
      </c>
      <c r="Y84" t="s">
        <v>103</v>
      </c>
      <c r="Z84" t="s">
        <v>61</v>
      </c>
      <c r="AA84" t="s">
        <v>62</v>
      </c>
      <c r="AF84" t="s">
        <v>104</v>
      </c>
    </row>
    <row r="85" spans="1:32" hidden="1" x14ac:dyDescent="0.35">
      <c r="A85" t="s">
        <v>205</v>
      </c>
      <c r="B85" t="s">
        <v>41</v>
      </c>
      <c r="C85" t="s">
        <v>42</v>
      </c>
      <c r="D85" t="s">
        <v>43</v>
      </c>
      <c r="E85" t="s">
        <v>44</v>
      </c>
      <c r="F85" t="s">
        <v>105</v>
      </c>
      <c r="G85" t="s">
        <v>106</v>
      </c>
      <c r="H85" t="s">
        <v>84</v>
      </c>
      <c r="I85" t="s">
        <v>107</v>
      </c>
      <c r="J85" t="s">
        <v>108</v>
      </c>
      <c r="K85" t="s">
        <v>109</v>
      </c>
      <c r="N85" t="s">
        <v>51</v>
      </c>
      <c r="O85" t="s">
        <v>52</v>
      </c>
      <c r="P85" t="s">
        <v>53</v>
      </c>
      <c r="Q85" t="s">
        <v>1988</v>
      </c>
      <c r="R85" t="s">
        <v>1989</v>
      </c>
      <c r="S85" t="s">
        <v>1990</v>
      </c>
      <c r="T85" t="s">
        <v>211</v>
      </c>
      <c r="U85" t="s">
        <v>111</v>
      </c>
      <c r="V85">
        <f>IF(AND(SUM(IF('Consulta de contratos'!$K$1="",0,1),IF('Consulta de contratos'!$K$2="",0,1),IF('Consulta de contratos'!$K$3="",0,1),IF('Consulta de contratos'!$K$4="",0,1),IF('Consulta de contratos'!$K$5="",0,1),IF('Consulta de contratos'!$K$6="",0,1))&gt;0,OR('Consulta de contratos'!$K$1="",A85='Consulta de contratos'!$K$1),OR('Consulta de contratos'!$K$2="",I85='Consulta de contratos'!$K$2),OR('Consulta de contratos'!$K$3="",C85='Consulta de contratos'!$K$3),OR('Consulta de contratos'!$K$4="",D85='Consulta de contratos'!$K$4),OR('Consulta de contratos'!$K$5="",E85='Consulta de contratos'!$K$5),OR('Consulta de contratos'!$K$6="",IFERROR(ISNUMBER(SEARCH("|"&amp;'Consulta de contratos'!$K$6&amp;"|",AF85)),FALSE))),1,0)</f>
        <v>0</v>
      </c>
      <c r="W85">
        <f>IF(V85=1,SUM($V$2:V85),0)</f>
        <v>0</v>
      </c>
      <c r="X85" t="s">
        <v>112</v>
      </c>
      <c r="Y85" t="s">
        <v>113</v>
      </c>
      <c r="Z85" t="s">
        <v>114</v>
      </c>
      <c r="AA85" t="s">
        <v>62</v>
      </c>
      <c r="AF85" t="s">
        <v>115</v>
      </c>
    </row>
    <row r="86" spans="1:32" hidden="1" x14ac:dyDescent="0.35">
      <c r="A86" t="s">
        <v>212</v>
      </c>
      <c r="B86" t="s">
        <v>41</v>
      </c>
      <c r="C86" t="s">
        <v>42</v>
      </c>
      <c r="D86" t="s">
        <v>43</v>
      </c>
      <c r="E86" t="s">
        <v>44</v>
      </c>
      <c r="F86" t="s">
        <v>45</v>
      </c>
      <c r="G86" t="s">
        <v>46</v>
      </c>
      <c r="H86" t="s">
        <v>124</v>
      </c>
      <c r="I86" t="s">
        <v>125</v>
      </c>
      <c r="J86" t="s">
        <v>49</v>
      </c>
      <c r="K86" t="s">
        <v>50</v>
      </c>
      <c r="L86">
        <v>44866</v>
      </c>
      <c r="M86" s="1">
        <v>47057</v>
      </c>
      <c r="N86" t="s">
        <v>51</v>
      </c>
      <c r="O86" t="s">
        <v>52</v>
      </c>
      <c r="P86" t="s">
        <v>53</v>
      </c>
      <c r="R86" t="s">
        <v>55</v>
      </c>
      <c r="S86" t="s">
        <v>56</v>
      </c>
      <c r="T86" t="s">
        <v>213</v>
      </c>
      <c r="U86" t="s">
        <v>127</v>
      </c>
      <c r="V86">
        <f>IF(AND(SUM(IF('Consulta de contratos'!$K$1="",0,1),IF('Consulta de contratos'!$K$2="",0,1),IF('Consulta de contratos'!$K$3="",0,1),IF('Consulta de contratos'!$K$4="",0,1),IF('Consulta de contratos'!$K$5="",0,1),IF('Consulta de contratos'!$K$6="",0,1))&gt;0,OR('Consulta de contratos'!$K$1="",A86='Consulta de contratos'!$K$1),OR('Consulta de contratos'!$K$2="",I86='Consulta de contratos'!$K$2),OR('Consulta de contratos'!$K$3="",C86='Consulta de contratos'!$K$3),OR('Consulta de contratos'!$K$4="",D86='Consulta de contratos'!$K$4),OR('Consulta de contratos'!$K$5="",E86='Consulta de contratos'!$K$5),OR('Consulta de contratos'!$K$6="",IFERROR(ISNUMBER(SEARCH("|"&amp;'Consulta de contratos'!$K$6&amp;"|",AF86)),FALSE))),1,0)</f>
        <v>0</v>
      </c>
      <c r="W86">
        <f>IF(V86=1,SUM($V$2:V86),0)</f>
        <v>0</v>
      </c>
      <c r="X86" t="s">
        <v>59</v>
      </c>
      <c r="Y86" t="s">
        <v>128</v>
      </c>
      <c r="Z86" t="s">
        <v>80</v>
      </c>
      <c r="AA86" t="s">
        <v>62</v>
      </c>
      <c r="AF86" t="s">
        <v>129</v>
      </c>
    </row>
    <row r="87" spans="1:32" x14ac:dyDescent="0.35">
      <c r="A87" t="s">
        <v>212</v>
      </c>
      <c r="B87" t="s">
        <v>41</v>
      </c>
      <c r="C87" t="s">
        <v>42</v>
      </c>
      <c r="D87" t="s">
        <v>43</v>
      </c>
      <c r="E87" t="s">
        <v>44</v>
      </c>
      <c r="F87" t="s">
        <v>45</v>
      </c>
      <c r="G87" t="s">
        <v>46</v>
      </c>
      <c r="H87" t="s">
        <v>64</v>
      </c>
      <c r="I87" t="s">
        <v>65</v>
      </c>
      <c r="J87" t="s">
        <v>66</v>
      </c>
      <c r="K87" t="s">
        <v>67</v>
      </c>
      <c r="L87">
        <v>44866</v>
      </c>
      <c r="M87" s="1">
        <v>47057</v>
      </c>
      <c r="N87" t="s">
        <v>51</v>
      </c>
      <c r="O87" t="s">
        <v>52</v>
      </c>
      <c r="P87" t="s">
        <v>53</v>
      </c>
      <c r="Q87" t="s">
        <v>68</v>
      </c>
      <c r="R87" t="s">
        <v>55</v>
      </c>
      <c r="S87" t="s">
        <v>56</v>
      </c>
      <c r="T87" t="s">
        <v>214</v>
      </c>
      <c r="U87" t="s">
        <v>70</v>
      </c>
      <c r="V87">
        <f>IF(AND(SUM(IF('Consulta de contratos'!$K$1="",0,1),IF('Consulta de contratos'!$K$2="",0,1),IF('Consulta de contratos'!$K$3="",0,1),IF('Consulta de contratos'!$K$4="",0,1),IF('Consulta de contratos'!$K$5="",0,1),IF('Consulta de contratos'!$K$6="",0,1))&gt;0,OR('Consulta de contratos'!$K$1="",A87='Consulta de contratos'!$K$1),OR('Consulta de contratos'!$K$2="",I87='Consulta de contratos'!$K$2),OR('Consulta de contratos'!$K$3="",C87='Consulta de contratos'!$K$3),OR('Consulta de contratos'!$K$4="",D87='Consulta de contratos'!$K$4),OR('Consulta de contratos'!$K$5="",E87='Consulta de contratos'!$K$5),OR('Consulta de contratos'!$K$6="",IFERROR(ISNUMBER(SEARCH("|"&amp;'Consulta de contratos'!$K$6&amp;"|",AF87)),FALSE))),1,0)</f>
        <v>0</v>
      </c>
      <c r="W87">
        <f>IF(V87=1,SUM($V$2:V87),0)</f>
        <v>0</v>
      </c>
      <c r="X87" t="s">
        <v>59</v>
      </c>
      <c r="Y87" t="s">
        <v>65</v>
      </c>
      <c r="Z87" t="s">
        <v>71</v>
      </c>
      <c r="AA87" t="s">
        <v>62</v>
      </c>
      <c r="AF87" t="s">
        <v>72</v>
      </c>
    </row>
    <row r="88" spans="1:32" hidden="1" x14ac:dyDescent="0.35">
      <c r="A88" t="s">
        <v>212</v>
      </c>
      <c r="B88" t="s">
        <v>41</v>
      </c>
      <c r="C88" t="s">
        <v>42</v>
      </c>
      <c r="D88" t="s">
        <v>43</v>
      </c>
      <c r="E88" t="s">
        <v>44</v>
      </c>
      <c r="F88" t="s">
        <v>45</v>
      </c>
      <c r="G88" t="s">
        <v>46</v>
      </c>
      <c r="H88" t="s">
        <v>73</v>
      </c>
      <c r="I88" t="s">
        <v>74</v>
      </c>
      <c r="J88" t="s">
        <v>75</v>
      </c>
      <c r="K88" t="s">
        <v>67</v>
      </c>
      <c r="L88">
        <v>44866</v>
      </c>
      <c r="M88" s="1">
        <v>47057</v>
      </c>
      <c r="N88" t="s">
        <v>51</v>
      </c>
      <c r="O88" t="s">
        <v>52</v>
      </c>
      <c r="P88" t="s">
        <v>53</v>
      </c>
      <c r="Q88" t="s">
        <v>76</v>
      </c>
      <c r="R88" t="s">
        <v>55</v>
      </c>
      <c r="S88" t="s">
        <v>56</v>
      </c>
      <c r="T88" t="s">
        <v>215</v>
      </c>
      <c r="U88" t="s">
        <v>78</v>
      </c>
      <c r="V88">
        <f>IF(AND(SUM(IF('Consulta de contratos'!$K$1="",0,1),IF('Consulta de contratos'!$K$2="",0,1),IF('Consulta de contratos'!$K$3="",0,1),IF('Consulta de contratos'!$K$4="",0,1),IF('Consulta de contratos'!$K$5="",0,1),IF('Consulta de contratos'!$K$6="",0,1))&gt;0,OR('Consulta de contratos'!$K$1="",A88='Consulta de contratos'!$K$1),OR('Consulta de contratos'!$K$2="",I88='Consulta de contratos'!$K$2),OR('Consulta de contratos'!$K$3="",C88='Consulta de contratos'!$K$3),OR('Consulta de contratos'!$K$4="",D88='Consulta de contratos'!$K$4),OR('Consulta de contratos'!$K$5="",E88='Consulta de contratos'!$K$5),OR('Consulta de contratos'!$K$6="",IFERROR(ISNUMBER(SEARCH("|"&amp;'Consulta de contratos'!$K$6&amp;"|",AF88)),FALSE))),1,0)</f>
        <v>0</v>
      </c>
      <c r="W88">
        <f>IF(V88=1,SUM($V$2:V88),0)</f>
        <v>0</v>
      </c>
      <c r="X88" t="s">
        <v>59</v>
      </c>
      <c r="Y88" t="s">
        <v>79</v>
      </c>
      <c r="Z88" t="s">
        <v>80</v>
      </c>
      <c r="AA88" t="s">
        <v>62</v>
      </c>
      <c r="AF88" t="s">
        <v>81</v>
      </c>
    </row>
    <row r="89" spans="1:32" hidden="1" x14ac:dyDescent="0.35">
      <c r="A89" t="s">
        <v>212</v>
      </c>
      <c r="B89" t="s">
        <v>41</v>
      </c>
      <c r="C89" t="s">
        <v>42</v>
      </c>
      <c r="D89" t="s">
        <v>43</v>
      </c>
      <c r="E89" t="s">
        <v>44</v>
      </c>
      <c r="F89" t="s">
        <v>82</v>
      </c>
      <c r="G89" t="s">
        <v>83</v>
      </c>
      <c r="H89" t="s">
        <v>84</v>
      </c>
      <c r="I89" t="s">
        <v>85</v>
      </c>
      <c r="J89" t="s">
        <v>86</v>
      </c>
      <c r="K89" t="s">
        <v>87</v>
      </c>
      <c r="M89">
        <v>46850</v>
      </c>
      <c r="N89" t="s">
        <v>51</v>
      </c>
      <c r="O89" t="s">
        <v>52</v>
      </c>
      <c r="P89" t="s">
        <v>53</v>
      </c>
      <c r="R89" t="s">
        <v>88</v>
      </c>
      <c r="S89" t="s">
        <v>89</v>
      </c>
      <c r="T89" t="s">
        <v>216</v>
      </c>
      <c r="U89" t="s">
        <v>91</v>
      </c>
      <c r="V89">
        <f>IF(AND(SUM(IF('Consulta de contratos'!$K$1="",0,1),IF('Consulta de contratos'!$K$2="",0,1),IF('Consulta de contratos'!$K$3="",0,1),IF('Consulta de contratos'!$K$4="",0,1),IF('Consulta de contratos'!$K$5="",0,1),IF('Consulta de contratos'!$K$6="",0,1))&gt;0,OR('Consulta de contratos'!$K$1="",A89='Consulta de contratos'!$K$1),OR('Consulta de contratos'!$K$2="",I89='Consulta de contratos'!$K$2),OR('Consulta de contratos'!$K$3="",C89='Consulta de contratos'!$K$3),OR('Consulta de contratos'!$K$4="",D89='Consulta de contratos'!$K$4),OR('Consulta de contratos'!$K$5="",E89='Consulta de contratos'!$K$5),OR('Consulta de contratos'!$K$6="",IFERROR(ISNUMBER(SEARCH("|"&amp;'Consulta de contratos'!$K$6&amp;"|",AF89)),FALSE))),1,0)</f>
        <v>0</v>
      </c>
      <c r="W89">
        <f>IF(V89=1,SUM($V$2:V89),0)</f>
        <v>0</v>
      </c>
      <c r="X89" t="s">
        <v>59</v>
      </c>
      <c r="Y89" t="s">
        <v>85</v>
      </c>
      <c r="Z89" t="s">
        <v>71</v>
      </c>
      <c r="AA89" t="s">
        <v>62</v>
      </c>
      <c r="AF89" t="s">
        <v>92</v>
      </c>
    </row>
    <row r="90" spans="1:32" hidden="1" x14ac:dyDescent="0.35">
      <c r="A90" t="s">
        <v>212</v>
      </c>
      <c r="B90" t="s">
        <v>41</v>
      </c>
      <c r="C90" t="s">
        <v>42</v>
      </c>
      <c r="D90" t="s">
        <v>43</v>
      </c>
      <c r="E90" t="s">
        <v>44</v>
      </c>
      <c r="F90" t="s">
        <v>93</v>
      </c>
      <c r="G90" t="s">
        <v>94</v>
      </c>
      <c r="H90" t="s">
        <v>84</v>
      </c>
      <c r="I90" t="s">
        <v>95</v>
      </c>
      <c r="J90" t="s">
        <v>96</v>
      </c>
      <c r="K90" t="s">
        <v>97</v>
      </c>
      <c r="L90">
        <v>45622</v>
      </c>
      <c r="M90">
        <v>47447</v>
      </c>
      <c r="N90" t="s">
        <v>51</v>
      </c>
      <c r="O90" t="s">
        <v>52</v>
      </c>
      <c r="P90" t="s">
        <v>53</v>
      </c>
      <c r="Q90" t="s">
        <v>98</v>
      </c>
      <c r="R90" t="s">
        <v>99</v>
      </c>
      <c r="S90" t="s">
        <v>100</v>
      </c>
      <c r="T90" t="s">
        <v>217</v>
      </c>
      <c r="U90" t="s">
        <v>102</v>
      </c>
      <c r="V90">
        <f>IF(AND(SUM(IF('Consulta de contratos'!$K$1="",0,1),IF('Consulta de contratos'!$K$2="",0,1),IF('Consulta de contratos'!$K$3="",0,1),IF('Consulta de contratos'!$K$4="",0,1),IF('Consulta de contratos'!$K$5="",0,1),IF('Consulta de contratos'!$K$6="",0,1))&gt;0,OR('Consulta de contratos'!$K$1="",A90='Consulta de contratos'!$K$1),OR('Consulta de contratos'!$K$2="",I90='Consulta de contratos'!$K$2),OR('Consulta de contratos'!$K$3="",C90='Consulta de contratos'!$K$3),OR('Consulta de contratos'!$K$4="",D90='Consulta de contratos'!$K$4),OR('Consulta de contratos'!$K$5="",E90='Consulta de contratos'!$K$5),OR('Consulta de contratos'!$K$6="",IFERROR(ISNUMBER(SEARCH("|"&amp;'Consulta de contratos'!$K$6&amp;"|",AF90)),FALSE))),1,0)</f>
        <v>0</v>
      </c>
      <c r="W90">
        <f>IF(V90=1,SUM($V$2:V90),0)</f>
        <v>0</v>
      </c>
      <c r="X90" t="s">
        <v>59</v>
      </c>
      <c r="Y90" t="s">
        <v>103</v>
      </c>
      <c r="Z90" t="s">
        <v>61</v>
      </c>
      <c r="AA90" t="s">
        <v>62</v>
      </c>
      <c r="AF90" t="s">
        <v>104</v>
      </c>
    </row>
    <row r="91" spans="1:32" hidden="1" x14ac:dyDescent="0.35">
      <c r="A91" t="s">
        <v>212</v>
      </c>
      <c r="B91" t="s">
        <v>41</v>
      </c>
      <c r="C91" t="s">
        <v>42</v>
      </c>
      <c r="D91" t="s">
        <v>43</v>
      </c>
      <c r="E91" t="s">
        <v>44</v>
      </c>
      <c r="F91" t="s">
        <v>105</v>
      </c>
      <c r="G91" t="s">
        <v>106</v>
      </c>
      <c r="H91" t="s">
        <v>84</v>
      </c>
      <c r="I91" t="s">
        <v>107</v>
      </c>
      <c r="J91" t="s">
        <v>108</v>
      </c>
      <c r="K91" t="s">
        <v>109</v>
      </c>
      <c r="N91" t="s">
        <v>51</v>
      </c>
      <c r="O91" t="s">
        <v>52</v>
      </c>
      <c r="P91" t="s">
        <v>53</v>
      </c>
      <c r="Q91" t="s">
        <v>1988</v>
      </c>
      <c r="R91" t="s">
        <v>1989</v>
      </c>
      <c r="S91" t="s">
        <v>1990</v>
      </c>
      <c r="T91" t="s">
        <v>218</v>
      </c>
      <c r="U91" t="s">
        <v>111</v>
      </c>
      <c r="V91">
        <f>IF(AND(SUM(IF('Consulta de contratos'!$K$1="",0,1),IF('Consulta de contratos'!$K$2="",0,1),IF('Consulta de contratos'!$K$3="",0,1),IF('Consulta de contratos'!$K$4="",0,1),IF('Consulta de contratos'!$K$5="",0,1),IF('Consulta de contratos'!$K$6="",0,1))&gt;0,OR('Consulta de contratos'!$K$1="",A91='Consulta de contratos'!$K$1),OR('Consulta de contratos'!$K$2="",I91='Consulta de contratos'!$K$2),OR('Consulta de contratos'!$K$3="",C91='Consulta de contratos'!$K$3),OR('Consulta de contratos'!$K$4="",D91='Consulta de contratos'!$K$4),OR('Consulta de contratos'!$K$5="",E91='Consulta de contratos'!$K$5),OR('Consulta de contratos'!$K$6="",IFERROR(ISNUMBER(SEARCH("|"&amp;'Consulta de contratos'!$K$6&amp;"|",AF91)),FALSE))),1,0)</f>
        <v>0</v>
      </c>
      <c r="W91">
        <f>IF(V91=1,SUM($V$2:V91),0)</f>
        <v>0</v>
      </c>
      <c r="X91" t="s">
        <v>112</v>
      </c>
      <c r="Y91" t="s">
        <v>113</v>
      </c>
      <c r="Z91" t="s">
        <v>114</v>
      </c>
      <c r="AA91" t="s">
        <v>62</v>
      </c>
      <c r="AF91" t="s">
        <v>115</v>
      </c>
    </row>
    <row r="92" spans="1:32" hidden="1" x14ac:dyDescent="0.35">
      <c r="A92" t="s">
        <v>219</v>
      </c>
      <c r="B92" t="s">
        <v>41</v>
      </c>
      <c r="C92" t="s">
        <v>42</v>
      </c>
      <c r="D92" t="s">
        <v>43</v>
      </c>
      <c r="E92" t="s">
        <v>44</v>
      </c>
      <c r="F92" t="s">
        <v>45</v>
      </c>
      <c r="G92" t="s">
        <v>46</v>
      </c>
      <c r="H92" t="s">
        <v>124</v>
      </c>
      <c r="I92" t="s">
        <v>125</v>
      </c>
      <c r="J92" t="s">
        <v>49</v>
      </c>
      <c r="K92" t="s">
        <v>50</v>
      </c>
      <c r="L92">
        <v>44866</v>
      </c>
      <c r="M92" s="1">
        <v>47057</v>
      </c>
      <c r="N92" t="s">
        <v>51</v>
      </c>
      <c r="O92" t="s">
        <v>52</v>
      </c>
      <c r="P92" t="s">
        <v>53</v>
      </c>
      <c r="R92" t="s">
        <v>55</v>
      </c>
      <c r="S92" t="s">
        <v>56</v>
      </c>
      <c r="T92" t="s">
        <v>220</v>
      </c>
      <c r="U92" t="s">
        <v>127</v>
      </c>
      <c r="V92">
        <f>IF(AND(SUM(IF('Consulta de contratos'!$K$1="",0,1),IF('Consulta de contratos'!$K$2="",0,1),IF('Consulta de contratos'!$K$3="",0,1),IF('Consulta de contratos'!$K$4="",0,1),IF('Consulta de contratos'!$K$5="",0,1),IF('Consulta de contratos'!$K$6="",0,1))&gt;0,OR('Consulta de contratos'!$K$1="",A92='Consulta de contratos'!$K$1),OR('Consulta de contratos'!$K$2="",I92='Consulta de contratos'!$K$2),OR('Consulta de contratos'!$K$3="",C92='Consulta de contratos'!$K$3),OR('Consulta de contratos'!$K$4="",D92='Consulta de contratos'!$K$4),OR('Consulta de contratos'!$K$5="",E92='Consulta de contratos'!$K$5),OR('Consulta de contratos'!$K$6="",IFERROR(ISNUMBER(SEARCH("|"&amp;'Consulta de contratos'!$K$6&amp;"|",AF92)),FALSE))),1,0)</f>
        <v>0</v>
      </c>
      <c r="W92">
        <f>IF(V92=1,SUM($V$2:V92),0)</f>
        <v>0</v>
      </c>
      <c r="X92" t="s">
        <v>59</v>
      </c>
      <c r="Y92" t="s">
        <v>128</v>
      </c>
      <c r="Z92" t="s">
        <v>80</v>
      </c>
      <c r="AA92" t="s">
        <v>62</v>
      </c>
      <c r="AF92" t="s">
        <v>129</v>
      </c>
    </row>
    <row r="93" spans="1:32" x14ac:dyDescent="0.35">
      <c r="A93" t="s">
        <v>219</v>
      </c>
      <c r="B93" t="s">
        <v>41</v>
      </c>
      <c r="C93" t="s">
        <v>42</v>
      </c>
      <c r="D93" t="s">
        <v>43</v>
      </c>
      <c r="E93" t="s">
        <v>44</v>
      </c>
      <c r="F93" t="s">
        <v>45</v>
      </c>
      <c r="G93" t="s">
        <v>46</v>
      </c>
      <c r="H93" t="s">
        <v>64</v>
      </c>
      <c r="I93" t="s">
        <v>65</v>
      </c>
      <c r="J93" t="s">
        <v>66</v>
      </c>
      <c r="K93" t="s">
        <v>67</v>
      </c>
      <c r="L93">
        <v>44866</v>
      </c>
      <c r="M93" s="1">
        <v>47057</v>
      </c>
      <c r="N93" t="s">
        <v>51</v>
      </c>
      <c r="O93" t="s">
        <v>52</v>
      </c>
      <c r="P93" t="s">
        <v>53</v>
      </c>
      <c r="Q93" t="s">
        <v>68</v>
      </c>
      <c r="R93" t="s">
        <v>55</v>
      </c>
      <c r="S93" t="s">
        <v>56</v>
      </c>
      <c r="T93" t="s">
        <v>221</v>
      </c>
      <c r="U93" t="s">
        <v>70</v>
      </c>
      <c r="V93">
        <f>IF(AND(SUM(IF('Consulta de contratos'!$K$1="",0,1),IF('Consulta de contratos'!$K$2="",0,1),IF('Consulta de contratos'!$K$3="",0,1),IF('Consulta de contratos'!$K$4="",0,1),IF('Consulta de contratos'!$K$5="",0,1),IF('Consulta de contratos'!$K$6="",0,1))&gt;0,OR('Consulta de contratos'!$K$1="",A93='Consulta de contratos'!$K$1),OR('Consulta de contratos'!$K$2="",I93='Consulta de contratos'!$K$2),OR('Consulta de contratos'!$K$3="",C93='Consulta de contratos'!$K$3),OR('Consulta de contratos'!$K$4="",D93='Consulta de contratos'!$K$4),OR('Consulta de contratos'!$K$5="",E93='Consulta de contratos'!$K$5),OR('Consulta de contratos'!$K$6="",IFERROR(ISNUMBER(SEARCH("|"&amp;'Consulta de contratos'!$K$6&amp;"|",AF93)),FALSE))),1,0)</f>
        <v>0</v>
      </c>
      <c r="W93">
        <f>IF(V93=1,SUM($V$2:V93),0)</f>
        <v>0</v>
      </c>
      <c r="X93" t="s">
        <v>59</v>
      </c>
      <c r="Y93" t="s">
        <v>65</v>
      </c>
      <c r="Z93" t="s">
        <v>71</v>
      </c>
      <c r="AA93" t="s">
        <v>62</v>
      </c>
      <c r="AF93" t="s">
        <v>72</v>
      </c>
    </row>
    <row r="94" spans="1:32" hidden="1" x14ac:dyDescent="0.35">
      <c r="A94" t="s">
        <v>219</v>
      </c>
      <c r="B94" t="s">
        <v>41</v>
      </c>
      <c r="C94" t="s">
        <v>42</v>
      </c>
      <c r="D94" t="s">
        <v>43</v>
      </c>
      <c r="E94" t="s">
        <v>44</v>
      </c>
      <c r="F94" t="s">
        <v>45</v>
      </c>
      <c r="G94" t="s">
        <v>46</v>
      </c>
      <c r="H94" t="s">
        <v>73</v>
      </c>
      <c r="I94" t="s">
        <v>74</v>
      </c>
      <c r="J94" t="s">
        <v>75</v>
      </c>
      <c r="K94" t="s">
        <v>67</v>
      </c>
      <c r="L94">
        <v>44866</v>
      </c>
      <c r="M94" s="1">
        <v>47057</v>
      </c>
      <c r="N94" t="s">
        <v>51</v>
      </c>
      <c r="O94" t="s">
        <v>52</v>
      </c>
      <c r="P94" t="s">
        <v>53</v>
      </c>
      <c r="Q94" t="s">
        <v>76</v>
      </c>
      <c r="R94" t="s">
        <v>55</v>
      </c>
      <c r="S94" t="s">
        <v>56</v>
      </c>
      <c r="T94" t="s">
        <v>222</v>
      </c>
      <c r="U94" t="s">
        <v>78</v>
      </c>
      <c r="V94">
        <f>IF(AND(SUM(IF('Consulta de contratos'!$K$1="",0,1),IF('Consulta de contratos'!$K$2="",0,1),IF('Consulta de contratos'!$K$3="",0,1),IF('Consulta de contratos'!$K$4="",0,1),IF('Consulta de contratos'!$K$5="",0,1),IF('Consulta de contratos'!$K$6="",0,1))&gt;0,OR('Consulta de contratos'!$K$1="",A94='Consulta de contratos'!$K$1),OR('Consulta de contratos'!$K$2="",I94='Consulta de contratos'!$K$2),OR('Consulta de contratos'!$K$3="",C94='Consulta de contratos'!$K$3),OR('Consulta de contratos'!$K$4="",D94='Consulta de contratos'!$K$4),OR('Consulta de contratos'!$K$5="",E94='Consulta de contratos'!$K$5),OR('Consulta de contratos'!$K$6="",IFERROR(ISNUMBER(SEARCH("|"&amp;'Consulta de contratos'!$K$6&amp;"|",AF94)),FALSE))),1,0)</f>
        <v>0</v>
      </c>
      <c r="W94">
        <f>IF(V94=1,SUM($V$2:V94),0)</f>
        <v>0</v>
      </c>
      <c r="X94" t="s">
        <v>59</v>
      </c>
      <c r="Y94" t="s">
        <v>79</v>
      </c>
      <c r="Z94" t="s">
        <v>80</v>
      </c>
      <c r="AA94" t="s">
        <v>62</v>
      </c>
      <c r="AF94" t="s">
        <v>81</v>
      </c>
    </row>
    <row r="95" spans="1:32" hidden="1" x14ac:dyDescent="0.35">
      <c r="A95" t="s">
        <v>219</v>
      </c>
      <c r="B95" t="s">
        <v>41</v>
      </c>
      <c r="C95" t="s">
        <v>42</v>
      </c>
      <c r="D95" t="s">
        <v>43</v>
      </c>
      <c r="E95" t="s">
        <v>44</v>
      </c>
      <c r="F95" t="s">
        <v>82</v>
      </c>
      <c r="G95" t="s">
        <v>83</v>
      </c>
      <c r="H95" t="s">
        <v>84</v>
      </c>
      <c r="I95" t="s">
        <v>85</v>
      </c>
      <c r="J95" t="s">
        <v>86</v>
      </c>
      <c r="K95" t="s">
        <v>87</v>
      </c>
      <c r="M95">
        <v>46850</v>
      </c>
      <c r="N95" t="s">
        <v>51</v>
      </c>
      <c r="O95" t="s">
        <v>52</v>
      </c>
      <c r="P95" t="s">
        <v>53</v>
      </c>
      <c r="R95" t="s">
        <v>88</v>
      </c>
      <c r="S95" t="s">
        <v>89</v>
      </c>
      <c r="T95" t="s">
        <v>223</v>
      </c>
      <c r="U95" t="s">
        <v>91</v>
      </c>
      <c r="V95">
        <f>IF(AND(SUM(IF('Consulta de contratos'!$K$1="",0,1),IF('Consulta de contratos'!$K$2="",0,1),IF('Consulta de contratos'!$K$3="",0,1),IF('Consulta de contratos'!$K$4="",0,1),IF('Consulta de contratos'!$K$5="",0,1),IF('Consulta de contratos'!$K$6="",0,1))&gt;0,OR('Consulta de contratos'!$K$1="",A95='Consulta de contratos'!$K$1),OR('Consulta de contratos'!$K$2="",I95='Consulta de contratos'!$K$2),OR('Consulta de contratos'!$K$3="",C95='Consulta de contratos'!$K$3),OR('Consulta de contratos'!$K$4="",D95='Consulta de contratos'!$K$4),OR('Consulta de contratos'!$K$5="",E95='Consulta de contratos'!$K$5),OR('Consulta de contratos'!$K$6="",IFERROR(ISNUMBER(SEARCH("|"&amp;'Consulta de contratos'!$K$6&amp;"|",AF95)),FALSE))),1,0)</f>
        <v>0</v>
      </c>
      <c r="W95">
        <f>IF(V95=1,SUM($V$2:V95),0)</f>
        <v>0</v>
      </c>
      <c r="X95" t="s">
        <v>59</v>
      </c>
      <c r="Y95" t="s">
        <v>85</v>
      </c>
      <c r="Z95" t="s">
        <v>71</v>
      </c>
      <c r="AA95" t="s">
        <v>62</v>
      </c>
      <c r="AF95" t="s">
        <v>92</v>
      </c>
    </row>
    <row r="96" spans="1:32" hidden="1" x14ac:dyDescent="0.35">
      <c r="A96" t="s">
        <v>219</v>
      </c>
      <c r="B96" t="s">
        <v>41</v>
      </c>
      <c r="C96" t="s">
        <v>42</v>
      </c>
      <c r="D96" t="s">
        <v>43</v>
      </c>
      <c r="E96" t="s">
        <v>44</v>
      </c>
      <c r="F96" t="s">
        <v>93</v>
      </c>
      <c r="G96" t="s">
        <v>94</v>
      </c>
      <c r="H96" t="s">
        <v>84</v>
      </c>
      <c r="I96" t="s">
        <v>95</v>
      </c>
      <c r="J96" t="s">
        <v>96</v>
      </c>
      <c r="K96" t="s">
        <v>97</v>
      </c>
      <c r="L96">
        <v>45622</v>
      </c>
      <c r="M96">
        <v>47447</v>
      </c>
      <c r="N96" t="s">
        <v>51</v>
      </c>
      <c r="O96" t="s">
        <v>52</v>
      </c>
      <c r="P96" t="s">
        <v>53</v>
      </c>
      <c r="Q96" t="s">
        <v>98</v>
      </c>
      <c r="R96" t="s">
        <v>99</v>
      </c>
      <c r="S96" t="s">
        <v>100</v>
      </c>
      <c r="T96" t="s">
        <v>224</v>
      </c>
      <c r="U96" t="s">
        <v>102</v>
      </c>
      <c r="V96">
        <f>IF(AND(SUM(IF('Consulta de contratos'!$K$1="",0,1),IF('Consulta de contratos'!$K$2="",0,1),IF('Consulta de contratos'!$K$3="",0,1),IF('Consulta de contratos'!$K$4="",0,1),IF('Consulta de contratos'!$K$5="",0,1),IF('Consulta de contratos'!$K$6="",0,1))&gt;0,OR('Consulta de contratos'!$K$1="",A96='Consulta de contratos'!$K$1),OR('Consulta de contratos'!$K$2="",I96='Consulta de contratos'!$K$2),OR('Consulta de contratos'!$K$3="",C96='Consulta de contratos'!$K$3),OR('Consulta de contratos'!$K$4="",D96='Consulta de contratos'!$K$4),OR('Consulta de contratos'!$K$5="",E96='Consulta de contratos'!$K$5),OR('Consulta de contratos'!$K$6="",IFERROR(ISNUMBER(SEARCH("|"&amp;'Consulta de contratos'!$K$6&amp;"|",AF96)),FALSE))),1,0)</f>
        <v>0</v>
      </c>
      <c r="W96">
        <f>IF(V96=1,SUM($V$2:V96),0)</f>
        <v>0</v>
      </c>
      <c r="X96" t="s">
        <v>59</v>
      </c>
      <c r="Y96" t="s">
        <v>103</v>
      </c>
      <c r="Z96" t="s">
        <v>61</v>
      </c>
      <c r="AA96" t="s">
        <v>62</v>
      </c>
      <c r="AF96" t="s">
        <v>104</v>
      </c>
    </row>
    <row r="97" spans="1:32" hidden="1" x14ac:dyDescent="0.35">
      <c r="A97" t="s">
        <v>219</v>
      </c>
      <c r="B97" t="s">
        <v>41</v>
      </c>
      <c r="C97" t="s">
        <v>42</v>
      </c>
      <c r="D97" t="s">
        <v>43</v>
      </c>
      <c r="E97" t="s">
        <v>44</v>
      </c>
      <c r="F97" t="s">
        <v>105</v>
      </c>
      <c r="G97" t="s">
        <v>106</v>
      </c>
      <c r="H97" t="s">
        <v>84</v>
      </c>
      <c r="I97" t="s">
        <v>107</v>
      </c>
      <c r="J97" t="s">
        <v>108</v>
      </c>
      <c r="K97" t="s">
        <v>109</v>
      </c>
      <c r="N97" t="s">
        <v>51</v>
      </c>
      <c r="O97" t="s">
        <v>52</v>
      </c>
      <c r="P97" t="s">
        <v>53</v>
      </c>
      <c r="Q97" t="s">
        <v>1988</v>
      </c>
      <c r="R97" t="s">
        <v>1989</v>
      </c>
      <c r="S97" t="s">
        <v>1990</v>
      </c>
      <c r="T97" t="s">
        <v>225</v>
      </c>
      <c r="U97" t="s">
        <v>111</v>
      </c>
      <c r="V97">
        <f>IF(AND(SUM(IF('Consulta de contratos'!$K$1="",0,1),IF('Consulta de contratos'!$K$2="",0,1),IF('Consulta de contratos'!$K$3="",0,1),IF('Consulta de contratos'!$K$4="",0,1),IF('Consulta de contratos'!$K$5="",0,1),IF('Consulta de contratos'!$K$6="",0,1))&gt;0,OR('Consulta de contratos'!$K$1="",A97='Consulta de contratos'!$K$1),OR('Consulta de contratos'!$K$2="",I97='Consulta de contratos'!$K$2),OR('Consulta de contratos'!$K$3="",C97='Consulta de contratos'!$K$3),OR('Consulta de contratos'!$K$4="",D97='Consulta de contratos'!$K$4),OR('Consulta de contratos'!$K$5="",E97='Consulta de contratos'!$K$5),OR('Consulta de contratos'!$K$6="",IFERROR(ISNUMBER(SEARCH("|"&amp;'Consulta de contratos'!$K$6&amp;"|",AF97)),FALSE))),1,0)</f>
        <v>0</v>
      </c>
      <c r="W97">
        <f>IF(V97=1,SUM($V$2:V97),0)</f>
        <v>0</v>
      </c>
      <c r="X97" t="s">
        <v>112</v>
      </c>
      <c r="Y97" t="s">
        <v>113</v>
      </c>
      <c r="Z97" t="s">
        <v>114</v>
      </c>
      <c r="AA97" t="s">
        <v>62</v>
      </c>
      <c r="AF97" t="s">
        <v>115</v>
      </c>
    </row>
    <row r="98" spans="1:32" hidden="1" x14ac:dyDescent="0.35">
      <c r="A98" t="s">
        <v>226</v>
      </c>
      <c r="B98" t="s">
        <v>41</v>
      </c>
      <c r="C98" t="s">
        <v>42</v>
      </c>
      <c r="D98" t="s">
        <v>43</v>
      </c>
      <c r="E98" t="s">
        <v>44</v>
      </c>
      <c r="F98" t="s">
        <v>45</v>
      </c>
      <c r="G98" t="s">
        <v>46</v>
      </c>
      <c r="H98" t="s">
        <v>73</v>
      </c>
      <c r="I98" t="s">
        <v>74</v>
      </c>
      <c r="J98" t="s">
        <v>49</v>
      </c>
      <c r="K98" t="s">
        <v>50</v>
      </c>
      <c r="L98">
        <v>44866</v>
      </c>
      <c r="M98" s="1">
        <v>47057</v>
      </c>
      <c r="N98" t="s">
        <v>51</v>
      </c>
      <c r="O98" t="s">
        <v>52</v>
      </c>
      <c r="P98" t="s">
        <v>53</v>
      </c>
      <c r="R98" t="s">
        <v>55</v>
      </c>
      <c r="S98" t="s">
        <v>56</v>
      </c>
      <c r="T98" t="s">
        <v>227</v>
      </c>
      <c r="U98" t="s">
        <v>78</v>
      </c>
      <c r="V98">
        <f>IF(AND(SUM(IF('Consulta de contratos'!$K$1="",0,1),IF('Consulta de contratos'!$K$2="",0,1),IF('Consulta de contratos'!$K$3="",0,1),IF('Consulta de contratos'!$K$4="",0,1),IF('Consulta de contratos'!$K$5="",0,1),IF('Consulta de contratos'!$K$6="",0,1))&gt;0,OR('Consulta de contratos'!$K$1="",A98='Consulta de contratos'!$K$1),OR('Consulta de contratos'!$K$2="",I98='Consulta de contratos'!$K$2),OR('Consulta de contratos'!$K$3="",C98='Consulta de contratos'!$K$3),OR('Consulta de contratos'!$K$4="",D98='Consulta de contratos'!$K$4),OR('Consulta de contratos'!$K$5="",E98='Consulta de contratos'!$K$5),OR('Consulta de contratos'!$K$6="",IFERROR(ISNUMBER(SEARCH("|"&amp;'Consulta de contratos'!$K$6&amp;"|",AF98)),FALSE))),1,0)</f>
        <v>0</v>
      </c>
      <c r="W98">
        <f>IF(V98=1,SUM($V$2:V98),0)</f>
        <v>0</v>
      </c>
      <c r="X98" t="s">
        <v>59</v>
      </c>
      <c r="Y98" t="s">
        <v>79</v>
      </c>
      <c r="Z98" t="s">
        <v>80</v>
      </c>
      <c r="AA98" t="s">
        <v>62</v>
      </c>
      <c r="AF98" t="s">
        <v>81</v>
      </c>
    </row>
    <row r="99" spans="1:32" x14ac:dyDescent="0.35">
      <c r="A99" t="s">
        <v>226</v>
      </c>
      <c r="B99" t="s">
        <v>41</v>
      </c>
      <c r="C99" t="s">
        <v>42</v>
      </c>
      <c r="D99" t="s">
        <v>43</v>
      </c>
      <c r="E99" t="s">
        <v>44</v>
      </c>
      <c r="F99" t="s">
        <v>45</v>
      </c>
      <c r="G99" t="s">
        <v>46</v>
      </c>
      <c r="H99" t="s">
        <v>64</v>
      </c>
      <c r="I99" t="s">
        <v>65</v>
      </c>
      <c r="J99" t="s">
        <v>66</v>
      </c>
      <c r="K99" t="s">
        <v>67</v>
      </c>
      <c r="L99">
        <v>44866</v>
      </c>
      <c r="M99" s="1">
        <v>47057</v>
      </c>
      <c r="N99" t="s">
        <v>51</v>
      </c>
      <c r="O99" t="s">
        <v>52</v>
      </c>
      <c r="P99" t="s">
        <v>53</v>
      </c>
      <c r="Q99" t="s">
        <v>68</v>
      </c>
      <c r="R99" t="s">
        <v>55</v>
      </c>
      <c r="S99" t="s">
        <v>56</v>
      </c>
      <c r="T99" t="s">
        <v>228</v>
      </c>
      <c r="U99" t="s">
        <v>70</v>
      </c>
      <c r="V99">
        <f>IF(AND(SUM(IF('Consulta de contratos'!$K$1="",0,1),IF('Consulta de contratos'!$K$2="",0,1),IF('Consulta de contratos'!$K$3="",0,1),IF('Consulta de contratos'!$K$4="",0,1),IF('Consulta de contratos'!$K$5="",0,1),IF('Consulta de contratos'!$K$6="",0,1))&gt;0,OR('Consulta de contratos'!$K$1="",A99='Consulta de contratos'!$K$1),OR('Consulta de contratos'!$K$2="",I99='Consulta de contratos'!$K$2),OR('Consulta de contratos'!$K$3="",C99='Consulta de contratos'!$K$3),OR('Consulta de contratos'!$K$4="",D99='Consulta de contratos'!$K$4),OR('Consulta de contratos'!$K$5="",E99='Consulta de contratos'!$K$5),OR('Consulta de contratos'!$K$6="",IFERROR(ISNUMBER(SEARCH("|"&amp;'Consulta de contratos'!$K$6&amp;"|",AF99)),FALSE))),1,0)</f>
        <v>0</v>
      </c>
      <c r="W99">
        <f>IF(V99=1,SUM($V$2:V99),0)</f>
        <v>0</v>
      </c>
      <c r="X99" t="s">
        <v>59</v>
      </c>
      <c r="Y99" t="s">
        <v>65</v>
      </c>
      <c r="Z99" t="s">
        <v>71</v>
      </c>
      <c r="AA99" t="s">
        <v>62</v>
      </c>
      <c r="AF99" t="s">
        <v>72</v>
      </c>
    </row>
    <row r="100" spans="1:32" hidden="1" x14ac:dyDescent="0.35">
      <c r="A100" t="s">
        <v>226</v>
      </c>
      <c r="B100" t="s">
        <v>41</v>
      </c>
      <c r="C100" t="s">
        <v>42</v>
      </c>
      <c r="D100" t="s">
        <v>43</v>
      </c>
      <c r="E100" t="s">
        <v>44</v>
      </c>
      <c r="F100" t="s">
        <v>45</v>
      </c>
      <c r="G100" t="s">
        <v>46</v>
      </c>
      <c r="H100" t="s">
        <v>73</v>
      </c>
      <c r="I100" t="s">
        <v>74</v>
      </c>
      <c r="J100" t="s">
        <v>75</v>
      </c>
      <c r="K100" t="s">
        <v>67</v>
      </c>
      <c r="L100">
        <v>44866</v>
      </c>
      <c r="M100" s="1">
        <v>47057</v>
      </c>
      <c r="N100" t="s">
        <v>51</v>
      </c>
      <c r="O100" t="s">
        <v>52</v>
      </c>
      <c r="P100" t="s">
        <v>53</v>
      </c>
      <c r="Q100" t="s">
        <v>76</v>
      </c>
      <c r="R100" t="s">
        <v>55</v>
      </c>
      <c r="S100" t="s">
        <v>56</v>
      </c>
      <c r="T100" t="s">
        <v>229</v>
      </c>
      <c r="U100" t="s">
        <v>78</v>
      </c>
      <c r="V100">
        <f>IF(AND(SUM(IF('Consulta de contratos'!$K$1="",0,1),IF('Consulta de contratos'!$K$2="",0,1),IF('Consulta de contratos'!$K$3="",0,1),IF('Consulta de contratos'!$K$4="",0,1),IF('Consulta de contratos'!$K$5="",0,1),IF('Consulta de contratos'!$K$6="",0,1))&gt;0,OR('Consulta de contratos'!$K$1="",A100='Consulta de contratos'!$K$1),OR('Consulta de contratos'!$K$2="",I100='Consulta de contratos'!$K$2),OR('Consulta de contratos'!$K$3="",C100='Consulta de contratos'!$K$3),OR('Consulta de contratos'!$K$4="",D100='Consulta de contratos'!$K$4),OR('Consulta de contratos'!$K$5="",E100='Consulta de contratos'!$K$5),OR('Consulta de contratos'!$K$6="",IFERROR(ISNUMBER(SEARCH("|"&amp;'Consulta de contratos'!$K$6&amp;"|",AF100)),FALSE))),1,0)</f>
        <v>0</v>
      </c>
      <c r="W100">
        <f>IF(V100=1,SUM($V$2:V100),0)</f>
        <v>0</v>
      </c>
      <c r="X100" t="s">
        <v>59</v>
      </c>
      <c r="Y100" t="s">
        <v>79</v>
      </c>
      <c r="Z100" t="s">
        <v>80</v>
      </c>
      <c r="AA100" t="s">
        <v>62</v>
      </c>
      <c r="AF100" t="s">
        <v>81</v>
      </c>
    </row>
    <row r="101" spans="1:32" hidden="1" x14ac:dyDescent="0.35">
      <c r="A101" t="s">
        <v>226</v>
      </c>
      <c r="B101" t="s">
        <v>41</v>
      </c>
      <c r="C101" t="s">
        <v>42</v>
      </c>
      <c r="D101" t="s">
        <v>43</v>
      </c>
      <c r="E101" t="s">
        <v>44</v>
      </c>
      <c r="F101" t="s">
        <v>82</v>
      </c>
      <c r="G101" t="s">
        <v>83</v>
      </c>
      <c r="H101" t="s">
        <v>84</v>
      </c>
      <c r="I101" t="s">
        <v>85</v>
      </c>
      <c r="J101" t="s">
        <v>86</v>
      </c>
      <c r="K101" t="s">
        <v>87</v>
      </c>
      <c r="M101">
        <v>46850</v>
      </c>
      <c r="N101" t="s">
        <v>51</v>
      </c>
      <c r="O101" t="s">
        <v>52</v>
      </c>
      <c r="P101" t="s">
        <v>53</v>
      </c>
      <c r="R101" t="s">
        <v>88</v>
      </c>
      <c r="S101" t="s">
        <v>89</v>
      </c>
      <c r="T101" t="s">
        <v>230</v>
      </c>
      <c r="U101" t="s">
        <v>91</v>
      </c>
      <c r="V101">
        <f>IF(AND(SUM(IF('Consulta de contratos'!$K$1="",0,1),IF('Consulta de contratos'!$K$2="",0,1),IF('Consulta de contratos'!$K$3="",0,1),IF('Consulta de contratos'!$K$4="",0,1),IF('Consulta de contratos'!$K$5="",0,1),IF('Consulta de contratos'!$K$6="",0,1))&gt;0,OR('Consulta de contratos'!$K$1="",A101='Consulta de contratos'!$K$1),OR('Consulta de contratos'!$K$2="",I101='Consulta de contratos'!$K$2),OR('Consulta de contratos'!$K$3="",C101='Consulta de contratos'!$K$3),OR('Consulta de contratos'!$K$4="",D101='Consulta de contratos'!$K$4),OR('Consulta de contratos'!$K$5="",E101='Consulta de contratos'!$K$5),OR('Consulta de contratos'!$K$6="",IFERROR(ISNUMBER(SEARCH("|"&amp;'Consulta de contratos'!$K$6&amp;"|",AF101)),FALSE))),1,0)</f>
        <v>0</v>
      </c>
      <c r="W101">
        <f>IF(V101=1,SUM($V$2:V101),0)</f>
        <v>0</v>
      </c>
      <c r="X101" t="s">
        <v>59</v>
      </c>
      <c r="Y101" t="s">
        <v>85</v>
      </c>
      <c r="Z101" t="s">
        <v>71</v>
      </c>
      <c r="AA101" t="s">
        <v>62</v>
      </c>
      <c r="AF101" t="s">
        <v>92</v>
      </c>
    </row>
    <row r="102" spans="1:32" hidden="1" x14ac:dyDescent="0.35">
      <c r="A102" t="s">
        <v>226</v>
      </c>
      <c r="B102" t="s">
        <v>41</v>
      </c>
      <c r="C102" t="s">
        <v>42</v>
      </c>
      <c r="D102" t="s">
        <v>43</v>
      </c>
      <c r="E102" t="s">
        <v>44</v>
      </c>
      <c r="F102" t="s">
        <v>93</v>
      </c>
      <c r="G102" t="s">
        <v>94</v>
      </c>
      <c r="H102" t="s">
        <v>84</v>
      </c>
      <c r="I102" t="s">
        <v>95</v>
      </c>
      <c r="J102" t="s">
        <v>96</v>
      </c>
      <c r="K102" t="s">
        <v>97</v>
      </c>
      <c r="L102">
        <v>45622</v>
      </c>
      <c r="M102">
        <v>47447</v>
      </c>
      <c r="N102" t="s">
        <v>51</v>
      </c>
      <c r="O102" t="s">
        <v>52</v>
      </c>
      <c r="P102" t="s">
        <v>53</v>
      </c>
      <c r="Q102" t="s">
        <v>98</v>
      </c>
      <c r="R102" t="s">
        <v>99</v>
      </c>
      <c r="S102" t="s">
        <v>100</v>
      </c>
      <c r="T102" t="s">
        <v>231</v>
      </c>
      <c r="U102" t="s">
        <v>102</v>
      </c>
      <c r="V102">
        <f>IF(AND(SUM(IF('Consulta de contratos'!$K$1="",0,1),IF('Consulta de contratos'!$K$2="",0,1),IF('Consulta de contratos'!$K$3="",0,1),IF('Consulta de contratos'!$K$4="",0,1),IF('Consulta de contratos'!$K$5="",0,1),IF('Consulta de contratos'!$K$6="",0,1))&gt;0,OR('Consulta de contratos'!$K$1="",A102='Consulta de contratos'!$K$1),OR('Consulta de contratos'!$K$2="",I102='Consulta de contratos'!$K$2),OR('Consulta de contratos'!$K$3="",C102='Consulta de contratos'!$K$3),OR('Consulta de contratos'!$K$4="",D102='Consulta de contratos'!$K$4),OR('Consulta de contratos'!$K$5="",E102='Consulta de contratos'!$K$5),OR('Consulta de contratos'!$K$6="",IFERROR(ISNUMBER(SEARCH("|"&amp;'Consulta de contratos'!$K$6&amp;"|",AF102)),FALSE))),1,0)</f>
        <v>0</v>
      </c>
      <c r="W102">
        <f>IF(V102=1,SUM($V$2:V102),0)</f>
        <v>0</v>
      </c>
      <c r="X102" t="s">
        <v>59</v>
      </c>
      <c r="Y102" t="s">
        <v>103</v>
      </c>
      <c r="Z102" t="s">
        <v>61</v>
      </c>
      <c r="AA102" t="s">
        <v>62</v>
      </c>
      <c r="AF102" t="s">
        <v>104</v>
      </c>
    </row>
    <row r="103" spans="1:32" hidden="1" x14ac:dyDescent="0.35">
      <c r="A103" t="s">
        <v>226</v>
      </c>
      <c r="B103" t="s">
        <v>41</v>
      </c>
      <c r="C103" t="s">
        <v>42</v>
      </c>
      <c r="D103" t="s">
        <v>43</v>
      </c>
      <c r="E103" t="s">
        <v>44</v>
      </c>
      <c r="F103" t="s">
        <v>105</v>
      </c>
      <c r="G103" t="s">
        <v>106</v>
      </c>
      <c r="H103" t="s">
        <v>84</v>
      </c>
      <c r="I103" t="s">
        <v>107</v>
      </c>
      <c r="J103" t="s">
        <v>108</v>
      </c>
      <c r="K103" t="s">
        <v>109</v>
      </c>
      <c r="N103" t="s">
        <v>51</v>
      </c>
      <c r="O103" t="s">
        <v>52</v>
      </c>
      <c r="P103" t="s">
        <v>53</v>
      </c>
      <c r="Q103" t="s">
        <v>1988</v>
      </c>
      <c r="R103" t="s">
        <v>1989</v>
      </c>
      <c r="S103" t="s">
        <v>1990</v>
      </c>
      <c r="T103" t="s">
        <v>232</v>
      </c>
      <c r="U103" t="s">
        <v>111</v>
      </c>
      <c r="V103">
        <f>IF(AND(SUM(IF('Consulta de contratos'!$K$1="",0,1),IF('Consulta de contratos'!$K$2="",0,1),IF('Consulta de contratos'!$K$3="",0,1),IF('Consulta de contratos'!$K$4="",0,1),IF('Consulta de contratos'!$K$5="",0,1),IF('Consulta de contratos'!$K$6="",0,1))&gt;0,OR('Consulta de contratos'!$K$1="",A103='Consulta de contratos'!$K$1),OR('Consulta de contratos'!$K$2="",I103='Consulta de contratos'!$K$2),OR('Consulta de contratos'!$K$3="",C103='Consulta de contratos'!$K$3),OR('Consulta de contratos'!$K$4="",D103='Consulta de contratos'!$K$4),OR('Consulta de contratos'!$K$5="",E103='Consulta de contratos'!$K$5),OR('Consulta de contratos'!$K$6="",IFERROR(ISNUMBER(SEARCH("|"&amp;'Consulta de contratos'!$K$6&amp;"|",AF103)),FALSE))),1,0)</f>
        <v>0</v>
      </c>
      <c r="W103">
        <f>IF(V103=1,SUM($V$2:V103),0)</f>
        <v>0</v>
      </c>
      <c r="X103" t="s">
        <v>112</v>
      </c>
      <c r="Y103" t="s">
        <v>113</v>
      </c>
      <c r="Z103" t="s">
        <v>114</v>
      </c>
      <c r="AA103" t="s">
        <v>62</v>
      </c>
      <c r="AF103" t="s">
        <v>115</v>
      </c>
    </row>
    <row r="104" spans="1:32" hidden="1" x14ac:dyDescent="0.35">
      <c r="A104" t="s">
        <v>233</v>
      </c>
      <c r="B104" t="s">
        <v>41</v>
      </c>
      <c r="C104" t="s">
        <v>42</v>
      </c>
      <c r="D104" t="s">
        <v>43</v>
      </c>
      <c r="E104" t="s">
        <v>44</v>
      </c>
      <c r="F104" t="s">
        <v>45</v>
      </c>
      <c r="G104" t="s">
        <v>46</v>
      </c>
      <c r="H104" t="s">
        <v>73</v>
      </c>
      <c r="I104" t="s">
        <v>74</v>
      </c>
      <c r="J104" t="s">
        <v>49</v>
      </c>
      <c r="K104" t="s">
        <v>50</v>
      </c>
      <c r="L104">
        <v>44866</v>
      </c>
      <c r="M104" s="1">
        <v>47057</v>
      </c>
      <c r="N104" t="s">
        <v>51</v>
      </c>
      <c r="O104" t="s">
        <v>52</v>
      </c>
      <c r="P104" t="s">
        <v>53</v>
      </c>
      <c r="R104" t="s">
        <v>55</v>
      </c>
      <c r="S104" t="s">
        <v>56</v>
      </c>
      <c r="T104" t="s">
        <v>234</v>
      </c>
      <c r="U104" t="s">
        <v>78</v>
      </c>
      <c r="V104">
        <f>IF(AND(SUM(IF('Consulta de contratos'!$K$1="",0,1),IF('Consulta de contratos'!$K$2="",0,1),IF('Consulta de contratos'!$K$3="",0,1),IF('Consulta de contratos'!$K$4="",0,1),IF('Consulta de contratos'!$K$5="",0,1),IF('Consulta de contratos'!$K$6="",0,1))&gt;0,OR('Consulta de contratos'!$K$1="",A104='Consulta de contratos'!$K$1),OR('Consulta de contratos'!$K$2="",I104='Consulta de contratos'!$K$2),OR('Consulta de contratos'!$K$3="",C104='Consulta de contratos'!$K$3),OR('Consulta de contratos'!$K$4="",D104='Consulta de contratos'!$K$4),OR('Consulta de contratos'!$K$5="",E104='Consulta de contratos'!$K$5),OR('Consulta de contratos'!$K$6="",IFERROR(ISNUMBER(SEARCH("|"&amp;'Consulta de contratos'!$K$6&amp;"|",AF104)),FALSE))),1,0)</f>
        <v>0</v>
      </c>
      <c r="W104">
        <f>IF(V104=1,SUM($V$2:V104),0)</f>
        <v>0</v>
      </c>
      <c r="X104" t="s">
        <v>59</v>
      </c>
      <c r="Y104" t="s">
        <v>79</v>
      </c>
      <c r="Z104" t="s">
        <v>80</v>
      </c>
      <c r="AA104" t="s">
        <v>62</v>
      </c>
      <c r="AF104" t="s">
        <v>81</v>
      </c>
    </row>
    <row r="105" spans="1:32" x14ac:dyDescent="0.35">
      <c r="A105" t="s">
        <v>233</v>
      </c>
      <c r="B105" t="s">
        <v>41</v>
      </c>
      <c r="C105" t="s">
        <v>42</v>
      </c>
      <c r="D105" t="s">
        <v>43</v>
      </c>
      <c r="E105" t="s">
        <v>44</v>
      </c>
      <c r="F105" t="s">
        <v>45</v>
      </c>
      <c r="G105" t="s">
        <v>46</v>
      </c>
      <c r="H105" t="s">
        <v>64</v>
      </c>
      <c r="I105" t="s">
        <v>65</v>
      </c>
      <c r="J105" t="s">
        <v>66</v>
      </c>
      <c r="K105" t="s">
        <v>67</v>
      </c>
      <c r="L105">
        <v>44866</v>
      </c>
      <c r="M105" s="1">
        <v>47057</v>
      </c>
      <c r="N105" t="s">
        <v>51</v>
      </c>
      <c r="O105" t="s">
        <v>52</v>
      </c>
      <c r="P105" t="s">
        <v>53</v>
      </c>
      <c r="Q105" t="s">
        <v>68</v>
      </c>
      <c r="R105" t="s">
        <v>55</v>
      </c>
      <c r="S105" t="s">
        <v>56</v>
      </c>
      <c r="T105" t="s">
        <v>235</v>
      </c>
      <c r="U105" t="s">
        <v>70</v>
      </c>
      <c r="V105">
        <f>IF(AND(SUM(IF('Consulta de contratos'!$K$1="",0,1),IF('Consulta de contratos'!$K$2="",0,1),IF('Consulta de contratos'!$K$3="",0,1),IF('Consulta de contratos'!$K$4="",0,1),IF('Consulta de contratos'!$K$5="",0,1),IF('Consulta de contratos'!$K$6="",0,1))&gt;0,OR('Consulta de contratos'!$K$1="",A105='Consulta de contratos'!$K$1),OR('Consulta de contratos'!$K$2="",I105='Consulta de contratos'!$K$2),OR('Consulta de contratos'!$K$3="",C105='Consulta de contratos'!$K$3),OR('Consulta de contratos'!$K$4="",D105='Consulta de contratos'!$K$4),OR('Consulta de contratos'!$K$5="",E105='Consulta de contratos'!$K$5),OR('Consulta de contratos'!$K$6="",IFERROR(ISNUMBER(SEARCH("|"&amp;'Consulta de contratos'!$K$6&amp;"|",AF105)),FALSE))),1,0)</f>
        <v>0</v>
      </c>
      <c r="W105">
        <f>IF(V105=1,SUM($V$2:V105),0)</f>
        <v>0</v>
      </c>
      <c r="X105" t="s">
        <v>59</v>
      </c>
      <c r="Y105" t="s">
        <v>65</v>
      </c>
      <c r="Z105" t="s">
        <v>71</v>
      </c>
      <c r="AA105" t="s">
        <v>62</v>
      </c>
      <c r="AF105" t="s">
        <v>72</v>
      </c>
    </row>
    <row r="106" spans="1:32" hidden="1" x14ac:dyDescent="0.35">
      <c r="A106" t="s">
        <v>233</v>
      </c>
      <c r="B106" t="s">
        <v>41</v>
      </c>
      <c r="C106" t="s">
        <v>42</v>
      </c>
      <c r="D106" t="s">
        <v>43</v>
      </c>
      <c r="E106" t="s">
        <v>44</v>
      </c>
      <c r="F106" t="s">
        <v>45</v>
      </c>
      <c r="G106" t="s">
        <v>46</v>
      </c>
      <c r="H106" t="s">
        <v>73</v>
      </c>
      <c r="I106" t="s">
        <v>74</v>
      </c>
      <c r="J106" t="s">
        <v>75</v>
      </c>
      <c r="K106" t="s">
        <v>67</v>
      </c>
      <c r="L106">
        <v>44866</v>
      </c>
      <c r="M106" s="1">
        <v>47057</v>
      </c>
      <c r="N106" t="s">
        <v>51</v>
      </c>
      <c r="O106" t="s">
        <v>52</v>
      </c>
      <c r="P106" t="s">
        <v>53</v>
      </c>
      <c r="Q106" t="s">
        <v>76</v>
      </c>
      <c r="R106" t="s">
        <v>55</v>
      </c>
      <c r="S106" t="s">
        <v>56</v>
      </c>
      <c r="T106" t="s">
        <v>236</v>
      </c>
      <c r="U106" t="s">
        <v>78</v>
      </c>
      <c r="V106">
        <f>IF(AND(SUM(IF('Consulta de contratos'!$K$1="",0,1),IF('Consulta de contratos'!$K$2="",0,1),IF('Consulta de contratos'!$K$3="",0,1),IF('Consulta de contratos'!$K$4="",0,1),IF('Consulta de contratos'!$K$5="",0,1),IF('Consulta de contratos'!$K$6="",0,1))&gt;0,OR('Consulta de contratos'!$K$1="",A106='Consulta de contratos'!$K$1),OR('Consulta de contratos'!$K$2="",I106='Consulta de contratos'!$K$2),OR('Consulta de contratos'!$K$3="",C106='Consulta de contratos'!$K$3),OR('Consulta de contratos'!$K$4="",D106='Consulta de contratos'!$K$4),OR('Consulta de contratos'!$K$5="",E106='Consulta de contratos'!$K$5),OR('Consulta de contratos'!$K$6="",IFERROR(ISNUMBER(SEARCH("|"&amp;'Consulta de contratos'!$K$6&amp;"|",AF106)),FALSE))),1,0)</f>
        <v>0</v>
      </c>
      <c r="W106">
        <f>IF(V106=1,SUM($V$2:V106),0)</f>
        <v>0</v>
      </c>
      <c r="X106" t="s">
        <v>59</v>
      </c>
      <c r="Y106" t="s">
        <v>79</v>
      </c>
      <c r="Z106" t="s">
        <v>80</v>
      </c>
      <c r="AA106" t="s">
        <v>62</v>
      </c>
      <c r="AF106" t="s">
        <v>81</v>
      </c>
    </row>
    <row r="107" spans="1:32" hidden="1" x14ac:dyDescent="0.35">
      <c r="A107" t="s">
        <v>233</v>
      </c>
      <c r="B107" t="s">
        <v>41</v>
      </c>
      <c r="C107" t="s">
        <v>42</v>
      </c>
      <c r="D107" t="s">
        <v>43</v>
      </c>
      <c r="E107" t="s">
        <v>44</v>
      </c>
      <c r="F107" t="s">
        <v>82</v>
      </c>
      <c r="G107" t="s">
        <v>83</v>
      </c>
      <c r="H107" t="s">
        <v>84</v>
      </c>
      <c r="I107" t="s">
        <v>85</v>
      </c>
      <c r="J107" t="s">
        <v>86</v>
      </c>
      <c r="K107" t="s">
        <v>87</v>
      </c>
      <c r="M107">
        <v>46850</v>
      </c>
      <c r="N107" t="s">
        <v>51</v>
      </c>
      <c r="O107" t="s">
        <v>52</v>
      </c>
      <c r="P107" t="s">
        <v>53</v>
      </c>
      <c r="R107" t="s">
        <v>88</v>
      </c>
      <c r="S107" t="s">
        <v>89</v>
      </c>
      <c r="T107" t="s">
        <v>237</v>
      </c>
      <c r="U107" t="s">
        <v>91</v>
      </c>
      <c r="V107">
        <f>IF(AND(SUM(IF('Consulta de contratos'!$K$1="",0,1),IF('Consulta de contratos'!$K$2="",0,1),IF('Consulta de contratos'!$K$3="",0,1),IF('Consulta de contratos'!$K$4="",0,1),IF('Consulta de contratos'!$K$5="",0,1),IF('Consulta de contratos'!$K$6="",0,1))&gt;0,OR('Consulta de contratos'!$K$1="",A107='Consulta de contratos'!$K$1),OR('Consulta de contratos'!$K$2="",I107='Consulta de contratos'!$K$2),OR('Consulta de contratos'!$K$3="",C107='Consulta de contratos'!$K$3),OR('Consulta de contratos'!$K$4="",D107='Consulta de contratos'!$K$4),OR('Consulta de contratos'!$K$5="",E107='Consulta de contratos'!$K$5),OR('Consulta de contratos'!$K$6="",IFERROR(ISNUMBER(SEARCH("|"&amp;'Consulta de contratos'!$K$6&amp;"|",AF107)),FALSE))),1,0)</f>
        <v>0</v>
      </c>
      <c r="W107">
        <f>IF(V107=1,SUM($V$2:V107),0)</f>
        <v>0</v>
      </c>
      <c r="X107" t="s">
        <v>59</v>
      </c>
      <c r="Y107" t="s">
        <v>85</v>
      </c>
      <c r="Z107" t="s">
        <v>71</v>
      </c>
      <c r="AA107" t="s">
        <v>62</v>
      </c>
      <c r="AF107" t="s">
        <v>92</v>
      </c>
    </row>
    <row r="108" spans="1:32" hidden="1" x14ac:dyDescent="0.35">
      <c r="A108" t="s">
        <v>233</v>
      </c>
      <c r="B108" t="s">
        <v>41</v>
      </c>
      <c r="C108" t="s">
        <v>42</v>
      </c>
      <c r="D108" t="s">
        <v>43</v>
      </c>
      <c r="E108" t="s">
        <v>44</v>
      </c>
      <c r="F108" t="s">
        <v>93</v>
      </c>
      <c r="G108" t="s">
        <v>94</v>
      </c>
      <c r="H108" t="s">
        <v>84</v>
      </c>
      <c r="I108" t="s">
        <v>95</v>
      </c>
      <c r="J108" t="s">
        <v>96</v>
      </c>
      <c r="K108" t="s">
        <v>97</v>
      </c>
      <c r="L108">
        <v>45622</v>
      </c>
      <c r="M108">
        <v>47447</v>
      </c>
      <c r="N108" t="s">
        <v>51</v>
      </c>
      <c r="O108" t="s">
        <v>52</v>
      </c>
      <c r="P108" t="s">
        <v>53</v>
      </c>
      <c r="Q108" t="s">
        <v>98</v>
      </c>
      <c r="R108" t="s">
        <v>99</v>
      </c>
      <c r="S108" t="s">
        <v>100</v>
      </c>
      <c r="T108" t="s">
        <v>238</v>
      </c>
      <c r="U108" t="s">
        <v>102</v>
      </c>
      <c r="V108">
        <f>IF(AND(SUM(IF('Consulta de contratos'!$K$1="",0,1),IF('Consulta de contratos'!$K$2="",0,1),IF('Consulta de contratos'!$K$3="",0,1),IF('Consulta de contratos'!$K$4="",0,1),IF('Consulta de contratos'!$K$5="",0,1),IF('Consulta de contratos'!$K$6="",0,1))&gt;0,OR('Consulta de contratos'!$K$1="",A108='Consulta de contratos'!$K$1),OR('Consulta de contratos'!$K$2="",I108='Consulta de contratos'!$K$2),OR('Consulta de contratos'!$K$3="",C108='Consulta de contratos'!$K$3),OR('Consulta de contratos'!$K$4="",D108='Consulta de contratos'!$K$4),OR('Consulta de contratos'!$K$5="",E108='Consulta de contratos'!$K$5),OR('Consulta de contratos'!$K$6="",IFERROR(ISNUMBER(SEARCH("|"&amp;'Consulta de contratos'!$K$6&amp;"|",AF108)),FALSE))),1,0)</f>
        <v>0</v>
      </c>
      <c r="W108">
        <f>IF(V108=1,SUM($V$2:V108),0)</f>
        <v>0</v>
      </c>
      <c r="X108" t="s">
        <v>59</v>
      </c>
      <c r="Y108" t="s">
        <v>103</v>
      </c>
      <c r="Z108" t="s">
        <v>61</v>
      </c>
      <c r="AA108" t="s">
        <v>62</v>
      </c>
      <c r="AF108" t="s">
        <v>104</v>
      </c>
    </row>
    <row r="109" spans="1:32" hidden="1" x14ac:dyDescent="0.35">
      <c r="A109" t="s">
        <v>233</v>
      </c>
      <c r="B109" t="s">
        <v>41</v>
      </c>
      <c r="C109" t="s">
        <v>42</v>
      </c>
      <c r="D109" t="s">
        <v>43</v>
      </c>
      <c r="E109" t="s">
        <v>44</v>
      </c>
      <c r="F109" t="s">
        <v>105</v>
      </c>
      <c r="G109" t="s">
        <v>106</v>
      </c>
      <c r="H109" t="s">
        <v>84</v>
      </c>
      <c r="I109" t="s">
        <v>107</v>
      </c>
      <c r="J109" t="s">
        <v>108</v>
      </c>
      <c r="K109" t="s">
        <v>109</v>
      </c>
      <c r="N109" t="s">
        <v>51</v>
      </c>
      <c r="O109" t="s">
        <v>52</v>
      </c>
      <c r="P109" t="s">
        <v>53</v>
      </c>
      <c r="Q109" t="s">
        <v>1988</v>
      </c>
      <c r="R109" t="s">
        <v>1989</v>
      </c>
      <c r="S109" t="s">
        <v>1990</v>
      </c>
      <c r="T109" t="s">
        <v>239</v>
      </c>
      <c r="U109" t="s">
        <v>111</v>
      </c>
      <c r="V109">
        <f>IF(AND(SUM(IF('Consulta de contratos'!$K$1="",0,1),IF('Consulta de contratos'!$K$2="",0,1),IF('Consulta de contratos'!$K$3="",0,1),IF('Consulta de contratos'!$K$4="",0,1),IF('Consulta de contratos'!$K$5="",0,1),IF('Consulta de contratos'!$K$6="",0,1))&gt;0,OR('Consulta de contratos'!$K$1="",A109='Consulta de contratos'!$K$1),OR('Consulta de contratos'!$K$2="",I109='Consulta de contratos'!$K$2),OR('Consulta de contratos'!$K$3="",C109='Consulta de contratos'!$K$3),OR('Consulta de contratos'!$K$4="",D109='Consulta de contratos'!$K$4),OR('Consulta de contratos'!$K$5="",E109='Consulta de contratos'!$K$5),OR('Consulta de contratos'!$K$6="",IFERROR(ISNUMBER(SEARCH("|"&amp;'Consulta de contratos'!$K$6&amp;"|",AF109)),FALSE))),1,0)</f>
        <v>0</v>
      </c>
      <c r="W109">
        <f>IF(V109=1,SUM($V$2:V109),0)</f>
        <v>0</v>
      </c>
      <c r="X109" t="s">
        <v>112</v>
      </c>
      <c r="Y109" t="s">
        <v>113</v>
      </c>
      <c r="Z109" t="s">
        <v>114</v>
      </c>
      <c r="AA109" t="s">
        <v>62</v>
      </c>
      <c r="AF109" t="s">
        <v>115</v>
      </c>
    </row>
    <row r="110" spans="1:32" hidden="1" x14ac:dyDescent="0.35">
      <c r="A110" t="s">
        <v>240</v>
      </c>
      <c r="B110" t="s">
        <v>41</v>
      </c>
      <c r="C110" t="s">
        <v>42</v>
      </c>
      <c r="D110" t="s">
        <v>43</v>
      </c>
      <c r="E110" t="s">
        <v>44</v>
      </c>
      <c r="F110" t="s">
        <v>45</v>
      </c>
      <c r="G110" t="s">
        <v>46</v>
      </c>
      <c r="H110" t="s">
        <v>124</v>
      </c>
      <c r="I110" t="s">
        <v>125</v>
      </c>
      <c r="J110" t="s">
        <v>49</v>
      </c>
      <c r="K110" t="s">
        <v>50</v>
      </c>
      <c r="L110">
        <v>44866</v>
      </c>
      <c r="M110" s="1">
        <v>47057</v>
      </c>
      <c r="N110" t="s">
        <v>51</v>
      </c>
      <c r="O110" t="s">
        <v>52</v>
      </c>
      <c r="P110" t="s">
        <v>53</v>
      </c>
      <c r="R110" t="s">
        <v>55</v>
      </c>
      <c r="S110" t="s">
        <v>56</v>
      </c>
      <c r="T110" t="s">
        <v>241</v>
      </c>
      <c r="U110" t="s">
        <v>127</v>
      </c>
      <c r="V110">
        <f>IF(AND(SUM(IF('Consulta de contratos'!$K$1="",0,1),IF('Consulta de contratos'!$K$2="",0,1),IF('Consulta de contratos'!$K$3="",0,1),IF('Consulta de contratos'!$K$4="",0,1),IF('Consulta de contratos'!$K$5="",0,1),IF('Consulta de contratos'!$K$6="",0,1))&gt;0,OR('Consulta de contratos'!$K$1="",A110='Consulta de contratos'!$K$1),OR('Consulta de contratos'!$K$2="",I110='Consulta de contratos'!$K$2),OR('Consulta de contratos'!$K$3="",C110='Consulta de contratos'!$K$3),OR('Consulta de contratos'!$K$4="",D110='Consulta de contratos'!$K$4),OR('Consulta de contratos'!$K$5="",E110='Consulta de contratos'!$K$5),OR('Consulta de contratos'!$K$6="",IFERROR(ISNUMBER(SEARCH("|"&amp;'Consulta de contratos'!$K$6&amp;"|",AF110)),FALSE))),1,0)</f>
        <v>0</v>
      </c>
      <c r="W110">
        <f>IF(V110=1,SUM($V$2:V110),0)</f>
        <v>0</v>
      </c>
      <c r="X110" t="s">
        <v>59</v>
      </c>
      <c r="Y110" t="s">
        <v>128</v>
      </c>
      <c r="Z110" t="s">
        <v>80</v>
      </c>
      <c r="AA110" t="s">
        <v>62</v>
      </c>
      <c r="AF110" t="s">
        <v>129</v>
      </c>
    </row>
    <row r="111" spans="1:32" x14ac:dyDescent="0.35">
      <c r="A111" t="s">
        <v>240</v>
      </c>
      <c r="B111" t="s">
        <v>41</v>
      </c>
      <c r="C111" t="s">
        <v>42</v>
      </c>
      <c r="D111" t="s">
        <v>43</v>
      </c>
      <c r="E111" t="s">
        <v>44</v>
      </c>
      <c r="F111" t="s">
        <v>45</v>
      </c>
      <c r="G111" t="s">
        <v>46</v>
      </c>
      <c r="H111" t="s">
        <v>64</v>
      </c>
      <c r="I111" t="s">
        <v>65</v>
      </c>
      <c r="J111" t="s">
        <v>66</v>
      </c>
      <c r="K111" t="s">
        <v>67</v>
      </c>
      <c r="L111">
        <v>44866</v>
      </c>
      <c r="M111" s="1">
        <v>47057</v>
      </c>
      <c r="N111" t="s">
        <v>51</v>
      </c>
      <c r="O111" t="s">
        <v>52</v>
      </c>
      <c r="P111" t="s">
        <v>53</v>
      </c>
      <c r="Q111" t="s">
        <v>68</v>
      </c>
      <c r="R111" t="s">
        <v>55</v>
      </c>
      <c r="S111" t="s">
        <v>56</v>
      </c>
      <c r="T111" t="s">
        <v>242</v>
      </c>
      <c r="U111" t="s">
        <v>70</v>
      </c>
      <c r="V111">
        <f>IF(AND(SUM(IF('Consulta de contratos'!$K$1="",0,1),IF('Consulta de contratos'!$K$2="",0,1),IF('Consulta de contratos'!$K$3="",0,1),IF('Consulta de contratos'!$K$4="",0,1),IF('Consulta de contratos'!$K$5="",0,1),IF('Consulta de contratos'!$K$6="",0,1))&gt;0,OR('Consulta de contratos'!$K$1="",A111='Consulta de contratos'!$K$1),OR('Consulta de contratos'!$K$2="",I111='Consulta de contratos'!$K$2),OR('Consulta de contratos'!$K$3="",C111='Consulta de contratos'!$K$3),OR('Consulta de contratos'!$K$4="",D111='Consulta de contratos'!$K$4),OR('Consulta de contratos'!$K$5="",E111='Consulta de contratos'!$K$5),OR('Consulta de contratos'!$K$6="",IFERROR(ISNUMBER(SEARCH("|"&amp;'Consulta de contratos'!$K$6&amp;"|",AF111)),FALSE))),1,0)</f>
        <v>0</v>
      </c>
      <c r="W111">
        <f>IF(V111=1,SUM($V$2:V111),0)</f>
        <v>0</v>
      </c>
      <c r="X111" t="s">
        <v>59</v>
      </c>
      <c r="Y111" t="s">
        <v>65</v>
      </c>
      <c r="Z111" t="s">
        <v>71</v>
      </c>
      <c r="AA111" t="s">
        <v>62</v>
      </c>
      <c r="AF111" t="s">
        <v>72</v>
      </c>
    </row>
    <row r="112" spans="1:32" hidden="1" x14ac:dyDescent="0.35">
      <c r="A112" t="s">
        <v>240</v>
      </c>
      <c r="B112" t="s">
        <v>41</v>
      </c>
      <c r="C112" t="s">
        <v>42</v>
      </c>
      <c r="D112" t="s">
        <v>43</v>
      </c>
      <c r="E112" t="s">
        <v>44</v>
      </c>
      <c r="F112" t="s">
        <v>45</v>
      </c>
      <c r="G112" t="s">
        <v>46</v>
      </c>
      <c r="H112" t="s">
        <v>73</v>
      </c>
      <c r="I112" t="s">
        <v>74</v>
      </c>
      <c r="J112" t="s">
        <v>75</v>
      </c>
      <c r="K112" t="s">
        <v>67</v>
      </c>
      <c r="L112">
        <v>44866</v>
      </c>
      <c r="M112" s="1">
        <v>47057</v>
      </c>
      <c r="N112" t="s">
        <v>51</v>
      </c>
      <c r="O112" t="s">
        <v>52</v>
      </c>
      <c r="P112" t="s">
        <v>53</v>
      </c>
      <c r="Q112" t="s">
        <v>76</v>
      </c>
      <c r="R112" t="s">
        <v>55</v>
      </c>
      <c r="S112" t="s">
        <v>56</v>
      </c>
      <c r="T112" t="s">
        <v>243</v>
      </c>
      <c r="U112" t="s">
        <v>78</v>
      </c>
      <c r="V112">
        <f>IF(AND(SUM(IF('Consulta de contratos'!$K$1="",0,1),IF('Consulta de contratos'!$K$2="",0,1),IF('Consulta de contratos'!$K$3="",0,1),IF('Consulta de contratos'!$K$4="",0,1),IF('Consulta de contratos'!$K$5="",0,1),IF('Consulta de contratos'!$K$6="",0,1))&gt;0,OR('Consulta de contratos'!$K$1="",A112='Consulta de contratos'!$K$1),OR('Consulta de contratos'!$K$2="",I112='Consulta de contratos'!$K$2),OR('Consulta de contratos'!$K$3="",C112='Consulta de contratos'!$K$3),OR('Consulta de contratos'!$K$4="",D112='Consulta de contratos'!$K$4),OR('Consulta de contratos'!$K$5="",E112='Consulta de contratos'!$K$5),OR('Consulta de contratos'!$K$6="",IFERROR(ISNUMBER(SEARCH("|"&amp;'Consulta de contratos'!$K$6&amp;"|",AF112)),FALSE))),1,0)</f>
        <v>0</v>
      </c>
      <c r="W112">
        <f>IF(V112=1,SUM($V$2:V112),0)</f>
        <v>0</v>
      </c>
      <c r="X112" t="s">
        <v>59</v>
      </c>
      <c r="Y112" t="s">
        <v>79</v>
      </c>
      <c r="Z112" t="s">
        <v>80</v>
      </c>
      <c r="AA112" t="s">
        <v>62</v>
      </c>
      <c r="AF112" t="s">
        <v>81</v>
      </c>
    </row>
    <row r="113" spans="1:32" hidden="1" x14ac:dyDescent="0.35">
      <c r="A113" t="s">
        <v>240</v>
      </c>
      <c r="B113" t="s">
        <v>41</v>
      </c>
      <c r="C113" t="s">
        <v>42</v>
      </c>
      <c r="D113" t="s">
        <v>43</v>
      </c>
      <c r="E113" t="s">
        <v>44</v>
      </c>
      <c r="F113" t="s">
        <v>82</v>
      </c>
      <c r="G113" t="s">
        <v>83</v>
      </c>
      <c r="H113" t="s">
        <v>84</v>
      </c>
      <c r="I113" t="s">
        <v>85</v>
      </c>
      <c r="J113" t="s">
        <v>86</v>
      </c>
      <c r="K113" t="s">
        <v>87</v>
      </c>
      <c r="M113">
        <v>46850</v>
      </c>
      <c r="N113" t="s">
        <v>51</v>
      </c>
      <c r="O113" t="s">
        <v>52</v>
      </c>
      <c r="P113" t="s">
        <v>53</v>
      </c>
      <c r="R113" t="s">
        <v>88</v>
      </c>
      <c r="S113" t="s">
        <v>89</v>
      </c>
      <c r="T113" t="s">
        <v>244</v>
      </c>
      <c r="U113" t="s">
        <v>91</v>
      </c>
      <c r="V113">
        <f>IF(AND(SUM(IF('Consulta de contratos'!$K$1="",0,1),IF('Consulta de contratos'!$K$2="",0,1),IF('Consulta de contratos'!$K$3="",0,1),IF('Consulta de contratos'!$K$4="",0,1),IF('Consulta de contratos'!$K$5="",0,1),IF('Consulta de contratos'!$K$6="",0,1))&gt;0,OR('Consulta de contratos'!$K$1="",A113='Consulta de contratos'!$K$1),OR('Consulta de contratos'!$K$2="",I113='Consulta de contratos'!$K$2),OR('Consulta de contratos'!$K$3="",C113='Consulta de contratos'!$K$3),OR('Consulta de contratos'!$K$4="",D113='Consulta de contratos'!$K$4),OR('Consulta de contratos'!$K$5="",E113='Consulta de contratos'!$K$5),OR('Consulta de contratos'!$K$6="",IFERROR(ISNUMBER(SEARCH("|"&amp;'Consulta de contratos'!$K$6&amp;"|",AF113)),FALSE))),1,0)</f>
        <v>0</v>
      </c>
      <c r="W113">
        <f>IF(V113=1,SUM($V$2:V113),0)</f>
        <v>0</v>
      </c>
      <c r="X113" t="s">
        <v>59</v>
      </c>
      <c r="Y113" t="s">
        <v>85</v>
      </c>
      <c r="Z113" t="s">
        <v>71</v>
      </c>
      <c r="AA113" t="s">
        <v>62</v>
      </c>
      <c r="AF113" t="s">
        <v>92</v>
      </c>
    </row>
    <row r="114" spans="1:32" hidden="1" x14ac:dyDescent="0.35">
      <c r="A114" t="s">
        <v>240</v>
      </c>
      <c r="B114" t="s">
        <v>41</v>
      </c>
      <c r="C114" t="s">
        <v>42</v>
      </c>
      <c r="D114" t="s">
        <v>43</v>
      </c>
      <c r="E114" t="s">
        <v>44</v>
      </c>
      <c r="F114" t="s">
        <v>93</v>
      </c>
      <c r="G114" t="s">
        <v>94</v>
      </c>
      <c r="H114" t="s">
        <v>84</v>
      </c>
      <c r="I114" t="s">
        <v>95</v>
      </c>
      <c r="J114" t="s">
        <v>96</v>
      </c>
      <c r="K114" t="s">
        <v>97</v>
      </c>
      <c r="L114">
        <v>45622</v>
      </c>
      <c r="M114">
        <v>47447</v>
      </c>
      <c r="N114" t="s">
        <v>51</v>
      </c>
      <c r="O114" t="s">
        <v>52</v>
      </c>
      <c r="P114" t="s">
        <v>53</v>
      </c>
      <c r="Q114" t="s">
        <v>98</v>
      </c>
      <c r="R114" t="s">
        <v>99</v>
      </c>
      <c r="S114" t="s">
        <v>100</v>
      </c>
      <c r="T114" t="s">
        <v>245</v>
      </c>
      <c r="U114" t="s">
        <v>102</v>
      </c>
      <c r="V114">
        <f>IF(AND(SUM(IF('Consulta de contratos'!$K$1="",0,1),IF('Consulta de contratos'!$K$2="",0,1),IF('Consulta de contratos'!$K$3="",0,1),IF('Consulta de contratos'!$K$4="",0,1),IF('Consulta de contratos'!$K$5="",0,1),IF('Consulta de contratos'!$K$6="",0,1))&gt;0,OR('Consulta de contratos'!$K$1="",A114='Consulta de contratos'!$K$1),OR('Consulta de contratos'!$K$2="",I114='Consulta de contratos'!$K$2),OR('Consulta de contratos'!$K$3="",C114='Consulta de contratos'!$K$3),OR('Consulta de contratos'!$K$4="",D114='Consulta de contratos'!$K$4),OR('Consulta de contratos'!$K$5="",E114='Consulta de contratos'!$K$5),OR('Consulta de contratos'!$K$6="",IFERROR(ISNUMBER(SEARCH("|"&amp;'Consulta de contratos'!$K$6&amp;"|",AF114)),FALSE))),1,0)</f>
        <v>0</v>
      </c>
      <c r="W114">
        <f>IF(V114=1,SUM($V$2:V114),0)</f>
        <v>0</v>
      </c>
      <c r="X114" t="s">
        <v>59</v>
      </c>
      <c r="Y114" t="s">
        <v>103</v>
      </c>
      <c r="Z114" t="s">
        <v>61</v>
      </c>
      <c r="AA114" t="s">
        <v>62</v>
      </c>
      <c r="AF114" t="s">
        <v>104</v>
      </c>
    </row>
    <row r="115" spans="1:32" hidden="1" x14ac:dyDescent="0.35">
      <c r="A115" t="s">
        <v>240</v>
      </c>
      <c r="B115" t="s">
        <v>41</v>
      </c>
      <c r="C115" t="s">
        <v>42</v>
      </c>
      <c r="D115" t="s">
        <v>43</v>
      </c>
      <c r="E115" t="s">
        <v>44</v>
      </c>
      <c r="F115" t="s">
        <v>105</v>
      </c>
      <c r="G115" t="s">
        <v>106</v>
      </c>
      <c r="H115" t="s">
        <v>84</v>
      </c>
      <c r="I115" t="s">
        <v>107</v>
      </c>
      <c r="J115" t="s">
        <v>108</v>
      </c>
      <c r="K115" t="s">
        <v>109</v>
      </c>
      <c r="N115" t="s">
        <v>51</v>
      </c>
      <c r="O115" t="s">
        <v>52</v>
      </c>
      <c r="P115" t="s">
        <v>53</v>
      </c>
      <c r="Q115" t="s">
        <v>1988</v>
      </c>
      <c r="R115" t="s">
        <v>1989</v>
      </c>
      <c r="S115" t="s">
        <v>1990</v>
      </c>
      <c r="T115" t="s">
        <v>246</v>
      </c>
      <c r="U115" t="s">
        <v>111</v>
      </c>
      <c r="V115">
        <f>IF(AND(SUM(IF('Consulta de contratos'!$K$1="",0,1),IF('Consulta de contratos'!$K$2="",0,1),IF('Consulta de contratos'!$K$3="",0,1),IF('Consulta de contratos'!$K$4="",0,1),IF('Consulta de contratos'!$K$5="",0,1),IF('Consulta de contratos'!$K$6="",0,1))&gt;0,OR('Consulta de contratos'!$K$1="",A115='Consulta de contratos'!$K$1),OR('Consulta de contratos'!$K$2="",I115='Consulta de contratos'!$K$2),OR('Consulta de contratos'!$K$3="",C115='Consulta de contratos'!$K$3),OR('Consulta de contratos'!$K$4="",D115='Consulta de contratos'!$K$4),OR('Consulta de contratos'!$K$5="",E115='Consulta de contratos'!$K$5),OR('Consulta de contratos'!$K$6="",IFERROR(ISNUMBER(SEARCH("|"&amp;'Consulta de contratos'!$K$6&amp;"|",AF115)),FALSE))),1,0)</f>
        <v>0</v>
      </c>
      <c r="W115">
        <f>IF(V115=1,SUM($V$2:V115),0)</f>
        <v>0</v>
      </c>
      <c r="X115" t="s">
        <v>112</v>
      </c>
      <c r="Y115" t="s">
        <v>113</v>
      </c>
      <c r="Z115" t="s">
        <v>114</v>
      </c>
      <c r="AA115" t="s">
        <v>62</v>
      </c>
      <c r="AF115" t="s">
        <v>115</v>
      </c>
    </row>
    <row r="116" spans="1:32" hidden="1" x14ac:dyDescent="0.35">
      <c r="A116" t="s">
        <v>247</v>
      </c>
      <c r="B116" t="s">
        <v>41</v>
      </c>
      <c r="C116" t="s">
        <v>42</v>
      </c>
      <c r="D116" t="s">
        <v>43</v>
      </c>
      <c r="E116" t="s">
        <v>44</v>
      </c>
      <c r="F116" t="s">
        <v>45</v>
      </c>
      <c r="G116" t="s">
        <v>46</v>
      </c>
      <c r="H116" t="s">
        <v>124</v>
      </c>
      <c r="I116" t="s">
        <v>125</v>
      </c>
      <c r="J116" t="s">
        <v>49</v>
      </c>
      <c r="K116" t="s">
        <v>50</v>
      </c>
      <c r="L116">
        <v>44866</v>
      </c>
      <c r="M116" s="1">
        <v>47057</v>
      </c>
      <c r="N116" t="s">
        <v>51</v>
      </c>
      <c r="O116" t="s">
        <v>52</v>
      </c>
      <c r="P116" t="s">
        <v>53</v>
      </c>
      <c r="R116" t="s">
        <v>55</v>
      </c>
      <c r="S116" t="s">
        <v>56</v>
      </c>
      <c r="T116" t="s">
        <v>248</v>
      </c>
      <c r="U116" t="s">
        <v>127</v>
      </c>
      <c r="V116">
        <f>IF(AND(SUM(IF('Consulta de contratos'!$K$1="",0,1),IF('Consulta de contratos'!$K$2="",0,1),IF('Consulta de contratos'!$K$3="",0,1),IF('Consulta de contratos'!$K$4="",0,1),IF('Consulta de contratos'!$K$5="",0,1),IF('Consulta de contratos'!$K$6="",0,1))&gt;0,OR('Consulta de contratos'!$K$1="",A116='Consulta de contratos'!$K$1),OR('Consulta de contratos'!$K$2="",I116='Consulta de contratos'!$K$2),OR('Consulta de contratos'!$K$3="",C116='Consulta de contratos'!$K$3),OR('Consulta de contratos'!$K$4="",D116='Consulta de contratos'!$K$4),OR('Consulta de contratos'!$K$5="",E116='Consulta de contratos'!$K$5),OR('Consulta de contratos'!$K$6="",IFERROR(ISNUMBER(SEARCH("|"&amp;'Consulta de contratos'!$K$6&amp;"|",AF116)),FALSE))),1,0)</f>
        <v>0</v>
      </c>
      <c r="W116">
        <f>IF(V116=1,SUM($V$2:V116),0)</f>
        <v>0</v>
      </c>
      <c r="X116" t="s">
        <v>59</v>
      </c>
      <c r="Y116" t="s">
        <v>128</v>
      </c>
      <c r="Z116" t="s">
        <v>80</v>
      </c>
      <c r="AA116" t="s">
        <v>62</v>
      </c>
      <c r="AF116" t="s">
        <v>129</v>
      </c>
    </row>
    <row r="117" spans="1:32" x14ac:dyDescent="0.35">
      <c r="A117" t="s">
        <v>247</v>
      </c>
      <c r="B117" t="s">
        <v>41</v>
      </c>
      <c r="C117" t="s">
        <v>42</v>
      </c>
      <c r="D117" t="s">
        <v>43</v>
      </c>
      <c r="E117" t="s">
        <v>44</v>
      </c>
      <c r="F117" t="s">
        <v>45</v>
      </c>
      <c r="G117" t="s">
        <v>46</v>
      </c>
      <c r="H117" t="s">
        <v>64</v>
      </c>
      <c r="I117" t="s">
        <v>65</v>
      </c>
      <c r="J117" t="s">
        <v>66</v>
      </c>
      <c r="K117" t="s">
        <v>67</v>
      </c>
      <c r="L117">
        <v>44866</v>
      </c>
      <c r="M117" s="1">
        <v>47057</v>
      </c>
      <c r="N117" t="s">
        <v>51</v>
      </c>
      <c r="O117" t="s">
        <v>52</v>
      </c>
      <c r="P117" t="s">
        <v>53</v>
      </c>
      <c r="Q117" t="s">
        <v>68</v>
      </c>
      <c r="R117" t="s">
        <v>55</v>
      </c>
      <c r="S117" t="s">
        <v>56</v>
      </c>
      <c r="T117" t="s">
        <v>249</v>
      </c>
      <c r="U117" t="s">
        <v>70</v>
      </c>
      <c r="V117">
        <f>IF(AND(SUM(IF('Consulta de contratos'!$K$1="",0,1),IF('Consulta de contratos'!$K$2="",0,1),IF('Consulta de contratos'!$K$3="",0,1),IF('Consulta de contratos'!$K$4="",0,1),IF('Consulta de contratos'!$K$5="",0,1),IF('Consulta de contratos'!$K$6="",0,1))&gt;0,OR('Consulta de contratos'!$K$1="",A117='Consulta de contratos'!$K$1),OR('Consulta de contratos'!$K$2="",I117='Consulta de contratos'!$K$2),OR('Consulta de contratos'!$K$3="",C117='Consulta de contratos'!$K$3),OR('Consulta de contratos'!$K$4="",D117='Consulta de contratos'!$K$4),OR('Consulta de contratos'!$K$5="",E117='Consulta de contratos'!$K$5),OR('Consulta de contratos'!$K$6="",IFERROR(ISNUMBER(SEARCH("|"&amp;'Consulta de contratos'!$K$6&amp;"|",AF117)),FALSE))),1,0)</f>
        <v>0</v>
      </c>
      <c r="W117">
        <f>IF(V117=1,SUM($V$2:V117),0)</f>
        <v>0</v>
      </c>
      <c r="X117" t="s">
        <v>59</v>
      </c>
      <c r="Y117" t="s">
        <v>65</v>
      </c>
      <c r="Z117" t="s">
        <v>71</v>
      </c>
      <c r="AA117" t="s">
        <v>62</v>
      </c>
      <c r="AF117" t="s">
        <v>72</v>
      </c>
    </row>
    <row r="118" spans="1:32" hidden="1" x14ac:dyDescent="0.35">
      <c r="A118" t="s">
        <v>247</v>
      </c>
      <c r="B118" t="s">
        <v>41</v>
      </c>
      <c r="C118" t="s">
        <v>42</v>
      </c>
      <c r="D118" t="s">
        <v>43</v>
      </c>
      <c r="E118" t="s">
        <v>44</v>
      </c>
      <c r="F118" t="s">
        <v>45</v>
      </c>
      <c r="G118" t="s">
        <v>46</v>
      </c>
      <c r="H118" t="s">
        <v>73</v>
      </c>
      <c r="I118" t="s">
        <v>74</v>
      </c>
      <c r="J118" t="s">
        <v>75</v>
      </c>
      <c r="K118" t="s">
        <v>67</v>
      </c>
      <c r="L118">
        <v>44866</v>
      </c>
      <c r="M118" s="1">
        <v>47057</v>
      </c>
      <c r="N118" t="s">
        <v>51</v>
      </c>
      <c r="O118" t="s">
        <v>52</v>
      </c>
      <c r="P118" t="s">
        <v>53</v>
      </c>
      <c r="Q118" t="s">
        <v>76</v>
      </c>
      <c r="R118" t="s">
        <v>55</v>
      </c>
      <c r="S118" t="s">
        <v>56</v>
      </c>
      <c r="T118" t="s">
        <v>250</v>
      </c>
      <c r="U118" t="s">
        <v>78</v>
      </c>
      <c r="V118">
        <f>IF(AND(SUM(IF('Consulta de contratos'!$K$1="",0,1),IF('Consulta de contratos'!$K$2="",0,1),IF('Consulta de contratos'!$K$3="",0,1),IF('Consulta de contratos'!$K$4="",0,1),IF('Consulta de contratos'!$K$5="",0,1),IF('Consulta de contratos'!$K$6="",0,1))&gt;0,OR('Consulta de contratos'!$K$1="",A118='Consulta de contratos'!$K$1),OR('Consulta de contratos'!$K$2="",I118='Consulta de contratos'!$K$2),OR('Consulta de contratos'!$K$3="",C118='Consulta de contratos'!$K$3),OR('Consulta de contratos'!$K$4="",D118='Consulta de contratos'!$K$4),OR('Consulta de contratos'!$K$5="",E118='Consulta de contratos'!$K$5),OR('Consulta de contratos'!$K$6="",IFERROR(ISNUMBER(SEARCH("|"&amp;'Consulta de contratos'!$K$6&amp;"|",AF118)),FALSE))),1,0)</f>
        <v>0</v>
      </c>
      <c r="W118">
        <f>IF(V118=1,SUM($V$2:V118),0)</f>
        <v>0</v>
      </c>
      <c r="X118" t="s">
        <v>59</v>
      </c>
      <c r="Y118" t="s">
        <v>79</v>
      </c>
      <c r="Z118" t="s">
        <v>80</v>
      </c>
      <c r="AA118" t="s">
        <v>62</v>
      </c>
      <c r="AF118" t="s">
        <v>81</v>
      </c>
    </row>
    <row r="119" spans="1:32" hidden="1" x14ac:dyDescent="0.35">
      <c r="A119" t="s">
        <v>247</v>
      </c>
      <c r="B119" t="s">
        <v>41</v>
      </c>
      <c r="C119" t="s">
        <v>42</v>
      </c>
      <c r="D119" t="s">
        <v>43</v>
      </c>
      <c r="E119" t="s">
        <v>44</v>
      </c>
      <c r="F119" t="s">
        <v>82</v>
      </c>
      <c r="G119" t="s">
        <v>83</v>
      </c>
      <c r="H119" t="s">
        <v>84</v>
      </c>
      <c r="I119" t="s">
        <v>85</v>
      </c>
      <c r="J119" t="s">
        <v>86</v>
      </c>
      <c r="K119" t="s">
        <v>87</v>
      </c>
      <c r="M119">
        <v>46850</v>
      </c>
      <c r="N119" t="s">
        <v>51</v>
      </c>
      <c r="O119" t="s">
        <v>52</v>
      </c>
      <c r="P119" t="s">
        <v>53</v>
      </c>
      <c r="R119" t="s">
        <v>88</v>
      </c>
      <c r="S119" t="s">
        <v>89</v>
      </c>
      <c r="T119" t="s">
        <v>251</v>
      </c>
      <c r="U119" t="s">
        <v>91</v>
      </c>
      <c r="V119">
        <f>IF(AND(SUM(IF('Consulta de contratos'!$K$1="",0,1),IF('Consulta de contratos'!$K$2="",0,1),IF('Consulta de contratos'!$K$3="",0,1),IF('Consulta de contratos'!$K$4="",0,1),IF('Consulta de contratos'!$K$5="",0,1),IF('Consulta de contratos'!$K$6="",0,1))&gt;0,OR('Consulta de contratos'!$K$1="",A119='Consulta de contratos'!$K$1),OR('Consulta de contratos'!$K$2="",I119='Consulta de contratos'!$K$2),OR('Consulta de contratos'!$K$3="",C119='Consulta de contratos'!$K$3),OR('Consulta de contratos'!$K$4="",D119='Consulta de contratos'!$K$4),OR('Consulta de contratos'!$K$5="",E119='Consulta de contratos'!$K$5),OR('Consulta de contratos'!$K$6="",IFERROR(ISNUMBER(SEARCH("|"&amp;'Consulta de contratos'!$K$6&amp;"|",AF119)),FALSE))),1,0)</f>
        <v>0</v>
      </c>
      <c r="W119">
        <f>IF(V119=1,SUM($V$2:V119),0)</f>
        <v>0</v>
      </c>
      <c r="X119" t="s">
        <v>59</v>
      </c>
      <c r="Y119" t="s">
        <v>85</v>
      </c>
      <c r="Z119" t="s">
        <v>71</v>
      </c>
      <c r="AA119" t="s">
        <v>62</v>
      </c>
      <c r="AF119" t="s">
        <v>92</v>
      </c>
    </row>
    <row r="120" spans="1:32" hidden="1" x14ac:dyDescent="0.35">
      <c r="A120" t="s">
        <v>247</v>
      </c>
      <c r="B120" t="s">
        <v>41</v>
      </c>
      <c r="C120" t="s">
        <v>42</v>
      </c>
      <c r="D120" t="s">
        <v>43</v>
      </c>
      <c r="E120" t="s">
        <v>44</v>
      </c>
      <c r="F120" t="s">
        <v>93</v>
      </c>
      <c r="G120" t="s">
        <v>94</v>
      </c>
      <c r="H120" t="s">
        <v>84</v>
      </c>
      <c r="I120" t="s">
        <v>95</v>
      </c>
      <c r="J120" t="s">
        <v>96</v>
      </c>
      <c r="K120" t="s">
        <v>97</v>
      </c>
      <c r="L120">
        <v>45622</v>
      </c>
      <c r="M120">
        <v>47447</v>
      </c>
      <c r="N120" t="s">
        <v>51</v>
      </c>
      <c r="O120" t="s">
        <v>52</v>
      </c>
      <c r="P120" t="s">
        <v>53</v>
      </c>
      <c r="Q120" t="s">
        <v>98</v>
      </c>
      <c r="R120" t="s">
        <v>99</v>
      </c>
      <c r="S120" t="s">
        <v>100</v>
      </c>
      <c r="T120" t="s">
        <v>252</v>
      </c>
      <c r="U120" t="s">
        <v>102</v>
      </c>
      <c r="V120">
        <f>IF(AND(SUM(IF('Consulta de contratos'!$K$1="",0,1),IF('Consulta de contratos'!$K$2="",0,1),IF('Consulta de contratos'!$K$3="",0,1),IF('Consulta de contratos'!$K$4="",0,1),IF('Consulta de contratos'!$K$5="",0,1),IF('Consulta de contratos'!$K$6="",0,1))&gt;0,OR('Consulta de contratos'!$K$1="",A120='Consulta de contratos'!$K$1),OR('Consulta de contratos'!$K$2="",I120='Consulta de contratos'!$K$2),OR('Consulta de contratos'!$K$3="",C120='Consulta de contratos'!$K$3),OR('Consulta de contratos'!$K$4="",D120='Consulta de contratos'!$K$4),OR('Consulta de contratos'!$K$5="",E120='Consulta de contratos'!$K$5),OR('Consulta de contratos'!$K$6="",IFERROR(ISNUMBER(SEARCH("|"&amp;'Consulta de contratos'!$K$6&amp;"|",AF120)),FALSE))),1,0)</f>
        <v>0</v>
      </c>
      <c r="W120">
        <f>IF(V120=1,SUM($V$2:V120),0)</f>
        <v>0</v>
      </c>
      <c r="X120" t="s">
        <v>59</v>
      </c>
      <c r="Y120" t="s">
        <v>103</v>
      </c>
      <c r="Z120" t="s">
        <v>61</v>
      </c>
      <c r="AA120" t="s">
        <v>62</v>
      </c>
      <c r="AF120" t="s">
        <v>104</v>
      </c>
    </row>
    <row r="121" spans="1:32" hidden="1" x14ac:dyDescent="0.35">
      <c r="A121" t="s">
        <v>247</v>
      </c>
      <c r="B121" t="s">
        <v>41</v>
      </c>
      <c r="C121" t="s">
        <v>42</v>
      </c>
      <c r="D121" t="s">
        <v>43</v>
      </c>
      <c r="E121" t="s">
        <v>44</v>
      </c>
      <c r="F121" t="s">
        <v>105</v>
      </c>
      <c r="G121" t="s">
        <v>106</v>
      </c>
      <c r="H121" t="s">
        <v>84</v>
      </c>
      <c r="I121" t="s">
        <v>107</v>
      </c>
      <c r="J121" t="s">
        <v>108</v>
      </c>
      <c r="K121" t="s">
        <v>109</v>
      </c>
      <c r="N121" t="s">
        <v>51</v>
      </c>
      <c r="O121" t="s">
        <v>52</v>
      </c>
      <c r="P121" t="s">
        <v>53</v>
      </c>
      <c r="Q121" t="s">
        <v>1988</v>
      </c>
      <c r="R121" t="s">
        <v>1989</v>
      </c>
      <c r="S121" t="s">
        <v>1990</v>
      </c>
      <c r="T121" t="s">
        <v>253</v>
      </c>
      <c r="U121" t="s">
        <v>111</v>
      </c>
      <c r="V121">
        <f>IF(AND(SUM(IF('Consulta de contratos'!$K$1="",0,1),IF('Consulta de contratos'!$K$2="",0,1),IF('Consulta de contratos'!$K$3="",0,1),IF('Consulta de contratos'!$K$4="",0,1),IF('Consulta de contratos'!$K$5="",0,1),IF('Consulta de contratos'!$K$6="",0,1))&gt;0,OR('Consulta de contratos'!$K$1="",A121='Consulta de contratos'!$K$1),OR('Consulta de contratos'!$K$2="",I121='Consulta de contratos'!$K$2),OR('Consulta de contratos'!$K$3="",C121='Consulta de contratos'!$K$3),OR('Consulta de contratos'!$K$4="",D121='Consulta de contratos'!$K$4),OR('Consulta de contratos'!$K$5="",E121='Consulta de contratos'!$K$5),OR('Consulta de contratos'!$K$6="",IFERROR(ISNUMBER(SEARCH("|"&amp;'Consulta de contratos'!$K$6&amp;"|",AF121)),FALSE))),1,0)</f>
        <v>0</v>
      </c>
      <c r="W121">
        <f>IF(V121=1,SUM($V$2:V121),0)</f>
        <v>0</v>
      </c>
      <c r="X121" t="s">
        <v>112</v>
      </c>
      <c r="Y121" t="s">
        <v>113</v>
      </c>
      <c r="Z121" t="s">
        <v>114</v>
      </c>
      <c r="AA121" t="s">
        <v>62</v>
      </c>
      <c r="AF121" t="s">
        <v>115</v>
      </c>
    </row>
    <row r="122" spans="1:32" hidden="1" x14ac:dyDescent="0.35">
      <c r="A122" t="s">
        <v>254</v>
      </c>
      <c r="B122" t="s">
        <v>41</v>
      </c>
      <c r="C122" t="s">
        <v>42</v>
      </c>
      <c r="D122" t="s">
        <v>43</v>
      </c>
      <c r="E122" t="s">
        <v>44</v>
      </c>
      <c r="F122" t="s">
        <v>45</v>
      </c>
      <c r="G122" t="s">
        <v>46</v>
      </c>
      <c r="H122" t="s">
        <v>124</v>
      </c>
      <c r="I122" t="s">
        <v>125</v>
      </c>
      <c r="J122" t="s">
        <v>49</v>
      </c>
      <c r="K122" t="s">
        <v>50</v>
      </c>
      <c r="L122">
        <v>44866</v>
      </c>
      <c r="M122" s="1">
        <v>47057</v>
      </c>
      <c r="N122" t="s">
        <v>51</v>
      </c>
      <c r="O122" t="s">
        <v>52</v>
      </c>
      <c r="P122" t="s">
        <v>53</v>
      </c>
      <c r="R122" t="s">
        <v>55</v>
      </c>
      <c r="S122" t="s">
        <v>56</v>
      </c>
      <c r="T122" t="s">
        <v>255</v>
      </c>
      <c r="U122" t="s">
        <v>127</v>
      </c>
      <c r="V122">
        <f>IF(AND(SUM(IF('Consulta de contratos'!$K$1="",0,1),IF('Consulta de contratos'!$K$2="",0,1),IF('Consulta de contratos'!$K$3="",0,1),IF('Consulta de contratos'!$K$4="",0,1),IF('Consulta de contratos'!$K$5="",0,1),IF('Consulta de contratos'!$K$6="",0,1))&gt;0,OR('Consulta de contratos'!$K$1="",A122='Consulta de contratos'!$K$1),OR('Consulta de contratos'!$K$2="",I122='Consulta de contratos'!$K$2),OR('Consulta de contratos'!$K$3="",C122='Consulta de contratos'!$K$3),OR('Consulta de contratos'!$K$4="",D122='Consulta de contratos'!$K$4),OR('Consulta de contratos'!$K$5="",E122='Consulta de contratos'!$K$5),OR('Consulta de contratos'!$K$6="",IFERROR(ISNUMBER(SEARCH("|"&amp;'Consulta de contratos'!$K$6&amp;"|",AF122)),FALSE))),1,0)</f>
        <v>0</v>
      </c>
      <c r="W122">
        <f>IF(V122=1,SUM($V$2:V122),0)</f>
        <v>0</v>
      </c>
      <c r="X122" t="s">
        <v>59</v>
      </c>
      <c r="Y122" t="s">
        <v>128</v>
      </c>
      <c r="Z122" t="s">
        <v>80</v>
      </c>
      <c r="AA122" t="s">
        <v>62</v>
      </c>
      <c r="AF122" t="s">
        <v>129</v>
      </c>
    </row>
    <row r="123" spans="1:32" x14ac:dyDescent="0.35">
      <c r="A123" t="s">
        <v>254</v>
      </c>
      <c r="B123" t="s">
        <v>41</v>
      </c>
      <c r="C123" t="s">
        <v>42</v>
      </c>
      <c r="D123" t="s">
        <v>43</v>
      </c>
      <c r="E123" t="s">
        <v>44</v>
      </c>
      <c r="F123" t="s">
        <v>45</v>
      </c>
      <c r="G123" t="s">
        <v>46</v>
      </c>
      <c r="H123" t="s">
        <v>64</v>
      </c>
      <c r="I123" t="s">
        <v>65</v>
      </c>
      <c r="J123" t="s">
        <v>66</v>
      </c>
      <c r="K123" t="s">
        <v>67</v>
      </c>
      <c r="L123">
        <v>44866</v>
      </c>
      <c r="M123" s="1">
        <v>47057</v>
      </c>
      <c r="N123" t="s">
        <v>51</v>
      </c>
      <c r="O123" t="s">
        <v>52</v>
      </c>
      <c r="P123" t="s">
        <v>53</v>
      </c>
      <c r="Q123" t="s">
        <v>68</v>
      </c>
      <c r="R123" t="s">
        <v>55</v>
      </c>
      <c r="S123" t="s">
        <v>56</v>
      </c>
      <c r="T123" t="s">
        <v>256</v>
      </c>
      <c r="U123" t="s">
        <v>70</v>
      </c>
      <c r="V123">
        <f>IF(AND(SUM(IF('Consulta de contratos'!$K$1="",0,1),IF('Consulta de contratos'!$K$2="",0,1),IF('Consulta de contratos'!$K$3="",0,1),IF('Consulta de contratos'!$K$4="",0,1),IF('Consulta de contratos'!$K$5="",0,1),IF('Consulta de contratos'!$K$6="",0,1))&gt;0,OR('Consulta de contratos'!$K$1="",A123='Consulta de contratos'!$K$1),OR('Consulta de contratos'!$K$2="",I123='Consulta de contratos'!$K$2),OR('Consulta de contratos'!$K$3="",C123='Consulta de contratos'!$K$3),OR('Consulta de contratos'!$K$4="",D123='Consulta de contratos'!$K$4),OR('Consulta de contratos'!$K$5="",E123='Consulta de contratos'!$K$5),OR('Consulta de contratos'!$K$6="",IFERROR(ISNUMBER(SEARCH("|"&amp;'Consulta de contratos'!$K$6&amp;"|",AF123)),FALSE))),1,0)</f>
        <v>0</v>
      </c>
      <c r="W123">
        <f>IF(V123=1,SUM($V$2:V123),0)</f>
        <v>0</v>
      </c>
      <c r="X123" t="s">
        <v>59</v>
      </c>
      <c r="Y123" t="s">
        <v>65</v>
      </c>
      <c r="Z123" t="s">
        <v>71</v>
      </c>
      <c r="AA123" t="s">
        <v>62</v>
      </c>
      <c r="AF123" t="s">
        <v>72</v>
      </c>
    </row>
    <row r="124" spans="1:32" hidden="1" x14ac:dyDescent="0.35">
      <c r="A124" t="s">
        <v>254</v>
      </c>
      <c r="B124" t="s">
        <v>41</v>
      </c>
      <c r="C124" t="s">
        <v>42</v>
      </c>
      <c r="D124" t="s">
        <v>43</v>
      </c>
      <c r="E124" t="s">
        <v>44</v>
      </c>
      <c r="F124" t="s">
        <v>45</v>
      </c>
      <c r="G124" t="s">
        <v>46</v>
      </c>
      <c r="H124" t="s">
        <v>73</v>
      </c>
      <c r="I124" t="s">
        <v>74</v>
      </c>
      <c r="J124" t="s">
        <v>75</v>
      </c>
      <c r="K124" t="s">
        <v>67</v>
      </c>
      <c r="L124">
        <v>44866</v>
      </c>
      <c r="M124" s="1">
        <v>47057</v>
      </c>
      <c r="N124" t="s">
        <v>51</v>
      </c>
      <c r="O124" t="s">
        <v>52</v>
      </c>
      <c r="P124" t="s">
        <v>53</v>
      </c>
      <c r="Q124" t="s">
        <v>76</v>
      </c>
      <c r="R124" t="s">
        <v>55</v>
      </c>
      <c r="S124" t="s">
        <v>56</v>
      </c>
      <c r="T124" t="s">
        <v>257</v>
      </c>
      <c r="U124" t="s">
        <v>78</v>
      </c>
      <c r="V124">
        <f>IF(AND(SUM(IF('Consulta de contratos'!$K$1="",0,1),IF('Consulta de contratos'!$K$2="",0,1),IF('Consulta de contratos'!$K$3="",0,1),IF('Consulta de contratos'!$K$4="",0,1),IF('Consulta de contratos'!$K$5="",0,1),IF('Consulta de contratos'!$K$6="",0,1))&gt;0,OR('Consulta de contratos'!$K$1="",A124='Consulta de contratos'!$K$1),OR('Consulta de contratos'!$K$2="",I124='Consulta de contratos'!$K$2),OR('Consulta de contratos'!$K$3="",C124='Consulta de contratos'!$K$3),OR('Consulta de contratos'!$K$4="",D124='Consulta de contratos'!$K$4),OR('Consulta de contratos'!$K$5="",E124='Consulta de contratos'!$K$5),OR('Consulta de contratos'!$K$6="",IFERROR(ISNUMBER(SEARCH("|"&amp;'Consulta de contratos'!$K$6&amp;"|",AF124)),FALSE))),1,0)</f>
        <v>0</v>
      </c>
      <c r="W124">
        <f>IF(V124=1,SUM($V$2:V124),0)</f>
        <v>0</v>
      </c>
      <c r="X124" t="s">
        <v>59</v>
      </c>
      <c r="Y124" t="s">
        <v>79</v>
      </c>
      <c r="Z124" t="s">
        <v>80</v>
      </c>
      <c r="AA124" t="s">
        <v>62</v>
      </c>
      <c r="AF124" t="s">
        <v>81</v>
      </c>
    </row>
    <row r="125" spans="1:32" hidden="1" x14ac:dyDescent="0.35">
      <c r="A125" t="s">
        <v>254</v>
      </c>
      <c r="B125" t="s">
        <v>41</v>
      </c>
      <c r="C125" t="s">
        <v>42</v>
      </c>
      <c r="D125" t="s">
        <v>43</v>
      </c>
      <c r="E125" t="s">
        <v>44</v>
      </c>
      <c r="F125" t="s">
        <v>82</v>
      </c>
      <c r="G125" t="s">
        <v>83</v>
      </c>
      <c r="H125" t="s">
        <v>84</v>
      </c>
      <c r="I125" t="s">
        <v>85</v>
      </c>
      <c r="J125" t="s">
        <v>86</v>
      </c>
      <c r="K125" t="s">
        <v>87</v>
      </c>
      <c r="M125">
        <v>46850</v>
      </c>
      <c r="N125" t="s">
        <v>51</v>
      </c>
      <c r="O125" t="s">
        <v>52</v>
      </c>
      <c r="P125" t="s">
        <v>53</v>
      </c>
      <c r="R125" t="s">
        <v>88</v>
      </c>
      <c r="S125" t="s">
        <v>89</v>
      </c>
      <c r="T125" t="s">
        <v>258</v>
      </c>
      <c r="U125" t="s">
        <v>91</v>
      </c>
      <c r="V125">
        <f>IF(AND(SUM(IF('Consulta de contratos'!$K$1="",0,1),IF('Consulta de contratos'!$K$2="",0,1),IF('Consulta de contratos'!$K$3="",0,1),IF('Consulta de contratos'!$K$4="",0,1),IF('Consulta de contratos'!$K$5="",0,1),IF('Consulta de contratos'!$K$6="",0,1))&gt;0,OR('Consulta de contratos'!$K$1="",A125='Consulta de contratos'!$K$1),OR('Consulta de contratos'!$K$2="",I125='Consulta de contratos'!$K$2),OR('Consulta de contratos'!$K$3="",C125='Consulta de contratos'!$K$3),OR('Consulta de contratos'!$K$4="",D125='Consulta de contratos'!$K$4),OR('Consulta de contratos'!$K$5="",E125='Consulta de contratos'!$K$5),OR('Consulta de contratos'!$K$6="",IFERROR(ISNUMBER(SEARCH("|"&amp;'Consulta de contratos'!$K$6&amp;"|",AF125)),FALSE))),1,0)</f>
        <v>0</v>
      </c>
      <c r="W125">
        <f>IF(V125=1,SUM($V$2:V125),0)</f>
        <v>0</v>
      </c>
      <c r="X125" t="s">
        <v>59</v>
      </c>
      <c r="Y125" t="s">
        <v>85</v>
      </c>
      <c r="Z125" t="s">
        <v>71</v>
      </c>
      <c r="AA125" t="s">
        <v>62</v>
      </c>
      <c r="AF125" t="s">
        <v>92</v>
      </c>
    </row>
    <row r="126" spans="1:32" hidden="1" x14ac:dyDescent="0.35">
      <c r="A126" t="s">
        <v>254</v>
      </c>
      <c r="B126" t="s">
        <v>41</v>
      </c>
      <c r="C126" t="s">
        <v>42</v>
      </c>
      <c r="D126" t="s">
        <v>43</v>
      </c>
      <c r="E126" t="s">
        <v>44</v>
      </c>
      <c r="F126" t="s">
        <v>93</v>
      </c>
      <c r="G126" t="s">
        <v>94</v>
      </c>
      <c r="H126" t="s">
        <v>84</v>
      </c>
      <c r="I126" t="s">
        <v>95</v>
      </c>
      <c r="J126" t="s">
        <v>96</v>
      </c>
      <c r="K126" t="s">
        <v>97</v>
      </c>
      <c r="L126">
        <v>45622</v>
      </c>
      <c r="M126">
        <v>47447</v>
      </c>
      <c r="N126" t="s">
        <v>51</v>
      </c>
      <c r="O126" t="s">
        <v>52</v>
      </c>
      <c r="P126" t="s">
        <v>53</v>
      </c>
      <c r="Q126" t="s">
        <v>98</v>
      </c>
      <c r="R126" t="s">
        <v>99</v>
      </c>
      <c r="S126" t="s">
        <v>100</v>
      </c>
      <c r="T126" t="s">
        <v>259</v>
      </c>
      <c r="U126" t="s">
        <v>102</v>
      </c>
      <c r="V126">
        <f>IF(AND(SUM(IF('Consulta de contratos'!$K$1="",0,1),IF('Consulta de contratos'!$K$2="",0,1),IF('Consulta de contratos'!$K$3="",0,1),IF('Consulta de contratos'!$K$4="",0,1),IF('Consulta de contratos'!$K$5="",0,1),IF('Consulta de contratos'!$K$6="",0,1))&gt;0,OR('Consulta de contratos'!$K$1="",A126='Consulta de contratos'!$K$1),OR('Consulta de contratos'!$K$2="",I126='Consulta de contratos'!$K$2),OR('Consulta de contratos'!$K$3="",C126='Consulta de contratos'!$K$3),OR('Consulta de contratos'!$K$4="",D126='Consulta de contratos'!$K$4),OR('Consulta de contratos'!$K$5="",E126='Consulta de contratos'!$K$5),OR('Consulta de contratos'!$K$6="",IFERROR(ISNUMBER(SEARCH("|"&amp;'Consulta de contratos'!$K$6&amp;"|",AF126)),FALSE))),1,0)</f>
        <v>0</v>
      </c>
      <c r="W126">
        <f>IF(V126=1,SUM($V$2:V126),0)</f>
        <v>0</v>
      </c>
      <c r="X126" t="s">
        <v>59</v>
      </c>
      <c r="Y126" t="s">
        <v>103</v>
      </c>
      <c r="Z126" t="s">
        <v>61</v>
      </c>
      <c r="AA126" t="s">
        <v>62</v>
      </c>
      <c r="AF126" t="s">
        <v>104</v>
      </c>
    </row>
    <row r="127" spans="1:32" hidden="1" x14ac:dyDescent="0.35">
      <c r="A127" t="s">
        <v>254</v>
      </c>
      <c r="B127" t="s">
        <v>41</v>
      </c>
      <c r="C127" t="s">
        <v>42</v>
      </c>
      <c r="D127" t="s">
        <v>43</v>
      </c>
      <c r="E127" t="s">
        <v>44</v>
      </c>
      <c r="F127" t="s">
        <v>105</v>
      </c>
      <c r="G127" t="s">
        <v>106</v>
      </c>
      <c r="H127" t="s">
        <v>84</v>
      </c>
      <c r="I127" t="s">
        <v>107</v>
      </c>
      <c r="J127" t="s">
        <v>108</v>
      </c>
      <c r="K127" t="s">
        <v>109</v>
      </c>
      <c r="N127" t="s">
        <v>51</v>
      </c>
      <c r="O127" t="s">
        <v>52</v>
      </c>
      <c r="P127" t="s">
        <v>53</v>
      </c>
      <c r="Q127" t="s">
        <v>1988</v>
      </c>
      <c r="R127" t="s">
        <v>1989</v>
      </c>
      <c r="S127" t="s">
        <v>1990</v>
      </c>
      <c r="T127" t="s">
        <v>260</v>
      </c>
      <c r="U127" t="s">
        <v>111</v>
      </c>
      <c r="V127">
        <f>IF(AND(SUM(IF('Consulta de contratos'!$K$1="",0,1),IF('Consulta de contratos'!$K$2="",0,1),IF('Consulta de contratos'!$K$3="",0,1),IF('Consulta de contratos'!$K$4="",0,1),IF('Consulta de contratos'!$K$5="",0,1),IF('Consulta de contratos'!$K$6="",0,1))&gt;0,OR('Consulta de contratos'!$K$1="",A127='Consulta de contratos'!$K$1),OR('Consulta de contratos'!$K$2="",I127='Consulta de contratos'!$K$2),OR('Consulta de contratos'!$K$3="",C127='Consulta de contratos'!$K$3),OR('Consulta de contratos'!$K$4="",D127='Consulta de contratos'!$K$4),OR('Consulta de contratos'!$K$5="",E127='Consulta de contratos'!$K$5),OR('Consulta de contratos'!$K$6="",IFERROR(ISNUMBER(SEARCH("|"&amp;'Consulta de contratos'!$K$6&amp;"|",AF127)),FALSE))),1,0)</f>
        <v>0</v>
      </c>
      <c r="W127">
        <f>IF(V127=1,SUM($V$2:V127),0)</f>
        <v>0</v>
      </c>
      <c r="X127" t="s">
        <v>112</v>
      </c>
      <c r="Y127" t="s">
        <v>113</v>
      </c>
      <c r="Z127" t="s">
        <v>114</v>
      </c>
      <c r="AA127" t="s">
        <v>62</v>
      </c>
      <c r="AF127" t="s">
        <v>115</v>
      </c>
    </row>
    <row r="128" spans="1:32" hidden="1" x14ac:dyDescent="0.35">
      <c r="A128" t="s">
        <v>123</v>
      </c>
      <c r="B128" t="s">
        <v>261</v>
      </c>
      <c r="C128" t="s">
        <v>42</v>
      </c>
      <c r="D128" t="s">
        <v>262</v>
      </c>
      <c r="E128" t="s">
        <v>263</v>
      </c>
      <c r="F128" t="s">
        <v>264</v>
      </c>
      <c r="G128" t="s">
        <v>265</v>
      </c>
      <c r="H128" t="s">
        <v>47</v>
      </c>
      <c r="I128" t="s">
        <v>266</v>
      </c>
      <c r="J128" t="s">
        <v>267</v>
      </c>
      <c r="K128" t="s">
        <v>268</v>
      </c>
      <c r="M128">
        <v>46803</v>
      </c>
      <c r="N128" t="s">
        <v>269</v>
      </c>
      <c r="O128" t="s">
        <v>52</v>
      </c>
      <c r="P128" t="s">
        <v>270</v>
      </c>
      <c r="Q128" t="s">
        <v>271</v>
      </c>
      <c r="R128" t="s">
        <v>272</v>
      </c>
      <c r="S128" t="s">
        <v>273</v>
      </c>
      <c r="T128" t="s">
        <v>274</v>
      </c>
      <c r="U128" t="s">
        <v>275</v>
      </c>
      <c r="V128">
        <f>IF(AND(SUM(IF('Consulta de contratos'!$K$1="",0,1),IF('Consulta de contratos'!$K$2="",0,1),IF('Consulta de contratos'!$K$3="",0,1),IF('Consulta de contratos'!$K$4="",0,1),IF('Consulta de contratos'!$K$5="",0,1),IF('Consulta de contratos'!$K$6="",0,1))&gt;0,OR('Consulta de contratos'!$K$1="",A128='Consulta de contratos'!$K$1),OR('Consulta de contratos'!$K$2="",I128='Consulta de contratos'!$K$2),OR('Consulta de contratos'!$K$3="",C128='Consulta de contratos'!$K$3),OR('Consulta de contratos'!$K$4="",D128='Consulta de contratos'!$K$4),OR('Consulta de contratos'!$K$5="",E128='Consulta de contratos'!$K$5),OR('Consulta de contratos'!$K$6="",IFERROR(ISNUMBER(SEARCH("|"&amp;'Consulta de contratos'!$K$6&amp;"|",AF128)),FALSE))),1,0)</f>
        <v>0</v>
      </c>
      <c r="W128">
        <f>IF(V128=1,SUM($V$2:V128),0)</f>
        <v>0</v>
      </c>
      <c r="X128" t="s">
        <v>59</v>
      </c>
      <c r="Y128" t="s">
        <v>103</v>
      </c>
      <c r="Z128" t="s">
        <v>80</v>
      </c>
      <c r="AA128" t="s">
        <v>62</v>
      </c>
      <c r="AF128" t="s">
        <v>104</v>
      </c>
    </row>
    <row r="129" spans="1:32" hidden="1" x14ac:dyDescent="0.35">
      <c r="A129" t="s">
        <v>170</v>
      </c>
      <c r="B129" t="s">
        <v>261</v>
      </c>
      <c r="C129" t="s">
        <v>42</v>
      </c>
      <c r="D129" t="s">
        <v>262</v>
      </c>
      <c r="E129" t="s">
        <v>263</v>
      </c>
      <c r="F129" t="s">
        <v>264</v>
      </c>
      <c r="G129" t="s">
        <v>265</v>
      </c>
      <c r="H129" t="s">
        <v>124</v>
      </c>
      <c r="I129" t="s">
        <v>276</v>
      </c>
      <c r="J129" t="s">
        <v>277</v>
      </c>
      <c r="K129" t="s">
        <v>278</v>
      </c>
      <c r="M129">
        <v>46808</v>
      </c>
      <c r="N129" t="s">
        <v>269</v>
      </c>
      <c r="O129" t="s">
        <v>52</v>
      </c>
      <c r="P129" t="s">
        <v>270</v>
      </c>
      <c r="Q129" t="s">
        <v>279</v>
      </c>
      <c r="R129" t="s">
        <v>280</v>
      </c>
      <c r="S129" t="s">
        <v>281</v>
      </c>
      <c r="T129" t="s">
        <v>282</v>
      </c>
      <c r="U129" t="s">
        <v>283</v>
      </c>
      <c r="V129">
        <f>IF(AND(SUM(IF('Consulta de contratos'!$K$1="",0,1),IF('Consulta de contratos'!$K$2="",0,1),IF('Consulta de contratos'!$K$3="",0,1),IF('Consulta de contratos'!$K$4="",0,1),IF('Consulta de contratos'!$K$5="",0,1),IF('Consulta de contratos'!$K$6="",0,1))&gt;0,OR('Consulta de contratos'!$K$1="",A129='Consulta de contratos'!$K$1),OR('Consulta de contratos'!$K$2="",I129='Consulta de contratos'!$K$2),OR('Consulta de contratos'!$K$3="",C129='Consulta de contratos'!$K$3),OR('Consulta de contratos'!$K$4="",D129='Consulta de contratos'!$K$4),OR('Consulta de contratos'!$K$5="",E129='Consulta de contratos'!$K$5),OR('Consulta de contratos'!$K$6="",IFERROR(ISNUMBER(SEARCH("|"&amp;'Consulta de contratos'!$K$6&amp;"|",AF129)),FALSE))),1,0)</f>
        <v>0</v>
      </c>
      <c r="W129">
        <f>IF(V129=1,SUM($V$2:V129),0)</f>
        <v>0</v>
      </c>
      <c r="X129" t="s">
        <v>59</v>
      </c>
      <c r="Y129" t="s">
        <v>284</v>
      </c>
      <c r="Z129" t="s">
        <v>285</v>
      </c>
      <c r="AA129" t="s">
        <v>62</v>
      </c>
      <c r="AF129" t="s">
        <v>286</v>
      </c>
    </row>
    <row r="130" spans="1:32" hidden="1" x14ac:dyDescent="0.35">
      <c r="A130" t="s">
        <v>254</v>
      </c>
      <c r="B130" t="s">
        <v>261</v>
      </c>
      <c r="C130" t="s">
        <v>42</v>
      </c>
      <c r="D130" t="s">
        <v>262</v>
      </c>
      <c r="E130" t="s">
        <v>263</v>
      </c>
      <c r="F130" t="s">
        <v>264</v>
      </c>
      <c r="G130" t="s">
        <v>265</v>
      </c>
      <c r="H130" t="s">
        <v>73</v>
      </c>
      <c r="I130" t="s">
        <v>287</v>
      </c>
      <c r="J130" t="s">
        <v>288</v>
      </c>
      <c r="K130" t="s">
        <v>289</v>
      </c>
      <c r="M130">
        <v>46804</v>
      </c>
      <c r="N130" t="s">
        <v>269</v>
      </c>
      <c r="O130" t="s">
        <v>52</v>
      </c>
      <c r="P130" t="s">
        <v>270</v>
      </c>
      <c r="Q130" t="s">
        <v>279</v>
      </c>
      <c r="R130" t="s">
        <v>290</v>
      </c>
      <c r="S130" t="s">
        <v>291</v>
      </c>
      <c r="T130" t="s">
        <v>292</v>
      </c>
      <c r="U130" t="s">
        <v>293</v>
      </c>
      <c r="V130">
        <f>IF(AND(SUM(IF('Consulta de contratos'!$K$1="",0,1),IF('Consulta de contratos'!$K$2="",0,1),IF('Consulta de contratos'!$K$3="",0,1),IF('Consulta de contratos'!$K$4="",0,1),IF('Consulta de contratos'!$K$5="",0,1),IF('Consulta de contratos'!$K$6="",0,1))&gt;0,OR('Consulta de contratos'!$K$1="",A130='Consulta de contratos'!$K$1),OR('Consulta de contratos'!$K$2="",I130='Consulta de contratos'!$K$2),OR('Consulta de contratos'!$K$3="",C130='Consulta de contratos'!$K$3),OR('Consulta de contratos'!$K$4="",D130='Consulta de contratos'!$K$4),OR('Consulta de contratos'!$K$5="",E130='Consulta de contratos'!$K$5),OR('Consulta de contratos'!$K$6="",IFERROR(ISNUMBER(SEARCH("|"&amp;'Consulta de contratos'!$K$6&amp;"|",AF130)),FALSE))),1,0)</f>
        <v>0</v>
      </c>
      <c r="W130">
        <f>IF(V130=1,SUM($V$2:V130),0)</f>
        <v>0</v>
      </c>
      <c r="X130" t="s">
        <v>59</v>
      </c>
      <c r="Y130" t="s">
        <v>294</v>
      </c>
      <c r="Z130" t="s">
        <v>61</v>
      </c>
      <c r="AA130" t="s">
        <v>62</v>
      </c>
      <c r="AF130" t="s">
        <v>295</v>
      </c>
    </row>
    <row r="131" spans="1:32" hidden="1" x14ac:dyDescent="0.35">
      <c r="A131" t="s">
        <v>116</v>
      </c>
      <c r="B131" t="s">
        <v>261</v>
      </c>
      <c r="C131" t="s">
        <v>42</v>
      </c>
      <c r="D131" t="s">
        <v>262</v>
      </c>
      <c r="E131" t="s">
        <v>263</v>
      </c>
      <c r="F131" t="s">
        <v>264</v>
      </c>
      <c r="G131" t="s">
        <v>265</v>
      </c>
      <c r="H131" t="s">
        <v>64</v>
      </c>
      <c r="I131" t="s">
        <v>296</v>
      </c>
      <c r="J131" t="s">
        <v>297</v>
      </c>
      <c r="K131" t="s">
        <v>298</v>
      </c>
      <c r="M131">
        <v>46804</v>
      </c>
      <c r="N131" t="s">
        <v>269</v>
      </c>
      <c r="O131" t="s">
        <v>52</v>
      </c>
      <c r="P131" t="s">
        <v>270</v>
      </c>
      <c r="Q131" t="s">
        <v>279</v>
      </c>
      <c r="R131" t="s">
        <v>299</v>
      </c>
      <c r="S131" t="s">
        <v>300</v>
      </c>
      <c r="T131" t="s">
        <v>301</v>
      </c>
      <c r="U131" t="s">
        <v>302</v>
      </c>
      <c r="V131">
        <f>IF(AND(SUM(IF('Consulta de contratos'!$K$1="",0,1),IF('Consulta de contratos'!$K$2="",0,1),IF('Consulta de contratos'!$K$3="",0,1),IF('Consulta de contratos'!$K$4="",0,1),IF('Consulta de contratos'!$K$5="",0,1),IF('Consulta de contratos'!$K$6="",0,1))&gt;0,OR('Consulta de contratos'!$K$1="",A131='Consulta de contratos'!$K$1),OR('Consulta de contratos'!$K$2="",I131='Consulta de contratos'!$K$2),OR('Consulta de contratos'!$K$3="",C131='Consulta de contratos'!$K$3),OR('Consulta de contratos'!$K$4="",D131='Consulta de contratos'!$K$4),OR('Consulta de contratos'!$K$5="",E131='Consulta de contratos'!$K$5),OR('Consulta de contratos'!$K$6="",IFERROR(ISNUMBER(SEARCH("|"&amp;'Consulta de contratos'!$K$6&amp;"|",AF131)),FALSE))),1,0)</f>
        <v>0</v>
      </c>
      <c r="W131">
        <f>IF(V131=1,SUM($V$2:V131),0)</f>
        <v>0</v>
      </c>
      <c r="X131" t="s">
        <v>59</v>
      </c>
      <c r="Y131" t="s">
        <v>303</v>
      </c>
      <c r="Z131" t="s">
        <v>80</v>
      </c>
      <c r="AA131" t="s">
        <v>62</v>
      </c>
      <c r="AF131" t="s">
        <v>304</v>
      </c>
    </row>
    <row r="132" spans="1:32" hidden="1" x14ac:dyDescent="0.35">
      <c r="A132" t="s">
        <v>205</v>
      </c>
      <c r="B132" t="s">
        <v>261</v>
      </c>
      <c r="C132" t="s">
        <v>42</v>
      </c>
      <c r="D132" t="s">
        <v>262</v>
      </c>
      <c r="E132" t="s">
        <v>263</v>
      </c>
      <c r="F132" t="s">
        <v>264</v>
      </c>
      <c r="G132" t="s">
        <v>265</v>
      </c>
      <c r="H132" t="s">
        <v>305</v>
      </c>
      <c r="I132" t="s">
        <v>276</v>
      </c>
      <c r="J132" t="s">
        <v>306</v>
      </c>
      <c r="K132" t="s">
        <v>307</v>
      </c>
      <c r="M132">
        <v>46808</v>
      </c>
      <c r="N132" t="s">
        <v>269</v>
      </c>
      <c r="O132" t="s">
        <v>52</v>
      </c>
      <c r="P132" t="s">
        <v>270</v>
      </c>
      <c r="Q132" t="s">
        <v>279</v>
      </c>
      <c r="R132" t="s">
        <v>308</v>
      </c>
      <c r="S132" t="s">
        <v>309</v>
      </c>
      <c r="T132" t="s">
        <v>310</v>
      </c>
      <c r="U132" t="s">
        <v>311</v>
      </c>
      <c r="V132">
        <f>IF(AND(SUM(IF('Consulta de contratos'!$K$1="",0,1),IF('Consulta de contratos'!$K$2="",0,1),IF('Consulta de contratos'!$K$3="",0,1),IF('Consulta de contratos'!$K$4="",0,1),IF('Consulta de contratos'!$K$5="",0,1),IF('Consulta de contratos'!$K$6="",0,1))&gt;0,OR('Consulta de contratos'!$K$1="",A132='Consulta de contratos'!$K$1),OR('Consulta de contratos'!$K$2="",I132='Consulta de contratos'!$K$2),OR('Consulta de contratos'!$K$3="",C132='Consulta de contratos'!$K$3),OR('Consulta de contratos'!$K$4="",D132='Consulta de contratos'!$K$4),OR('Consulta de contratos'!$K$5="",E132='Consulta de contratos'!$K$5),OR('Consulta de contratos'!$K$6="",IFERROR(ISNUMBER(SEARCH("|"&amp;'Consulta de contratos'!$K$6&amp;"|",AF132)),FALSE))),1,0)</f>
        <v>0</v>
      </c>
      <c r="W132">
        <f>IF(V132=1,SUM($V$2:V132),0)</f>
        <v>0</v>
      </c>
      <c r="X132" t="s">
        <v>59</v>
      </c>
      <c r="Y132" t="s">
        <v>284</v>
      </c>
      <c r="Z132" t="s">
        <v>285</v>
      </c>
      <c r="AA132" t="s">
        <v>62</v>
      </c>
      <c r="AF132" t="s">
        <v>286</v>
      </c>
    </row>
    <row r="133" spans="1:32" hidden="1" x14ac:dyDescent="0.35">
      <c r="A133" t="s">
        <v>170</v>
      </c>
      <c r="B133" t="s">
        <v>261</v>
      </c>
      <c r="C133" t="s">
        <v>42</v>
      </c>
      <c r="D133" t="s">
        <v>262</v>
      </c>
      <c r="E133" t="s">
        <v>263</v>
      </c>
      <c r="F133" t="s">
        <v>264</v>
      </c>
      <c r="G133" t="s">
        <v>265</v>
      </c>
      <c r="H133" t="s">
        <v>312</v>
      </c>
      <c r="I133" t="s">
        <v>313</v>
      </c>
      <c r="J133" t="s">
        <v>314</v>
      </c>
      <c r="K133" t="s">
        <v>315</v>
      </c>
      <c r="M133">
        <v>46804</v>
      </c>
      <c r="N133" t="s">
        <v>269</v>
      </c>
      <c r="O133" t="s">
        <v>52</v>
      </c>
      <c r="P133" t="s">
        <v>270</v>
      </c>
      <c r="Q133" t="s">
        <v>279</v>
      </c>
      <c r="R133" t="s">
        <v>316</v>
      </c>
      <c r="S133" t="s">
        <v>317</v>
      </c>
      <c r="T133" t="s">
        <v>318</v>
      </c>
      <c r="U133" t="s">
        <v>319</v>
      </c>
      <c r="V133">
        <f>IF(AND(SUM(IF('Consulta de contratos'!$K$1="",0,1),IF('Consulta de contratos'!$K$2="",0,1),IF('Consulta de contratos'!$K$3="",0,1),IF('Consulta de contratos'!$K$4="",0,1),IF('Consulta de contratos'!$K$5="",0,1),IF('Consulta de contratos'!$K$6="",0,1))&gt;0,OR('Consulta de contratos'!$K$1="",A133='Consulta de contratos'!$K$1),OR('Consulta de contratos'!$K$2="",I133='Consulta de contratos'!$K$2),OR('Consulta de contratos'!$K$3="",C133='Consulta de contratos'!$K$3),OR('Consulta de contratos'!$K$4="",D133='Consulta de contratos'!$K$4),OR('Consulta de contratos'!$K$5="",E133='Consulta de contratos'!$K$5),OR('Consulta de contratos'!$K$6="",IFERROR(ISNUMBER(SEARCH("|"&amp;'Consulta de contratos'!$K$6&amp;"|",AF133)),FALSE))),1,0)</f>
        <v>0</v>
      </c>
      <c r="W133">
        <f>IF(V133=1,SUM($V$2:V133),0)</f>
        <v>0</v>
      </c>
      <c r="X133" t="s">
        <v>59</v>
      </c>
      <c r="Y133" t="s">
        <v>320</v>
      </c>
      <c r="Z133" t="s">
        <v>80</v>
      </c>
      <c r="AA133" t="s">
        <v>62</v>
      </c>
      <c r="AF133" t="s">
        <v>321</v>
      </c>
    </row>
    <row r="134" spans="1:32" hidden="1" x14ac:dyDescent="0.35">
      <c r="A134" t="s">
        <v>123</v>
      </c>
      <c r="B134" t="s">
        <v>261</v>
      </c>
      <c r="C134" t="s">
        <v>42</v>
      </c>
      <c r="D134" t="s">
        <v>262</v>
      </c>
      <c r="E134" t="s">
        <v>263</v>
      </c>
      <c r="F134" t="s">
        <v>264</v>
      </c>
      <c r="G134" t="s">
        <v>265</v>
      </c>
      <c r="H134" t="s">
        <v>322</v>
      </c>
      <c r="I134" t="s">
        <v>323</v>
      </c>
      <c r="J134" t="s">
        <v>324</v>
      </c>
      <c r="K134" t="s">
        <v>325</v>
      </c>
      <c r="M134">
        <v>46803</v>
      </c>
      <c r="N134" t="s">
        <v>269</v>
      </c>
      <c r="O134" t="s">
        <v>52</v>
      </c>
      <c r="P134" t="s">
        <v>270</v>
      </c>
      <c r="Q134" t="s">
        <v>279</v>
      </c>
      <c r="R134" t="s">
        <v>326</v>
      </c>
      <c r="S134" t="s">
        <v>327</v>
      </c>
      <c r="T134" t="s">
        <v>328</v>
      </c>
      <c r="U134" t="s">
        <v>329</v>
      </c>
      <c r="V134">
        <f>IF(AND(SUM(IF('Consulta de contratos'!$K$1="",0,1),IF('Consulta de contratos'!$K$2="",0,1),IF('Consulta de contratos'!$K$3="",0,1),IF('Consulta de contratos'!$K$4="",0,1),IF('Consulta de contratos'!$K$5="",0,1),IF('Consulta de contratos'!$K$6="",0,1))&gt;0,OR('Consulta de contratos'!$K$1="",A134='Consulta de contratos'!$K$1),OR('Consulta de contratos'!$K$2="",I134='Consulta de contratos'!$K$2),OR('Consulta de contratos'!$K$3="",C134='Consulta de contratos'!$K$3),OR('Consulta de contratos'!$K$4="",D134='Consulta de contratos'!$K$4),OR('Consulta de contratos'!$K$5="",E134='Consulta de contratos'!$K$5),OR('Consulta de contratos'!$K$6="",IFERROR(ISNUMBER(SEARCH("|"&amp;'Consulta de contratos'!$K$6&amp;"|",AF134)),FALSE))),1,0)</f>
        <v>0</v>
      </c>
      <c r="W134">
        <f>IF(V134=1,SUM($V$2:V134),0)</f>
        <v>0</v>
      </c>
      <c r="X134" t="s">
        <v>59</v>
      </c>
      <c r="Y134" t="s">
        <v>330</v>
      </c>
      <c r="Z134" t="s">
        <v>331</v>
      </c>
      <c r="AA134" t="s">
        <v>62</v>
      </c>
      <c r="AF134" t="s">
        <v>332</v>
      </c>
    </row>
    <row r="135" spans="1:32" x14ac:dyDescent="0.35">
      <c r="A135" t="s">
        <v>40</v>
      </c>
      <c r="B135" t="s">
        <v>333</v>
      </c>
      <c r="C135" t="s">
        <v>42</v>
      </c>
      <c r="D135" t="s">
        <v>262</v>
      </c>
      <c r="E135" t="s">
        <v>334</v>
      </c>
      <c r="F135" t="s">
        <v>335</v>
      </c>
      <c r="G135" t="s">
        <v>336</v>
      </c>
      <c r="H135">
        <v>1</v>
      </c>
      <c r="I135" t="s">
        <v>337</v>
      </c>
      <c r="J135" t="s">
        <v>338</v>
      </c>
      <c r="K135" t="s">
        <v>339</v>
      </c>
      <c r="L135" s="12">
        <v>44501</v>
      </c>
      <c r="M135" s="12">
        <v>46326</v>
      </c>
      <c r="N135" t="s">
        <v>269</v>
      </c>
      <c r="O135" t="s">
        <v>52</v>
      </c>
      <c r="P135" t="s">
        <v>52</v>
      </c>
      <c r="Q135" t="s">
        <v>340</v>
      </c>
      <c r="R135" t="s">
        <v>341</v>
      </c>
      <c r="S135" t="s">
        <v>342</v>
      </c>
      <c r="T135" t="s">
        <v>343</v>
      </c>
      <c r="U135" t="s">
        <v>344</v>
      </c>
      <c r="V135">
        <f>IF(AND(SUM(IF('Consulta de contratos'!$K$1="",0,1),IF('Consulta de contratos'!$K$2="",0,1),IF('Consulta de contratos'!$K$3="",0,1),IF('Consulta de contratos'!$K$4="",0,1),IF('Consulta de contratos'!$K$5="",0,1),IF('Consulta de contratos'!$K$6="",0,1))&gt;0,OR('Consulta de contratos'!$K$1="",A135='Consulta de contratos'!$K$1),OR('Consulta de contratos'!$K$2="",I135='Consulta de contratos'!$K$2),OR('Consulta de contratos'!$K$3="",C135='Consulta de contratos'!$K$3),OR('Consulta de contratos'!$K$4="",D135='Consulta de contratos'!$K$4),OR('Consulta de contratos'!$K$5="",E135='Consulta de contratos'!$K$5),OR('Consulta de contratos'!$K$6="",IFERROR(ISNUMBER(SEARCH("|"&amp;'Consulta de contratos'!$K$6&amp;"|",AF135)),FALSE))),1,0)</f>
        <v>0</v>
      </c>
      <c r="W135">
        <f>IF(V135=1,SUM($V$2:V135),0)</f>
        <v>0</v>
      </c>
      <c r="X135" t="s">
        <v>59</v>
      </c>
      <c r="Y135" t="s">
        <v>345</v>
      </c>
      <c r="Z135" t="s">
        <v>346</v>
      </c>
      <c r="AA135" t="s">
        <v>62</v>
      </c>
      <c r="AF135" t="s">
        <v>347</v>
      </c>
    </row>
    <row r="136" spans="1:32" x14ac:dyDescent="0.35">
      <c r="A136" t="s">
        <v>149</v>
      </c>
      <c r="B136" t="s">
        <v>333</v>
      </c>
      <c r="C136" t="s">
        <v>42</v>
      </c>
      <c r="D136" t="s">
        <v>262</v>
      </c>
      <c r="E136" t="s">
        <v>334</v>
      </c>
      <c r="F136" t="s">
        <v>335</v>
      </c>
      <c r="G136" t="s">
        <v>336</v>
      </c>
      <c r="H136">
        <v>1</v>
      </c>
      <c r="I136" t="s">
        <v>337</v>
      </c>
      <c r="J136" t="s">
        <v>338</v>
      </c>
      <c r="K136" t="s">
        <v>339</v>
      </c>
      <c r="L136" s="12">
        <v>44501</v>
      </c>
      <c r="M136" s="12">
        <v>46326</v>
      </c>
      <c r="N136" t="s">
        <v>269</v>
      </c>
      <c r="O136" t="s">
        <v>52</v>
      </c>
      <c r="P136" t="s">
        <v>52</v>
      </c>
      <c r="Q136" t="s">
        <v>340</v>
      </c>
      <c r="R136" t="s">
        <v>341</v>
      </c>
      <c r="S136" t="s">
        <v>342</v>
      </c>
      <c r="T136" t="s">
        <v>348</v>
      </c>
      <c r="U136" t="s">
        <v>344</v>
      </c>
      <c r="V136">
        <f>IF(AND(SUM(IF('Consulta de contratos'!$K$1="",0,1),IF('Consulta de contratos'!$K$2="",0,1),IF('Consulta de contratos'!$K$3="",0,1),IF('Consulta de contratos'!$K$4="",0,1),IF('Consulta de contratos'!$K$5="",0,1),IF('Consulta de contratos'!$K$6="",0,1))&gt;0,OR('Consulta de contratos'!$K$1="",A136='Consulta de contratos'!$K$1),OR('Consulta de contratos'!$K$2="",I136='Consulta de contratos'!$K$2),OR('Consulta de contratos'!$K$3="",C136='Consulta de contratos'!$K$3),OR('Consulta de contratos'!$K$4="",D136='Consulta de contratos'!$K$4),OR('Consulta de contratos'!$K$5="",E136='Consulta de contratos'!$K$5),OR('Consulta de contratos'!$K$6="",IFERROR(ISNUMBER(SEARCH("|"&amp;'Consulta de contratos'!$K$6&amp;"|",AF136)),FALSE))),1,0)</f>
        <v>0</v>
      </c>
      <c r="W136">
        <f>IF(V136=1,SUM($V$2:V136),0)</f>
        <v>0</v>
      </c>
      <c r="X136" t="s">
        <v>59</v>
      </c>
      <c r="Y136" t="s">
        <v>345</v>
      </c>
      <c r="Z136" t="s">
        <v>346</v>
      </c>
      <c r="AA136" t="s">
        <v>62</v>
      </c>
      <c r="AF136" t="s">
        <v>347</v>
      </c>
    </row>
    <row r="137" spans="1:32" x14ac:dyDescent="0.35">
      <c r="A137" t="s">
        <v>156</v>
      </c>
      <c r="B137" t="s">
        <v>333</v>
      </c>
      <c r="C137" t="s">
        <v>42</v>
      </c>
      <c r="D137" t="s">
        <v>262</v>
      </c>
      <c r="E137" t="s">
        <v>334</v>
      </c>
      <c r="F137" t="s">
        <v>335</v>
      </c>
      <c r="G137" t="s">
        <v>336</v>
      </c>
      <c r="H137">
        <v>1</v>
      </c>
      <c r="I137" t="s">
        <v>337</v>
      </c>
      <c r="J137" t="s">
        <v>338</v>
      </c>
      <c r="K137" t="s">
        <v>339</v>
      </c>
      <c r="L137" s="12">
        <v>44501</v>
      </c>
      <c r="M137" s="12">
        <v>46326</v>
      </c>
      <c r="N137" t="s">
        <v>269</v>
      </c>
      <c r="O137" t="s">
        <v>52</v>
      </c>
      <c r="P137" t="s">
        <v>52</v>
      </c>
      <c r="Q137" t="s">
        <v>340</v>
      </c>
      <c r="R137" t="s">
        <v>341</v>
      </c>
      <c r="S137" t="s">
        <v>342</v>
      </c>
      <c r="T137" t="s">
        <v>349</v>
      </c>
      <c r="U137" t="s">
        <v>344</v>
      </c>
      <c r="V137">
        <f>IF(AND(SUM(IF('Consulta de contratos'!$K$1="",0,1),IF('Consulta de contratos'!$K$2="",0,1),IF('Consulta de contratos'!$K$3="",0,1),IF('Consulta de contratos'!$K$4="",0,1),IF('Consulta de contratos'!$K$5="",0,1),IF('Consulta de contratos'!$K$6="",0,1))&gt;0,OR('Consulta de contratos'!$K$1="",A137='Consulta de contratos'!$K$1),OR('Consulta de contratos'!$K$2="",I137='Consulta de contratos'!$K$2),OR('Consulta de contratos'!$K$3="",C137='Consulta de contratos'!$K$3),OR('Consulta de contratos'!$K$4="",D137='Consulta de contratos'!$K$4),OR('Consulta de contratos'!$K$5="",E137='Consulta de contratos'!$K$5),OR('Consulta de contratos'!$K$6="",IFERROR(ISNUMBER(SEARCH("|"&amp;'Consulta de contratos'!$K$6&amp;"|",AF137)),FALSE))),1,0)</f>
        <v>0</v>
      </c>
      <c r="W137">
        <f>IF(V137=1,SUM($V$2:V137),0)</f>
        <v>0</v>
      </c>
      <c r="X137" t="s">
        <v>59</v>
      </c>
      <c r="Y137" t="s">
        <v>345</v>
      </c>
      <c r="Z137" t="s">
        <v>346</v>
      </c>
      <c r="AA137" t="s">
        <v>62</v>
      </c>
      <c r="AF137" t="s">
        <v>347</v>
      </c>
    </row>
    <row r="138" spans="1:32" x14ac:dyDescent="0.35">
      <c r="A138" t="s">
        <v>116</v>
      </c>
      <c r="B138" t="s">
        <v>333</v>
      </c>
      <c r="C138" t="s">
        <v>42</v>
      </c>
      <c r="D138" t="s">
        <v>262</v>
      </c>
      <c r="E138" t="s">
        <v>334</v>
      </c>
      <c r="F138" t="s">
        <v>335</v>
      </c>
      <c r="G138" t="s">
        <v>336</v>
      </c>
      <c r="H138">
        <v>2</v>
      </c>
      <c r="I138" t="s">
        <v>350</v>
      </c>
      <c r="J138" t="s">
        <v>338</v>
      </c>
      <c r="K138" t="s">
        <v>351</v>
      </c>
      <c r="L138" s="12">
        <v>44501</v>
      </c>
      <c r="M138" s="12">
        <v>46326</v>
      </c>
      <c r="N138" t="s">
        <v>269</v>
      </c>
      <c r="O138" t="s">
        <v>52</v>
      </c>
      <c r="P138" t="s">
        <v>52</v>
      </c>
      <c r="Q138" t="s">
        <v>340</v>
      </c>
      <c r="R138" t="s">
        <v>341</v>
      </c>
      <c r="S138" t="s">
        <v>342</v>
      </c>
      <c r="T138" t="s">
        <v>352</v>
      </c>
      <c r="U138" t="s">
        <v>353</v>
      </c>
      <c r="V138">
        <f>IF(AND(SUM(IF('Consulta de contratos'!$K$1="",0,1),IF('Consulta de contratos'!$K$2="",0,1),IF('Consulta de contratos'!$K$3="",0,1),IF('Consulta de contratos'!$K$4="",0,1),IF('Consulta de contratos'!$K$5="",0,1),IF('Consulta de contratos'!$K$6="",0,1))&gt;0,OR('Consulta de contratos'!$K$1="",A138='Consulta de contratos'!$K$1),OR('Consulta de contratos'!$K$2="",I138='Consulta de contratos'!$K$2),OR('Consulta de contratos'!$K$3="",C138='Consulta de contratos'!$K$3),OR('Consulta de contratos'!$K$4="",D138='Consulta de contratos'!$K$4),OR('Consulta de contratos'!$K$5="",E138='Consulta de contratos'!$K$5),OR('Consulta de contratos'!$K$6="",IFERROR(ISNUMBER(SEARCH("|"&amp;'Consulta de contratos'!$K$6&amp;"|",AF138)),FALSE))),1,0)</f>
        <v>0</v>
      </c>
      <c r="W138">
        <f>IF(V138=1,SUM($V$2:V138),0)</f>
        <v>0</v>
      </c>
      <c r="X138" t="s">
        <v>59</v>
      </c>
      <c r="Y138" t="s">
        <v>354</v>
      </c>
      <c r="Z138" t="s">
        <v>61</v>
      </c>
      <c r="AA138" t="s">
        <v>62</v>
      </c>
      <c r="AF138" t="s">
        <v>355</v>
      </c>
    </row>
    <row r="139" spans="1:32" x14ac:dyDescent="0.35">
      <c r="A139" t="s">
        <v>123</v>
      </c>
      <c r="B139" t="s">
        <v>333</v>
      </c>
      <c r="C139" t="s">
        <v>42</v>
      </c>
      <c r="D139" t="s">
        <v>262</v>
      </c>
      <c r="E139" t="s">
        <v>334</v>
      </c>
      <c r="F139" t="s">
        <v>335</v>
      </c>
      <c r="G139" t="s">
        <v>336</v>
      </c>
      <c r="H139">
        <v>2</v>
      </c>
      <c r="I139" t="s">
        <v>350</v>
      </c>
      <c r="J139" t="s">
        <v>338</v>
      </c>
      <c r="K139" t="s">
        <v>351</v>
      </c>
      <c r="L139" s="12">
        <v>44501</v>
      </c>
      <c r="M139" s="12">
        <v>46326</v>
      </c>
      <c r="N139" t="s">
        <v>269</v>
      </c>
      <c r="O139" t="s">
        <v>52</v>
      </c>
      <c r="P139" t="s">
        <v>52</v>
      </c>
      <c r="Q139" t="s">
        <v>340</v>
      </c>
      <c r="R139" t="s">
        <v>341</v>
      </c>
      <c r="S139" t="s">
        <v>342</v>
      </c>
      <c r="T139" t="s">
        <v>356</v>
      </c>
      <c r="U139" t="s">
        <v>353</v>
      </c>
      <c r="V139">
        <f>IF(AND(SUM(IF('Consulta de contratos'!$K$1="",0,1),IF('Consulta de contratos'!$K$2="",0,1),IF('Consulta de contratos'!$K$3="",0,1),IF('Consulta de contratos'!$K$4="",0,1),IF('Consulta de contratos'!$K$5="",0,1),IF('Consulta de contratos'!$K$6="",0,1))&gt;0,OR('Consulta de contratos'!$K$1="",A139='Consulta de contratos'!$K$1),OR('Consulta de contratos'!$K$2="",I139='Consulta de contratos'!$K$2),OR('Consulta de contratos'!$K$3="",C139='Consulta de contratos'!$K$3),OR('Consulta de contratos'!$K$4="",D139='Consulta de contratos'!$K$4),OR('Consulta de contratos'!$K$5="",E139='Consulta de contratos'!$K$5),OR('Consulta de contratos'!$K$6="",IFERROR(ISNUMBER(SEARCH("|"&amp;'Consulta de contratos'!$K$6&amp;"|",AF139)),FALSE))),1,0)</f>
        <v>0</v>
      </c>
      <c r="W139">
        <f>IF(V139=1,SUM($V$2:V139),0)</f>
        <v>0</v>
      </c>
      <c r="X139" t="s">
        <v>59</v>
      </c>
      <c r="Y139" t="s">
        <v>354</v>
      </c>
      <c r="Z139" t="s">
        <v>61</v>
      </c>
      <c r="AA139" t="s">
        <v>62</v>
      </c>
      <c r="AF139" t="s">
        <v>355</v>
      </c>
    </row>
    <row r="140" spans="1:32" x14ac:dyDescent="0.35">
      <c r="A140" t="s">
        <v>135</v>
      </c>
      <c r="B140" t="s">
        <v>333</v>
      </c>
      <c r="C140" t="s">
        <v>42</v>
      </c>
      <c r="D140" t="s">
        <v>262</v>
      </c>
      <c r="E140" t="s">
        <v>334</v>
      </c>
      <c r="F140" t="s">
        <v>335</v>
      </c>
      <c r="G140" t="s">
        <v>336</v>
      </c>
      <c r="H140">
        <v>2</v>
      </c>
      <c r="I140" t="s">
        <v>350</v>
      </c>
      <c r="J140" t="s">
        <v>338</v>
      </c>
      <c r="K140" t="s">
        <v>351</v>
      </c>
      <c r="L140" s="12">
        <v>44501</v>
      </c>
      <c r="M140" s="12">
        <v>46326</v>
      </c>
      <c r="N140" t="s">
        <v>269</v>
      </c>
      <c r="O140" t="s">
        <v>52</v>
      </c>
      <c r="P140" t="s">
        <v>52</v>
      </c>
      <c r="Q140" t="s">
        <v>340</v>
      </c>
      <c r="R140" t="s">
        <v>341</v>
      </c>
      <c r="S140" t="s">
        <v>342</v>
      </c>
      <c r="T140" t="s">
        <v>357</v>
      </c>
      <c r="U140" t="s">
        <v>353</v>
      </c>
      <c r="V140">
        <f>IF(AND(SUM(IF('Consulta de contratos'!$K$1="",0,1),IF('Consulta de contratos'!$K$2="",0,1),IF('Consulta de contratos'!$K$3="",0,1),IF('Consulta de contratos'!$K$4="",0,1),IF('Consulta de contratos'!$K$5="",0,1),IF('Consulta de contratos'!$K$6="",0,1))&gt;0,OR('Consulta de contratos'!$K$1="",A140='Consulta de contratos'!$K$1),OR('Consulta de contratos'!$K$2="",I140='Consulta de contratos'!$K$2),OR('Consulta de contratos'!$K$3="",C140='Consulta de contratos'!$K$3),OR('Consulta de contratos'!$K$4="",D140='Consulta de contratos'!$K$4),OR('Consulta de contratos'!$K$5="",E140='Consulta de contratos'!$K$5),OR('Consulta de contratos'!$K$6="",IFERROR(ISNUMBER(SEARCH("|"&amp;'Consulta de contratos'!$K$6&amp;"|",AF140)),FALSE))),1,0)</f>
        <v>0</v>
      </c>
      <c r="W140">
        <f>IF(V140=1,SUM($V$2:V140),0)</f>
        <v>0</v>
      </c>
      <c r="X140" t="s">
        <v>59</v>
      </c>
      <c r="Y140" t="s">
        <v>354</v>
      </c>
      <c r="Z140" t="s">
        <v>61</v>
      </c>
      <c r="AA140" t="s">
        <v>62</v>
      </c>
      <c r="AF140" t="s">
        <v>355</v>
      </c>
    </row>
    <row r="141" spans="1:32" x14ac:dyDescent="0.35">
      <c r="A141" t="s">
        <v>142</v>
      </c>
      <c r="B141" t="s">
        <v>333</v>
      </c>
      <c r="C141" t="s">
        <v>42</v>
      </c>
      <c r="D141" t="s">
        <v>262</v>
      </c>
      <c r="E141" t="s">
        <v>334</v>
      </c>
      <c r="F141" t="s">
        <v>335</v>
      </c>
      <c r="G141" t="s">
        <v>336</v>
      </c>
      <c r="H141">
        <v>2</v>
      </c>
      <c r="I141" t="s">
        <v>350</v>
      </c>
      <c r="J141" t="s">
        <v>338</v>
      </c>
      <c r="K141" t="s">
        <v>351</v>
      </c>
      <c r="L141" s="12">
        <v>44501</v>
      </c>
      <c r="M141" s="12">
        <v>46326</v>
      </c>
      <c r="N141" t="s">
        <v>269</v>
      </c>
      <c r="O141" t="s">
        <v>52</v>
      </c>
      <c r="P141" t="s">
        <v>52</v>
      </c>
      <c r="Q141" t="s">
        <v>340</v>
      </c>
      <c r="R141" t="s">
        <v>341</v>
      </c>
      <c r="S141" t="s">
        <v>342</v>
      </c>
      <c r="T141" t="s">
        <v>358</v>
      </c>
      <c r="U141" t="s">
        <v>353</v>
      </c>
      <c r="V141">
        <f>IF(AND(SUM(IF('Consulta de contratos'!$K$1="",0,1),IF('Consulta de contratos'!$K$2="",0,1),IF('Consulta de contratos'!$K$3="",0,1),IF('Consulta de contratos'!$K$4="",0,1),IF('Consulta de contratos'!$K$5="",0,1),IF('Consulta de contratos'!$K$6="",0,1))&gt;0,OR('Consulta de contratos'!$K$1="",A141='Consulta de contratos'!$K$1),OR('Consulta de contratos'!$K$2="",I141='Consulta de contratos'!$K$2),OR('Consulta de contratos'!$K$3="",C141='Consulta de contratos'!$K$3),OR('Consulta de contratos'!$K$4="",D141='Consulta de contratos'!$K$4),OR('Consulta de contratos'!$K$5="",E141='Consulta de contratos'!$K$5),OR('Consulta de contratos'!$K$6="",IFERROR(ISNUMBER(SEARCH("|"&amp;'Consulta de contratos'!$K$6&amp;"|",AF141)),FALSE))),1,0)</f>
        <v>0</v>
      </c>
      <c r="W141">
        <f>IF(V141=1,SUM($V$2:V141),0)</f>
        <v>0</v>
      </c>
      <c r="X141" t="s">
        <v>59</v>
      </c>
      <c r="Y141" t="s">
        <v>354</v>
      </c>
      <c r="Z141" t="s">
        <v>61</v>
      </c>
      <c r="AA141" t="s">
        <v>62</v>
      </c>
      <c r="AF141" t="s">
        <v>355</v>
      </c>
    </row>
    <row r="142" spans="1:32" x14ac:dyDescent="0.35">
      <c r="A142" t="s">
        <v>163</v>
      </c>
      <c r="B142" t="s">
        <v>333</v>
      </c>
      <c r="C142" t="s">
        <v>42</v>
      </c>
      <c r="D142" t="s">
        <v>262</v>
      </c>
      <c r="E142" t="s">
        <v>334</v>
      </c>
      <c r="F142" t="s">
        <v>335</v>
      </c>
      <c r="G142" t="s">
        <v>336</v>
      </c>
      <c r="H142">
        <v>3</v>
      </c>
      <c r="I142" t="s">
        <v>350</v>
      </c>
      <c r="J142" t="s">
        <v>338</v>
      </c>
      <c r="K142" t="s">
        <v>359</v>
      </c>
      <c r="L142" s="12">
        <v>44501</v>
      </c>
      <c r="M142" s="12">
        <v>46326</v>
      </c>
      <c r="N142" t="s">
        <v>269</v>
      </c>
      <c r="O142" t="s">
        <v>52</v>
      </c>
      <c r="P142" t="s">
        <v>52</v>
      </c>
      <c r="Q142" t="s">
        <v>340</v>
      </c>
      <c r="R142" t="s">
        <v>341</v>
      </c>
      <c r="S142" t="s">
        <v>342</v>
      </c>
      <c r="T142" t="s">
        <v>360</v>
      </c>
      <c r="U142" t="s">
        <v>361</v>
      </c>
      <c r="V142">
        <f>IF(AND(SUM(IF('Consulta de contratos'!$K$1="",0,1),IF('Consulta de contratos'!$K$2="",0,1),IF('Consulta de contratos'!$K$3="",0,1),IF('Consulta de contratos'!$K$4="",0,1),IF('Consulta de contratos'!$K$5="",0,1),IF('Consulta de contratos'!$K$6="",0,1))&gt;0,OR('Consulta de contratos'!$K$1="",A142='Consulta de contratos'!$K$1),OR('Consulta de contratos'!$K$2="",I142='Consulta de contratos'!$K$2),OR('Consulta de contratos'!$K$3="",C142='Consulta de contratos'!$K$3),OR('Consulta de contratos'!$K$4="",D142='Consulta de contratos'!$K$4),OR('Consulta de contratos'!$K$5="",E142='Consulta de contratos'!$K$5),OR('Consulta de contratos'!$K$6="",IFERROR(ISNUMBER(SEARCH("|"&amp;'Consulta de contratos'!$K$6&amp;"|",AF142)),FALSE))),1,0)</f>
        <v>0</v>
      </c>
      <c r="W142">
        <f>IF(V142=1,SUM($V$2:V142),0)</f>
        <v>0</v>
      </c>
      <c r="X142" t="s">
        <v>59</v>
      </c>
      <c r="Y142" t="s">
        <v>354</v>
      </c>
      <c r="Z142" t="s">
        <v>61</v>
      </c>
      <c r="AA142" t="s">
        <v>62</v>
      </c>
      <c r="AF142" t="s">
        <v>355</v>
      </c>
    </row>
    <row r="143" spans="1:32" x14ac:dyDescent="0.35">
      <c r="A143" t="s">
        <v>170</v>
      </c>
      <c r="B143" t="s">
        <v>333</v>
      </c>
      <c r="C143" t="s">
        <v>42</v>
      </c>
      <c r="D143" t="s">
        <v>262</v>
      </c>
      <c r="E143" t="s">
        <v>334</v>
      </c>
      <c r="F143" t="s">
        <v>335</v>
      </c>
      <c r="G143" t="s">
        <v>336</v>
      </c>
      <c r="H143">
        <v>3</v>
      </c>
      <c r="I143" t="s">
        <v>350</v>
      </c>
      <c r="J143" t="s">
        <v>338</v>
      </c>
      <c r="K143" t="s">
        <v>359</v>
      </c>
      <c r="L143" s="12">
        <v>44501</v>
      </c>
      <c r="M143" s="12">
        <v>46326</v>
      </c>
      <c r="N143" t="s">
        <v>269</v>
      </c>
      <c r="O143" t="s">
        <v>52</v>
      </c>
      <c r="P143" t="s">
        <v>52</v>
      </c>
      <c r="Q143" t="s">
        <v>340</v>
      </c>
      <c r="R143" t="s">
        <v>341</v>
      </c>
      <c r="S143" t="s">
        <v>342</v>
      </c>
      <c r="T143" t="s">
        <v>362</v>
      </c>
      <c r="U143" t="s">
        <v>361</v>
      </c>
      <c r="V143">
        <f>IF(AND(SUM(IF('Consulta de contratos'!$K$1="",0,1),IF('Consulta de contratos'!$K$2="",0,1),IF('Consulta de contratos'!$K$3="",0,1),IF('Consulta de contratos'!$K$4="",0,1),IF('Consulta de contratos'!$K$5="",0,1),IF('Consulta de contratos'!$K$6="",0,1))&gt;0,OR('Consulta de contratos'!$K$1="",A143='Consulta de contratos'!$K$1),OR('Consulta de contratos'!$K$2="",I143='Consulta de contratos'!$K$2),OR('Consulta de contratos'!$K$3="",C143='Consulta de contratos'!$K$3),OR('Consulta de contratos'!$K$4="",D143='Consulta de contratos'!$K$4),OR('Consulta de contratos'!$K$5="",E143='Consulta de contratos'!$K$5),OR('Consulta de contratos'!$K$6="",IFERROR(ISNUMBER(SEARCH("|"&amp;'Consulta de contratos'!$K$6&amp;"|",AF143)),FALSE))),1,0)</f>
        <v>0</v>
      </c>
      <c r="W143">
        <f>IF(V143=1,SUM($V$2:V143),0)</f>
        <v>0</v>
      </c>
      <c r="X143" t="s">
        <v>59</v>
      </c>
      <c r="Y143" t="s">
        <v>354</v>
      </c>
      <c r="Z143" t="s">
        <v>61</v>
      </c>
      <c r="AA143" t="s">
        <v>62</v>
      </c>
      <c r="AF143" t="s">
        <v>355</v>
      </c>
    </row>
    <row r="144" spans="1:32" x14ac:dyDescent="0.35">
      <c r="A144" t="s">
        <v>177</v>
      </c>
      <c r="B144" t="s">
        <v>333</v>
      </c>
      <c r="C144" t="s">
        <v>42</v>
      </c>
      <c r="D144" t="s">
        <v>262</v>
      </c>
      <c r="E144" t="s">
        <v>334</v>
      </c>
      <c r="F144" t="s">
        <v>335</v>
      </c>
      <c r="G144" t="s">
        <v>336</v>
      </c>
      <c r="H144">
        <v>3</v>
      </c>
      <c r="I144" t="s">
        <v>350</v>
      </c>
      <c r="J144" t="s">
        <v>338</v>
      </c>
      <c r="K144" t="s">
        <v>359</v>
      </c>
      <c r="L144" s="12">
        <v>44501</v>
      </c>
      <c r="M144" s="12">
        <v>46326</v>
      </c>
      <c r="N144" t="s">
        <v>269</v>
      </c>
      <c r="O144" t="s">
        <v>52</v>
      </c>
      <c r="P144" t="s">
        <v>52</v>
      </c>
      <c r="Q144" t="s">
        <v>340</v>
      </c>
      <c r="R144" t="s">
        <v>341</v>
      </c>
      <c r="S144" t="s">
        <v>342</v>
      </c>
      <c r="T144" t="s">
        <v>363</v>
      </c>
      <c r="U144" t="s">
        <v>361</v>
      </c>
      <c r="V144">
        <f>IF(AND(SUM(IF('Consulta de contratos'!$K$1="",0,1),IF('Consulta de contratos'!$K$2="",0,1),IF('Consulta de contratos'!$K$3="",0,1),IF('Consulta de contratos'!$K$4="",0,1),IF('Consulta de contratos'!$K$5="",0,1),IF('Consulta de contratos'!$K$6="",0,1))&gt;0,OR('Consulta de contratos'!$K$1="",A144='Consulta de contratos'!$K$1),OR('Consulta de contratos'!$K$2="",I144='Consulta de contratos'!$K$2),OR('Consulta de contratos'!$K$3="",C144='Consulta de contratos'!$K$3),OR('Consulta de contratos'!$K$4="",D144='Consulta de contratos'!$K$4),OR('Consulta de contratos'!$K$5="",E144='Consulta de contratos'!$K$5),OR('Consulta de contratos'!$K$6="",IFERROR(ISNUMBER(SEARCH("|"&amp;'Consulta de contratos'!$K$6&amp;"|",AF144)),FALSE))),1,0)</f>
        <v>0</v>
      </c>
      <c r="W144">
        <f>IF(V144=1,SUM($V$2:V144),0)</f>
        <v>0</v>
      </c>
      <c r="X144" t="s">
        <v>59</v>
      </c>
      <c r="Y144" t="s">
        <v>354</v>
      </c>
      <c r="Z144" t="s">
        <v>61</v>
      </c>
      <c r="AA144" t="s">
        <v>62</v>
      </c>
      <c r="AF144" t="s">
        <v>355</v>
      </c>
    </row>
    <row r="145" spans="1:32" x14ac:dyDescent="0.35">
      <c r="A145" t="s">
        <v>212</v>
      </c>
      <c r="B145" t="s">
        <v>333</v>
      </c>
      <c r="C145" t="s">
        <v>42</v>
      </c>
      <c r="D145" t="s">
        <v>262</v>
      </c>
      <c r="E145" t="s">
        <v>334</v>
      </c>
      <c r="F145" t="s">
        <v>335</v>
      </c>
      <c r="G145" t="s">
        <v>336</v>
      </c>
      <c r="H145">
        <v>4</v>
      </c>
      <c r="I145" t="s">
        <v>364</v>
      </c>
      <c r="J145" t="s">
        <v>338</v>
      </c>
      <c r="K145" t="s">
        <v>365</v>
      </c>
      <c r="L145" s="12">
        <v>44501</v>
      </c>
      <c r="M145" s="12">
        <v>46326</v>
      </c>
      <c r="N145" t="s">
        <v>269</v>
      </c>
      <c r="O145" t="s">
        <v>52</v>
      </c>
      <c r="P145" t="s">
        <v>52</v>
      </c>
      <c r="Q145" t="s">
        <v>340</v>
      </c>
      <c r="R145" t="s">
        <v>341</v>
      </c>
      <c r="S145" t="s">
        <v>342</v>
      </c>
      <c r="T145" t="s">
        <v>366</v>
      </c>
      <c r="U145" t="s">
        <v>367</v>
      </c>
      <c r="V145">
        <f>IF(AND(SUM(IF('Consulta de contratos'!$K$1="",0,1),IF('Consulta de contratos'!$K$2="",0,1),IF('Consulta de contratos'!$K$3="",0,1),IF('Consulta de contratos'!$K$4="",0,1),IF('Consulta de contratos'!$K$5="",0,1),IF('Consulta de contratos'!$K$6="",0,1))&gt;0,OR('Consulta de contratos'!$K$1="",A145='Consulta de contratos'!$K$1),OR('Consulta de contratos'!$K$2="",I145='Consulta de contratos'!$K$2),OR('Consulta de contratos'!$K$3="",C145='Consulta de contratos'!$K$3),OR('Consulta de contratos'!$K$4="",D145='Consulta de contratos'!$K$4),OR('Consulta de contratos'!$K$5="",E145='Consulta de contratos'!$K$5),OR('Consulta de contratos'!$K$6="",IFERROR(ISNUMBER(SEARCH("|"&amp;'Consulta de contratos'!$K$6&amp;"|",AF145)),FALSE))),1,0)</f>
        <v>0</v>
      </c>
      <c r="W145">
        <f>IF(V145=1,SUM($V$2:V145),0)</f>
        <v>0</v>
      </c>
      <c r="X145" t="s">
        <v>59</v>
      </c>
      <c r="Y145" t="s">
        <v>368</v>
      </c>
      <c r="Z145" t="s">
        <v>80</v>
      </c>
      <c r="AA145" t="s">
        <v>62</v>
      </c>
      <c r="AF145" t="s">
        <v>369</v>
      </c>
    </row>
    <row r="146" spans="1:32" x14ac:dyDescent="0.35">
      <c r="A146" t="s">
        <v>219</v>
      </c>
      <c r="B146" t="s">
        <v>333</v>
      </c>
      <c r="C146" t="s">
        <v>42</v>
      </c>
      <c r="D146" t="s">
        <v>262</v>
      </c>
      <c r="E146" t="s">
        <v>334</v>
      </c>
      <c r="F146" t="s">
        <v>335</v>
      </c>
      <c r="G146" t="s">
        <v>336</v>
      </c>
      <c r="H146">
        <v>4</v>
      </c>
      <c r="I146" t="s">
        <v>364</v>
      </c>
      <c r="J146" t="s">
        <v>338</v>
      </c>
      <c r="K146" t="s">
        <v>365</v>
      </c>
      <c r="L146" s="12">
        <v>44501</v>
      </c>
      <c r="M146" s="12">
        <v>46326</v>
      </c>
      <c r="N146" t="s">
        <v>269</v>
      </c>
      <c r="O146" t="s">
        <v>52</v>
      </c>
      <c r="P146" t="s">
        <v>52</v>
      </c>
      <c r="Q146" t="s">
        <v>340</v>
      </c>
      <c r="R146" t="s">
        <v>341</v>
      </c>
      <c r="S146" t="s">
        <v>342</v>
      </c>
      <c r="T146" t="s">
        <v>370</v>
      </c>
      <c r="U146" t="s">
        <v>367</v>
      </c>
      <c r="V146">
        <f>IF(AND(SUM(IF('Consulta de contratos'!$K$1="",0,1),IF('Consulta de contratos'!$K$2="",0,1),IF('Consulta de contratos'!$K$3="",0,1),IF('Consulta de contratos'!$K$4="",0,1),IF('Consulta de contratos'!$K$5="",0,1),IF('Consulta de contratos'!$K$6="",0,1))&gt;0,OR('Consulta de contratos'!$K$1="",A146='Consulta de contratos'!$K$1),OR('Consulta de contratos'!$K$2="",I146='Consulta de contratos'!$K$2),OR('Consulta de contratos'!$K$3="",C146='Consulta de contratos'!$K$3),OR('Consulta de contratos'!$K$4="",D146='Consulta de contratos'!$K$4),OR('Consulta de contratos'!$K$5="",E146='Consulta de contratos'!$K$5),OR('Consulta de contratos'!$K$6="",IFERROR(ISNUMBER(SEARCH("|"&amp;'Consulta de contratos'!$K$6&amp;"|",AF146)),FALSE))),1,0)</f>
        <v>0</v>
      </c>
      <c r="W146">
        <f>IF(V146=1,SUM($V$2:V146),0)</f>
        <v>0</v>
      </c>
      <c r="X146" t="s">
        <v>59</v>
      </c>
      <c r="Y146" t="s">
        <v>368</v>
      </c>
      <c r="Z146" t="s">
        <v>80</v>
      </c>
      <c r="AA146" t="s">
        <v>62</v>
      </c>
      <c r="AF146" t="s">
        <v>369</v>
      </c>
    </row>
    <row r="147" spans="1:32" x14ac:dyDescent="0.35">
      <c r="A147" t="s">
        <v>247</v>
      </c>
      <c r="B147" t="s">
        <v>333</v>
      </c>
      <c r="C147" t="s">
        <v>42</v>
      </c>
      <c r="D147" t="s">
        <v>262</v>
      </c>
      <c r="E147" t="s">
        <v>334</v>
      </c>
      <c r="F147" t="s">
        <v>335</v>
      </c>
      <c r="G147" t="s">
        <v>336</v>
      </c>
      <c r="H147">
        <v>4</v>
      </c>
      <c r="I147" t="s">
        <v>364</v>
      </c>
      <c r="J147" t="s">
        <v>338</v>
      </c>
      <c r="K147" t="s">
        <v>365</v>
      </c>
      <c r="L147" s="12">
        <v>44501</v>
      </c>
      <c r="M147" s="12">
        <v>46326</v>
      </c>
      <c r="N147" t="s">
        <v>269</v>
      </c>
      <c r="O147" t="s">
        <v>52</v>
      </c>
      <c r="P147" t="s">
        <v>52</v>
      </c>
      <c r="Q147" t="s">
        <v>340</v>
      </c>
      <c r="R147" t="s">
        <v>341</v>
      </c>
      <c r="S147" t="s">
        <v>342</v>
      </c>
      <c r="T147" t="s">
        <v>371</v>
      </c>
      <c r="U147" t="s">
        <v>367</v>
      </c>
      <c r="V147">
        <f>IF(AND(SUM(IF('Consulta de contratos'!$K$1="",0,1),IF('Consulta de contratos'!$K$2="",0,1),IF('Consulta de contratos'!$K$3="",0,1),IF('Consulta de contratos'!$K$4="",0,1),IF('Consulta de contratos'!$K$5="",0,1),IF('Consulta de contratos'!$K$6="",0,1))&gt;0,OR('Consulta de contratos'!$K$1="",A147='Consulta de contratos'!$K$1),OR('Consulta de contratos'!$K$2="",I147='Consulta de contratos'!$K$2),OR('Consulta de contratos'!$K$3="",C147='Consulta de contratos'!$K$3),OR('Consulta de contratos'!$K$4="",D147='Consulta de contratos'!$K$4),OR('Consulta de contratos'!$K$5="",E147='Consulta de contratos'!$K$5),OR('Consulta de contratos'!$K$6="",IFERROR(ISNUMBER(SEARCH("|"&amp;'Consulta de contratos'!$K$6&amp;"|",AF147)),FALSE))),1,0)</f>
        <v>0</v>
      </c>
      <c r="W147">
        <f>IF(V147=1,SUM($V$2:V147),0)</f>
        <v>0</v>
      </c>
      <c r="X147" t="s">
        <v>59</v>
      </c>
      <c r="Y147" t="s">
        <v>368</v>
      </c>
      <c r="Z147" t="s">
        <v>80</v>
      </c>
      <c r="AA147" t="s">
        <v>62</v>
      </c>
      <c r="AF147" t="s">
        <v>369</v>
      </c>
    </row>
    <row r="148" spans="1:32" x14ac:dyDescent="0.35">
      <c r="A148" t="s">
        <v>254</v>
      </c>
      <c r="B148" t="s">
        <v>333</v>
      </c>
      <c r="C148" t="s">
        <v>42</v>
      </c>
      <c r="D148" t="s">
        <v>262</v>
      </c>
      <c r="E148" t="s">
        <v>334</v>
      </c>
      <c r="F148" t="s">
        <v>335</v>
      </c>
      <c r="G148" t="s">
        <v>336</v>
      </c>
      <c r="H148">
        <v>4</v>
      </c>
      <c r="I148" t="s">
        <v>364</v>
      </c>
      <c r="J148" t="s">
        <v>338</v>
      </c>
      <c r="K148" t="s">
        <v>365</v>
      </c>
      <c r="L148" s="12">
        <v>44501</v>
      </c>
      <c r="M148" s="12">
        <v>46326</v>
      </c>
      <c r="N148" t="s">
        <v>269</v>
      </c>
      <c r="O148" t="s">
        <v>52</v>
      </c>
      <c r="P148" t="s">
        <v>52</v>
      </c>
      <c r="Q148" t="s">
        <v>340</v>
      </c>
      <c r="R148" t="s">
        <v>341</v>
      </c>
      <c r="S148" t="s">
        <v>342</v>
      </c>
      <c r="T148" t="s">
        <v>372</v>
      </c>
      <c r="U148" t="s">
        <v>367</v>
      </c>
      <c r="V148">
        <f>IF(AND(SUM(IF('Consulta de contratos'!$K$1="",0,1),IF('Consulta de contratos'!$K$2="",0,1),IF('Consulta de contratos'!$K$3="",0,1),IF('Consulta de contratos'!$K$4="",0,1),IF('Consulta de contratos'!$K$5="",0,1),IF('Consulta de contratos'!$K$6="",0,1))&gt;0,OR('Consulta de contratos'!$K$1="",A148='Consulta de contratos'!$K$1),OR('Consulta de contratos'!$K$2="",I148='Consulta de contratos'!$K$2),OR('Consulta de contratos'!$K$3="",C148='Consulta de contratos'!$K$3),OR('Consulta de contratos'!$K$4="",D148='Consulta de contratos'!$K$4),OR('Consulta de contratos'!$K$5="",E148='Consulta de contratos'!$K$5),OR('Consulta de contratos'!$K$6="",IFERROR(ISNUMBER(SEARCH("|"&amp;'Consulta de contratos'!$K$6&amp;"|",AF148)),FALSE))),1,0)</f>
        <v>0</v>
      </c>
      <c r="W148">
        <f>IF(V148=1,SUM($V$2:V148),0)</f>
        <v>0</v>
      </c>
      <c r="X148" t="s">
        <v>59</v>
      </c>
      <c r="Y148" t="s">
        <v>368</v>
      </c>
      <c r="Z148" t="s">
        <v>80</v>
      </c>
      <c r="AA148" t="s">
        <v>62</v>
      </c>
      <c r="AF148" t="s">
        <v>369</v>
      </c>
    </row>
    <row r="149" spans="1:32" x14ac:dyDescent="0.35">
      <c r="A149" t="s">
        <v>198</v>
      </c>
      <c r="B149" t="s">
        <v>333</v>
      </c>
      <c r="C149" t="s">
        <v>42</v>
      </c>
      <c r="D149" t="s">
        <v>262</v>
      </c>
      <c r="E149" t="s">
        <v>334</v>
      </c>
      <c r="F149" t="s">
        <v>335</v>
      </c>
      <c r="G149" t="s">
        <v>336</v>
      </c>
      <c r="H149">
        <v>5</v>
      </c>
      <c r="I149" t="s">
        <v>373</v>
      </c>
      <c r="J149" t="s">
        <v>338</v>
      </c>
      <c r="K149" t="s">
        <v>374</v>
      </c>
      <c r="L149" s="12">
        <v>44501</v>
      </c>
      <c r="M149" s="12">
        <v>46326</v>
      </c>
      <c r="N149" t="s">
        <v>269</v>
      </c>
      <c r="O149" t="s">
        <v>52</v>
      </c>
      <c r="P149" t="s">
        <v>52</v>
      </c>
      <c r="Q149" t="s">
        <v>340</v>
      </c>
      <c r="R149" t="s">
        <v>341</v>
      </c>
      <c r="S149" t="s">
        <v>342</v>
      </c>
      <c r="T149" t="s">
        <v>375</v>
      </c>
      <c r="U149" t="s">
        <v>376</v>
      </c>
      <c r="V149">
        <f>IF(AND(SUM(IF('Consulta de contratos'!$K$1="",0,1),IF('Consulta de contratos'!$K$2="",0,1),IF('Consulta de contratos'!$K$3="",0,1),IF('Consulta de contratos'!$K$4="",0,1),IF('Consulta de contratos'!$K$5="",0,1),IF('Consulta de contratos'!$K$6="",0,1))&gt;0,OR('Consulta de contratos'!$K$1="",A149='Consulta de contratos'!$K$1),OR('Consulta de contratos'!$K$2="",I149='Consulta de contratos'!$K$2),OR('Consulta de contratos'!$K$3="",C149='Consulta de contratos'!$K$3),OR('Consulta de contratos'!$K$4="",D149='Consulta de contratos'!$K$4),OR('Consulta de contratos'!$K$5="",E149='Consulta de contratos'!$K$5),OR('Consulta de contratos'!$K$6="",IFERROR(ISNUMBER(SEARCH("|"&amp;'Consulta de contratos'!$K$6&amp;"|",AF149)),FALSE))),1,0)</f>
        <v>0</v>
      </c>
      <c r="W149">
        <f>IF(V149=1,SUM($V$2:V149),0)</f>
        <v>0</v>
      </c>
      <c r="X149" t="s">
        <v>59</v>
      </c>
      <c r="Y149" t="s">
        <v>373</v>
      </c>
      <c r="Z149" t="s">
        <v>71</v>
      </c>
      <c r="AA149" t="s">
        <v>62</v>
      </c>
      <c r="AF149" t="s">
        <v>377</v>
      </c>
    </row>
    <row r="150" spans="1:32" x14ac:dyDescent="0.35">
      <c r="A150" t="s">
        <v>205</v>
      </c>
      <c r="B150" t="s">
        <v>333</v>
      </c>
      <c r="C150" t="s">
        <v>42</v>
      </c>
      <c r="D150" t="s">
        <v>262</v>
      </c>
      <c r="E150" t="s">
        <v>334</v>
      </c>
      <c r="F150" t="s">
        <v>335</v>
      </c>
      <c r="G150" t="s">
        <v>336</v>
      </c>
      <c r="H150">
        <v>5</v>
      </c>
      <c r="I150" t="s">
        <v>373</v>
      </c>
      <c r="J150" t="s">
        <v>338</v>
      </c>
      <c r="K150" t="s">
        <v>374</v>
      </c>
      <c r="L150" s="12">
        <v>44501</v>
      </c>
      <c r="M150" s="12">
        <v>46326</v>
      </c>
      <c r="N150" t="s">
        <v>269</v>
      </c>
      <c r="O150" t="s">
        <v>52</v>
      </c>
      <c r="P150" t="s">
        <v>52</v>
      </c>
      <c r="Q150" t="s">
        <v>340</v>
      </c>
      <c r="R150" t="s">
        <v>341</v>
      </c>
      <c r="S150" t="s">
        <v>342</v>
      </c>
      <c r="T150" t="s">
        <v>378</v>
      </c>
      <c r="U150" t="s">
        <v>376</v>
      </c>
      <c r="V150">
        <f>IF(AND(SUM(IF('Consulta de contratos'!$K$1="",0,1),IF('Consulta de contratos'!$K$2="",0,1),IF('Consulta de contratos'!$K$3="",0,1),IF('Consulta de contratos'!$K$4="",0,1),IF('Consulta de contratos'!$K$5="",0,1),IF('Consulta de contratos'!$K$6="",0,1))&gt;0,OR('Consulta de contratos'!$K$1="",A150='Consulta de contratos'!$K$1),OR('Consulta de contratos'!$K$2="",I150='Consulta de contratos'!$K$2),OR('Consulta de contratos'!$K$3="",C150='Consulta de contratos'!$K$3),OR('Consulta de contratos'!$K$4="",D150='Consulta de contratos'!$K$4),OR('Consulta de contratos'!$K$5="",E150='Consulta de contratos'!$K$5),OR('Consulta de contratos'!$K$6="",IFERROR(ISNUMBER(SEARCH("|"&amp;'Consulta de contratos'!$K$6&amp;"|",AF150)),FALSE))),1,0)</f>
        <v>0</v>
      </c>
      <c r="W150">
        <f>IF(V150=1,SUM($V$2:V150),0)</f>
        <v>0</v>
      </c>
      <c r="X150" t="s">
        <v>59</v>
      </c>
      <c r="Y150" t="s">
        <v>373</v>
      </c>
      <c r="Z150" t="s">
        <v>71</v>
      </c>
      <c r="AA150" t="s">
        <v>62</v>
      </c>
      <c r="AF150" t="s">
        <v>377</v>
      </c>
    </row>
    <row r="151" spans="1:32" x14ac:dyDescent="0.35">
      <c r="A151" t="s">
        <v>233</v>
      </c>
      <c r="B151" t="s">
        <v>333</v>
      </c>
      <c r="C151" t="s">
        <v>42</v>
      </c>
      <c r="D151" t="s">
        <v>262</v>
      </c>
      <c r="E151" t="s">
        <v>334</v>
      </c>
      <c r="F151" t="s">
        <v>335</v>
      </c>
      <c r="G151" t="s">
        <v>336</v>
      </c>
      <c r="H151">
        <v>5</v>
      </c>
      <c r="I151" t="s">
        <v>373</v>
      </c>
      <c r="J151" t="s">
        <v>338</v>
      </c>
      <c r="K151" t="s">
        <v>374</v>
      </c>
      <c r="L151" s="12">
        <v>44501</v>
      </c>
      <c r="M151" s="12">
        <v>46326</v>
      </c>
      <c r="N151" t="s">
        <v>269</v>
      </c>
      <c r="O151" t="s">
        <v>52</v>
      </c>
      <c r="P151" t="s">
        <v>52</v>
      </c>
      <c r="Q151" t="s">
        <v>340</v>
      </c>
      <c r="R151" t="s">
        <v>341</v>
      </c>
      <c r="S151" t="s">
        <v>342</v>
      </c>
      <c r="T151" t="s">
        <v>379</v>
      </c>
      <c r="U151" t="s">
        <v>376</v>
      </c>
      <c r="V151">
        <f>IF(AND(SUM(IF('Consulta de contratos'!$K$1="",0,1),IF('Consulta de contratos'!$K$2="",0,1),IF('Consulta de contratos'!$K$3="",0,1),IF('Consulta de contratos'!$K$4="",0,1),IF('Consulta de contratos'!$K$5="",0,1),IF('Consulta de contratos'!$K$6="",0,1))&gt;0,OR('Consulta de contratos'!$K$1="",A151='Consulta de contratos'!$K$1),OR('Consulta de contratos'!$K$2="",I151='Consulta de contratos'!$K$2),OR('Consulta de contratos'!$K$3="",C151='Consulta de contratos'!$K$3),OR('Consulta de contratos'!$K$4="",D151='Consulta de contratos'!$K$4),OR('Consulta de contratos'!$K$5="",E151='Consulta de contratos'!$K$5),OR('Consulta de contratos'!$K$6="",IFERROR(ISNUMBER(SEARCH("|"&amp;'Consulta de contratos'!$K$6&amp;"|",AF151)),FALSE))),1,0)</f>
        <v>0</v>
      </c>
      <c r="W151">
        <f>IF(V151=1,SUM($V$2:V151),0)</f>
        <v>0</v>
      </c>
      <c r="X151" t="s">
        <v>59</v>
      </c>
      <c r="Y151" t="s">
        <v>373</v>
      </c>
      <c r="Z151" t="s">
        <v>71</v>
      </c>
      <c r="AA151" t="s">
        <v>62</v>
      </c>
      <c r="AF151" t="s">
        <v>377</v>
      </c>
    </row>
    <row r="152" spans="1:32" x14ac:dyDescent="0.35">
      <c r="A152" t="s">
        <v>240</v>
      </c>
      <c r="B152" t="s">
        <v>333</v>
      </c>
      <c r="C152" t="s">
        <v>42</v>
      </c>
      <c r="D152" t="s">
        <v>262</v>
      </c>
      <c r="E152" t="s">
        <v>334</v>
      </c>
      <c r="F152" t="s">
        <v>335</v>
      </c>
      <c r="G152" t="s">
        <v>336</v>
      </c>
      <c r="H152">
        <v>5</v>
      </c>
      <c r="I152" t="s">
        <v>373</v>
      </c>
      <c r="J152" t="s">
        <v>338</v>
      </c>
      <c r="K152" t="s">
        <v>374</v>
      </c>
      <c r="L152" s="12">
        <v>44501</v>
      </c>
      <c r="M152" s="12">
        <v>46326</v>
      </c>
      <c r="N152" t="s">
        <v>269</v>
      </c>
      <c r="O152" t="s">
        <v>52</v>
      </c>
      <c r="P152" t="s">
        <v>52</v>
      </c>
      <c r="Q152" t="s">
        <v>340</v>
      </c>
      <c r="R152" t="s">
        <v>341</v>
      </c>
      <c r="S152" t="s">
        <v>342</v>
      </c>
      <c r="T152" t="s">
        <v>380</v>
      </c>
      <c r="U152" t="s">
        <v>376</v>
      </c>
      <c r="V152">
        <f>IF(AND(SUM(IF('Consulta de contratos'!$K$1="",0,1),IF('Consulta de contratos'!$K$2="",0,1),IF('Consulta de contratos'!$K$3="",0,1),IF('Consulta de contratos'!$K$4="",0,1),IF('Consulta de contratos'!$K$5="",0,1),IF('Consulta de contratos'!$K$6="",0,1))&gt;0,OR('Consulta de contratos'!$K$1="",A152='Consulta de contratos'!$K$1),OR('Consulta de contratos'!$K$2="",I152='Consulta de contratos'!$K$2),OR('Consulta de contratos'!$K$3="",C152='Consulta de contratos'!$K$3),OR('Consulta de contratos'!$K$4="",D152='Consulta de contratos'!$K$4),OR('Consulta de contratos'!$K$5="",E152='Consulta de contratos'!$K$5),OR('Consulta de contratos'!$K$6="",IFERROR(ISNUMBER(SEARCH("|"&amp;'Consulta de contratos'!$K$6&amp;"|",AF152)),FALSE))),1,0)</f>
        <v>0</v>
      </c>
      <c r="W152">
        <f>IF(V152=1,SUM($V$2:V152),0)</f>
        <v>0</v>
      </c>
      <c r="X152" t="s">
        <v>59</v>
      </c>
      <c r="Y152" t="s">
        <v>373</v>
      </c>
      <c r="Z152" t="s">
        <v>71</v>
      </c>
      <c r="AA152" t="s">
        <v>62</v>
      </c>
      <c r="AF152" t="s">
        <v>377</v>
      </c>
    </row>
    <row r="153" spans="1:32" x14ac:dyDescent="0.35">
      <c r="A153" t="s">
        <v>184</v>
      </c>
      <c r="B153" t="s">
        <v>333</v>
      </c>
      <c r="C153" t="s">
        <v>42</v>
      </c>
      <c r="D153" t="s">
        <v>262</v>
      </c>
      <c r="E153" t="s">
        <v>334</v>
      </c>
      <c r="F153" t="s">
        <v>335</v>
      </c>
      <c r="G153" t="s">
        <v>336</v>
      </c>
      <c r="H153">
        <v>6</v>
      </c>
      <c r="I153" t="s">
        <v>381</v>
      </c>
      <c r="J153" t="s">
        <v>338</v>
      </c>
      <c r="K153" t="s">
        <v>382</v>
      </c>
      <c r="L153" s="12">
        <v>44501</v>
      </c>
      <c r="M153" s="12">
        <v>46326</v>
      </c>
      <c r="N153" t="s">
        <v>269</v>
      </c>
      <c r="O153" t="s">
        <v>52</v>
      </c>
      <c r="P153" t="s">
        <v>52</v>
      </c>
      <c r="Q153" t="s">
        <v>340</v>
      </c>
      <c r="R153" t="s">
        <v>341</v>
      </c>
      <c r="S153" t="s">
        <v>342</v>
      </c>
      <c r="T153" t="s">
        <v>383</v>
      </c>
      <c r="U153" t="s">
        <v>384</v>
      </c>
      <c r="V153">
        <f>IF(AND(SUM(IF('Consulta de contratos'!$K$1="",0,1),IF('Consulta de contratos'!$K$2="",0,1),IF('Consulta de contratos'!$K$3="",0,1),IF('Consulta de contratos'!$K$4="",0,1),IF('Consulta de contratos'!$K$5="",0,1),IF('Consulta de contratos'!$K$6="",0,1))&gt;0,OR('Consulta de contratos'!$K$1="",A153='Consulta de contratos'!$K$1),OR('Consulta de contratos'!$K$2="",I153='Consulta de contratos'!$K$2),OR('Consulta de contratos'!$K$3="",C153='Consulta de contratos'!$K$3),OR('Consulta de contratos'!$K$4="",D153='Consulta de contratos'!$K$4),OR('Consulta de contratos'!$K$5="",E153='Consulta de contratos'!$K$5),OR('Consulta de contratos'!$K$6="",IFERROR(ISNUMBER(SEARCH("|"&amp;'Consulta de contratos'!$K$6&amp;"|",AF153)),FALSE))),1,0)</f>
        <v>0</v>
      </c>
      <c r="W153">
        <f>IF(V153=1,SUM($V$2:V153),0)</f>
        <v>0</v>
      </c>
      <c r="X153" t="s">
        <v>59</v>
      </c>
      <c r="Y153" t="s">
        <v>60</v>
      </c>
      <c r="Z153" t="s">
        <v>61</v>
      </c>
      <c r="AA153" t="s">
        <v>62</v>
      </c>
      <c r="AF153" t="s">
        <v>63</v>
      </c>
    </row>
    <row r="154" spans="1:32" x14ac:dyDescent="0.35">
      <c r="A154" t="s">
        <v>191</v>
      </c>
      <c r="B154" t="s">
        <v>333</v>
      </c>
      <c r="C154" t="s">
        <v>42</v>
      </c>
      <c r="D154" t="s">
        <v>262</v>
      </c>
      <c r="E154" t="s">
        <v>334</v>
      </c>
      <c r="F154" t="s">
        <v>335</v>
      </c>
      <c r="G154" t="s">
        <v>336</v>
      </c>
      <c r="H154">
        <v>6</v>
      </c>
      <c r="I154" t="s">
        <v>381</v>
      </c>
      <c r="J154" t="s">
        <v>338</v>
      </c>
      <c r="K154" t="s">
        <v>382</v>
      </c>
      <c r="L154" s="12">
        <v>44501</v>
      </c>
      <c r="M154" s="12">
        <v>46326</v>
      </c>
      <c r="N154" t="s">
        <v>269</v>
      </c>
      <c r="O154" t="s">
        <v>52</v>
      </c>
      <c r="P154" t="s">
        <v>52</v>
      </c>
      <c r="Q154" t="s">
        <v>340</v>
      </c>
      <c r="R154" t="s">
        <v>341</v>
      </c>
      <c r="S154" t="s">
        <v>342</v>
      </c>
      <c r="T154" t="s">
        <v>385</v>
      </c>
      <c r="U154" t="s">
        <v>384</v>
      </c>
      <c r="V154">
        <f>IF(AND(SUM(IF('Consulta de contratos'!$K$1="",0,1),IF('Consulta de contratos'!$K$2="",0,1),IF('Consulta de contratos'!$K$3="",0,1),IF('Consulta de contratos'!$K$4="",0,1),IF('Consulta de contratos'!$K$5="",0,1),IF('Consulta de contratos'!$K$6="",0,1))&gt;0,OR('Consulta de contratos'!$K$1="",A154='Consulta de contratos'!$K$1),OR('Consulta de contratos'!$K$2="",I154='Consulta de contratos'!$K$2),OR('Consulta de contratos'!$K$3="",C154='Consulta de contratos'!$K$3),OR('Consulta de contratos'!$K$4="",D154='Consulta de contratos'!$K$4),OR('Consulta de contratos'!$K$5="",E154='Consulta de contratos'!$K$5),OR('Consulta de contratos'!$K$6="",IFERROR(ISNUMBER(SEARCH("|"&amp;'Consulta de contratos'!$K$6&amp;"|",AF154)),FALSE))),1,0)</f>
        <v>0</v>
      </c>
      <c r="W154">
        <f>IF(V154=1,SUM($V$2:V154),0)</f>
        <v>0</v>
      </c>
      <c r="X154" t="s">
        <v>59</v>
      </c>
      <c r="Y154" t="s">
        <v>60</v>
      </c>
      <c r="Z154" t="s">
        <v>61</v>
      </c>
      <c r="AA154" t="s">
        <v>62</v>
      </c>
      <c r="AF154" t="s">
        <v>63</v>
      </c>
    </row>
    <row r="155" spans="1:32" x14ac:dyDescent="0.35">
      <c r="A155" t="s">
        <v>226</v>
      </c>
      <c r="B155" t="s">
        <v>333</v>
      </c>
      <c r="C155" t="s">
        <v>42</v>
      </c>
      <c r="D155" t="s">
        <v>262</v>
      </c>
      <c r="E155" t="s">
        <v>334</v>
      </c>
      <c r="F155" t="s">
        <v>335</v>
      </c>
      <c r="G155" t="s">
        <v>336</v>
      </c>
      <c r="H155">
        <v>6</v>
      </c>
      <c r="I155" t="s">
        <v>381</v>
      </c>
      <c r="J155" t="s">
        <v>338</v>
      </c>
      <c r="K155" t="s">
        <v>382</v>
      </c>
      <c r="L155" s="12">
        <v>44501</v>
      </c>
      <c r="M155" s="12">
        <v>46326</v>
      </c>
      <c r="N155" t="s">
        <v>269</v>
      </c>
      <c r="O155" t="s">
        <v>52</v>
      </c>
      <c r="P155" t="s">
        <v>52</v>
      </c>
      <c r="Q155" t="s">
        <v>340</v>
      </c>
      <c r="R155" t="s">
        <v>341</v>
      </c>
      <c r="S155" t="s">
        <v>342</v>
      </c>
      <c r="T155" t="s">
        <v>386</v>
      </c>
      <c r="U155" t="s">
        <v>384</v>
      </c>
      <c r="V155">
        <f>IF(AND(SUM(IF('Consulta de contratos'!$K$1="",0,1),IF('Consulta de contratos'!$K$2="",0,1),IF('Consulta de contratos'!$K$3="",0,1),IF('Consulta de contratos'!$K$4="",0,1),IF('Consulta de contratos'!$K$5="",0,1),IF('Consulta de contratos'!$K$6="",0,1))&gt;0,OR('Consulta de contratos'!$K$1="",A155='Consulta de contratos'!$K$1),OR('Consulta de contratos'!$K$2="",I155='Consulta de contratos'!$K$2),OR('Consulta de contratos'!$K$3="",C155='Consulta de contratos'!$K$3),OR('Consulta de contratos'!$K$4="",D155='Consulta de contratos'!$K$4),OR('Consulta de contratos'!$K$5="",E155='Consulta de contratos'!$K$5),OR('Consulta de contratos'!$K$6="",IFERROR(ISNUMBER(SEARCH("|"&amp;'Consulta de contratos'!$K$6&amp;"|",AF155)),FALSE))),1,0)</f>
        <v>0</v>
      </c>
      <c r="W155">
        <f>IF(V155=1,SUM($V$2:V155),0)</f>
        <v>0</v>
      </c>
      <c r="X155" t="s">
        <v>59</v>
      </c>
      <c r="Y155" t="s">
        <v>60</v>
      </c>
      <c r="Z155" t="s">
        <v>61</v>
      </c>
      <c r="AA155" t="s">
        <v>62</v>
      </c>
      <c r="AF155" t="s">
        <v>63</v>
      </c>
    </row>
    <row r="156" spans="1:32" x14ac:dyDescent="0.35">
      <c r="A156" t="s">
        <v>247</v>
      </c>
      <c r="B156" t="s">
        <v>261</v>
      </c>
      <c r="C156" t="s">
        <v>42</v>
      </c>
      <c r="D156" t="s">
        <v>262</v>
      </c>
      <c r="E156" t="s">
        <v>263</v>
      </c>
      <c r="F156" t="s">
        <v>264</v>
      </c>
      <c r="G156" t="s">
        <v>265</v>
      </c>
      <c r="H156" t="s">
        <v>124</v>
      </c>
      <c r="I156" t="s">
        <v>276</v>
      </c>
      <c r="J156" t="s">
        <v>387</v>
      </c>
      <c r="K156" t="s">
        <v>388</v>
      </c>
      <c r="M156">
        <v>46808</v>
      </c>
      <c r="N156" t="s">
        <v>269</v>
      </c>
      <c r="O156" t="s">
        <v>52</v>
      </c>
      <c r="P156" t="s">
        <v>270</v>
      </c>
      <c r="Q156" t="s">
        <v>279</v>
      </c>
      <c r="R156" t="s">
        <v>280</v>
      </c>
      <c r="S156" t="s">
        <v>389</v>
      </c>
      <c r="T156" t="s">
        <v>390</v>
      </c>
      <c r="U156" t="s">
        <v>283</v>
      </c>
      <c r="V156">
        <f>IF(AND(SUM(IF('Consulta de contratos'!$K$1="",0,1),IF('Consulta de contratos'!$K$2="",0,1),IF('Consulta de contratos'!$K$3="",0,1),IF('Consulta de contratos'!$K$4="",0,1),IF('Consulta de contratos'!$K$5="",0,1),IF('Consulta de contratos'!$K$6="",0,1))&gt;0,OR('Consulta de contratos'!$K$1="",A156='Consulta de contratos'!$K$1),OR('Consulta de contratos'!$K$2="",I156='Consulta de contratos'!$K$2),OR('Consulta de contratos'!$K$3="",C156='Consulta de contratos'!$K$3),OR('Consulta de contratos'!$K$4="",D156='Consulta de contratos'!$K$4),OR('Consulta de contratos'!$K$5="",E156='Consulta de contratos'!$K$5),OR('Consulta de contratos'!$K$6="",IFERROR(ISNUMBER(SEARCH("|"&amp;'Consulta de contratos'!$K$6&amp;"|",AF156)),FALSE))),1,0)</f>
        <v>0</v>
      </c>
      <c r="W156">
        <f>IF(V156=1,SUM($V$2:V156),0)</f>
        <v>0</v>
      </c>
      <c r="X156" t="s">
        <v>59</v>
      </c>
      <c r="Y156" t="s">
        <v>284</v>
      </c>
      <c r="Z156" t="s">
        <v>285</v>
      </c>
      <c r="AA156" t="s">
        <v>62</v>
      </c>
      <c r="AF156" t="s">
        <v>286</v>
      </c>
    </row>
    <row r="157" spans="1:32" x14ac:dyDescent="0.35">
      <c r="A157" t="s">
        <v>135</v>
      </c>
      <c r="B157" t="s">
        <v>261</v>
      </c>
      <c r="C157" t="s">
        <v>42</v>
      </c>
      <c r="D157" t="s">
        <v>262</v>
      </c>
      <c r="E157" t="s">
        <v>263</v>
      </c>
      <c r="F157" t="s">
        <v>264</v>
      </c>
      <c r="G157" t="s">
        <v>265</v>
      </c>
      <c r="H157" t="s">
        <v>124</v>
      </c>
      <c r="I157" t="s">
        <v>276</v>
      </c>
      <c r="J157" t="s">
        <v>391</v>
      </c>
      <c r="K157" t="s">
        <v>392</v>
      </c>
      <c r="M157">
        <v>46808</v>
      </c>
      <c r="N157" t="s">
        <v>269</v>
      </c>
      <c r="O157" t="s">
        <v>52</v>
      </c>
      <c r="P157" t="s">
        <v>270</v>
      </c>
      <c r="Q157" t="s">
        <v>279</v>
      </c>
      <c r="R157" t="s">
        <v>280</v>
      </c>
      <c r="S157" t="s">
        <v>291</v>
      </c>
      <c r="T157" t="s">
        <v>393</v>
      </c>
      <c r="U157" t="s">
        <v>283</v>
      </c>
      <c r="V157">
        <f>IF(AND(SUM(IF('Consulta de contratos'!$K$1="",0,1),IF('Consulta de contratos'!$K$2="",0,1),IF('Consulta de contratos'!$K$3="",0,1),IF('Consulta de contratos'!$K$4="",0,1),IF('Consulta de contratos'!$K$5="",0,1),IF('Consulta de contratos'!$K$6="",0,1))&gt;0,OR('Consulta de contratos'!$K$1="",A157='Consulta de contratos'!$K$1),OR('Consulta de contratos'!$K$2="",I157='Consulta de contratos'!$K$2),OR('Consulta de contratos'!$K$3="",C157='Consulta de contratos'!$K$3),OR('Consulta de contratos'!$K$4="",D157='Consulta de contratos'!$K$4),OR('Consulta de contratos'!$K$5="",E157='Consulta de contratos'!$K$5),OR('Consulta de contratos'!$K$6="",IFERROR(ISNUMBER(SEARCH("|"&amp;'Consulta de contratos'!$K$6&amp;"|",AF157)),FALSE))),1,0)</f>
        <v>0</v>
      </c>
      <c r="W157">
        <f>IF(V157=1,SUM($V$2:V157),0)</f>
        <v>0</v>
      </c>
      <c r="X157" t="s">
        <v>59</v>
      </c>
      <c r="Y157" t="s">
        <v>284</v>
      </c>
      <c r="Z157" t="s">
        <v>285</v>
      </c>
      <c r="AA157" t="s">
        <v>62</v>
      </c>
      <c r="AF157" t="s">
        <v>286</v>
      </c>
    </row>
    <row r="158" spans="1:32" x14ac:dyDescent="0.35">
      <c r="A158" t="s">
        <v>254</v>
      </c>
      <c r="B158" t="s">
        <v>261</v>
      </c>
      <c r="C158" t="s">
        <v>42</v>
      </c>
      <c r="D158" t="s">
        <v>262</v>
      </c>
      <c r="E158" t="s">
        <v>263</v>
      </c>
      <c r="F158" t="s">
        <v>264</v>
      </c>
      <c r="G158" t="s">
        <v>265</v>
      </c>
      <c r="H158" t="s">
        <v>124</v>
      </c>
      <c r="I158" t="s">
        <v>276</v>
      </c>
      <c r="J158" t="s">
        <v>394</v>
      </c>
      <c r="K158" t="s">
        <v>395</v>
      </c>
      <c r="M158">
        <v>46808</v>
      </c>
      <c r="N158" t="s">
        <v>269</v>
      </c>
      <c r="O158" t="s">
        <v>52</v>
      </c>
      <c r="P158" t="s">
        <v>270</v>
      </c>
      <c r="Q158" t="s">
        <v>279</v>
      </c>
      <c r="R158" t="s">
        <v>280</v>
      </c>
      <c r="S158" t="s">
        <v>291</v>
      </c>
      <c r="T158" t="s">
        <v>396</v>
      </c>
      <c r="U158" t="s">
        <v>283</v>
      </c>
      <c r="V158">
        <f>IF(AND(SUM(IF('Consulta de contratos'!$K$1="",0,1),IF('Consulta de contratos'!$K$2="",0,1),IF('Consulta de contratos'!$K$3="",0,1),IF('Consulta de contratos'!$K$4="",0,1),IF('Consulta de contratos'!$K$5="",0,1),IF('Consulta de contratos'!$K$6="",0,1))&gt;0,OR('Consulta de contratos'!$K$1="",A158='Consulta de contratos'!$K$1),OR('Consulta de contratos'!$K$2="",I158='Consulta de contratos'!$K$2),OR('Consulta de contratos'!$K$3="",C158='Consulta de contratos'!$K$3),OR('Consulta de contratos'!$K$4="",D158='Consulta de contratos'!$K$4),OR('Consulta de contratos'!$K$5="",E158='Consulta de contratos'!$K$5),OR('Consulta de contratos'!$K$6="",IFERROR(ISNUMBER(SEARCH("|"&amp;'Consulta de contratos'!$K$6&amp;"|",AF158)),FALSE))),1,0)</f>
        <v>0</v>
      </c>
      <c r="W158">
        <f>IF(V158=1,SUM($V$2:V158),0)</f>
        <v>0</v>
      </c>
      <c r="X158" t="s">
        <v>59</v>
      </c>
      <c r="Y158" t="s">
        <v>284</v>
      </c>
      <c r="Z158" t="s">
        <v>285</v>
      </c>
      <c r="AA158" t="s">
        <v>62</v>
      </c>
      <c r="AF158" t="s">
        <v>286</v>
      </c>
    </row>
    <row r="159" spans="1:32" x14ac:dyDescent="0.35">
      <c r="A159" t="s">
        <v>219</v>
      </c>
      <c r="B159" t="s">
        <v>261</v>
      </c>
      <c r="C159" t="s">
        <v>42</v>
      </c>
      <c r="D159" t="s">
        <v>262</v>
      </c>
      <c r="E159" t="s">
        <v>263</v>
      </c>
      <c r="F159" t="s">
        <v>264</v>
      </c>
      <c r="G159" t="s">
        <v>265</v>
      </c>
      <c r="H159" t="s">
        <v>73</v>
      </c>
      <c r="I159" t="s">
        <v>287</v>
      </c>
      <c r="J159" t="s">
        <v>397</v>
      </c>
      <c r="K159" t="s">
        <v>398</v>
      </c>
      <c r="M159">
        <v>46804</v>
      </c>
      <c r="N159" t="s">
        <v>269</v>
      </c>
      <c r="O159" t="s">
        <v>52</v>
      </c>
      <c r="P159" t="s">
        <v>270</v>
      </c>
      <c r="Q159" t="s">
        <v>279</v>
      </c>
      <c r="R159" t="s">
        <v>290</v>
      </c>
      <c r="S159" t="s">
        <v>399</v>
      </c>
      <c r="T159" t="s">
        <v>400</v>
      </c>
      <c r="U159" t="s">
        <v>293</v>
      </c>
      <c r="V159">
        <f>IF(AND(SUM(IF('Consulta de contratos'!$K$1="",0,1),IF('Consulta de contratos'!$K$2="",0,1),IF('Consulta de contratos'!$K$3="",0,1),IF('Consulta de contratos'!$K$4="",0,1),IF('Consulta de contratos'!$K$5="",0,1),IF('Consulta de contratos'!$K$6="",0,1))&gt;0,OR('Consulta de contratos'!$K$1="",A159='Consulta de contratos'!$K$1),OR('Consulta de contratos'!$K$2="",I159='Consulta de contratos'!$K$2),OR('Consulta de contratos'!$K$3="",C159='Consulta de contratos'!$K$3),OR('Consulta de contratos'!$K$4="",D159='Consulta de contratos'!$K$4),OR('Consulta de contratos'!$K$5="",E159='Consulta de contratos'!$K$5),OR('Consulta de contratos'!$K$6="",IFERROR(ISNUMBER(SEARCH("|"&amp;'Consulta de contratos'!$K$6&amp;"|",AF159)),FALSE))),1,0)</f>
        <v>0</v>
      </c>
      <c r="W159">
        <f>IF(V159=1,SUM($V$2:V159),0)</f>
        <v>0</v>
      </c>
      <c r="X159" t="s">
        <v>59</v>
      </c>
      <c r="Y159" t="s">
        <v>294</v>
      </c>
      <c r="Z159" t="s">
        <v>61</v>
      </c>
      <c r="AA159" t="s">
        <v>62</v>
      </c>
      <c r="AF159" t="s">
        <v>295</v>
      </c>
    </row>
    <row r="160" spans="1:32" x14ac:dyDescent="0.35">
      <c r="A160" t="s">
        <v>233</v>
      </c>
      <c r="B160" t="s">
        <v>261</v>
      </c>
      <c r="C160" t="s">
        <v>42</v>
      </c>
      <c r="D160" t="s">
        <v>262</v>
      </c>
      <c r="E160" t="s">
        <v>263</v>
      </c>
      <c r="F160" t="s">
        <v>264</v>
      </c>
      <c r="G160" t="s">
        <v>265</v>
      </c>
      <c r="H160" t="s">
        <v>73</v>
      </c>
      <c r="I160" t="s">
        <v>287</v>
      </c>
      <c r="J160" t="s">
        <v>401</v>
      </c>
      <c r="K160" t="s">
        <v>402</v>
      </c>
      <c r="M160">
        <v>46804</v>
      </c>
      <c r="N160" t="s">
        <v>269</v>
      </c>
      <c r="O160" t="s">
        <v>52</v>
      </c>
      <c r="P160" t="s">
        <v>270</v>
      </c>
      <c r="Q160" t="s">
        <v>279</v>
      </c>
      <c r="R160" t="s">
        <v>290</v>
      </c>
      <c r="S160" t="s">
        <v>403</v>
      </c>
      <c r="T160" t="s">
        <v>404</v>
      </c>
      <c r="U160" t="s">
        <v>293</v>
      </c>
      <c r="V160">
        <f>IF(AND(SUM(IF('Consulta de contratos'!$K$1="",0,1),IF('Consulta de contratos'!$K$2="",0,1),IF('Consulta de contratos'!$K$3="",0,1),IF('Consulta de contratos'!$K$4="",0,1),IF('Consulta de contratos'!$K$5="",0,1),IF('Consulta de contratos'!$K$6="",0,1))&gt;0,OR('Consulta de contratos'!$K$1="",A160='Consulta de contratos'!$K$1),OR('Consulta de contratos'!$K$2="",I160='Consulta de contratos'!$K$2),OR('Consulta de contratos'!$K$3="",C160='Consulta de contratos'!$K$3),OR('Consulta de contratos'!$K$4="",D160='Consulta de contratos'!$K$4),OR('Consulta de contratos'!$K$5="",E160='Consulta de contratos'!$K$5),OR('Consulta de contratos'!$K$6="",IFERROR(ISNUMBER(SEARCH("|"&amp;'Consulta de contratos'!$K$6&amp;"|",AF160)),FALSE))),1,0)</f>
        <v>0</v>
      </c>
      <c r="W160">
        <f>IF(V160=1,SUM($V$2:V160),0)</f>
        <v>0</v>
      </c>
      <c r="X160" t="s">
        <v>59</v>
      </c>
      <c r="Y160" t="s">
        <v>294</v>
      </c>
      <c r="Z160" t="s">
        <v>61</v>
      </c>
      <c r="AA160" t="s">
        <v>62</v>
      </c>
      <c r="AF160" t="s">
        <v>295</v>
      </c>
    </row>
    <row r="161" spans="1:32" x14ac:dyDescent="0.35">
      <c r="A161" t="s">
        <v>163</v>
      </c>
      <c r="B161" t="s">
        <v>261</v>
      </c>
      <c r="C161" t="s">
        <v>42</v>
      </c>
      <c r="D161" t="s">
        <v>262</v>
      </c>
      <c r="E161" t="s">
        <v>263</v>
      </c>
      <c r="F161" t="s">
        <v>264</v>
      </c>
      <c r="G161" t="s">
        <v>265</v>
      </c>
      <c r="H161" t="s">
        <v>73</v>
      </c>
      <c r="I161" t="s">
        <v>287</v>
      </c>
      <c r="J161" t="s">
        <v>405</v>
      </c>
      <c r="K161" t="s">
        <v>406</v>
      </c>
      <c r="M161">
        <v>46804</v>
      </c>
      <c r="N161" t="s">
        <v>269</v>
      </c>
      <c r="O161" t="s">
        <v>52</v>
      </c>
      <c r="P161" t="s">
        <v>270</v>
      </c>
      <c r="Q161" t="s">
        <v>279</v>
      </c>
      <c r="R161" t="s">
        <v>290</v>
      </c>
      <c r="S161" t="s">
        <v>291</v>
      </c>
      <c r="T161" t="s">
        <v>407</v>
      </c>
      <c r="U161" t="s">
        <v>293</v>
      </c>
      <c r="V161">
        <f>IF(AND(SUM(IF('Consulta de contratos'!$K$1="",0,1),IF('Consulta de contratos'!$K$2="",0,1),IF('Consulta de contratos'!$K$3="",0,1),IF('Consulta de contratos'!$K$4="",0,1),IF('Consulta de contratos'!$K$5="",0,1),IF('Consulta de contratos'!$K$6="",0,1))&gt;0,OR('Consulta de contratos'!$K$1="",A161='Consulta de contratos'!$K$1),OR('Consulta de contratos'!$K$2="",I161='Consulta de contratos'!$K$2),OR('Consulta de contratos'!$K$3="",C161='Consulta de contratos'!$K$3),OR('Consulta de contratos'!$K$4="",D161='Consulta de contratos'!$K$4),OR('Consulta de contratos'!$K$5="",E161='Consulta de contratos'!$K$5),OR('Consulta de contratos'!$K$6="",IFERROR(ISNUMBER(SEARCH("|"&amp;'Consulta de contratos'!$K$6&amp;"|",AF161)),FALSE))),1,0)</f>
        <v>0</v>
      </c>
      <c r="W161">
        <f>IF(V161=1,SUM($V$2:V161),0)</f>
        <v>0</v>
      </c>
      <c r="X161" t="s">
        <v>59</v>
      </c>
      <c r="Y161" t="s">
        <v>294</v>
      </c>
      <c r="Z161" t="s">
        <v>61</v>
      </c>
      <c r="AA161" t="s">
        <v>62</v>
      </c>
      <c r="AF161" t="s">
        <v>295</v>
      </c>
    </row>
    <row r="162" spans="1:32" x14ac:dyDescent="0.35">
      <c r="A162" t="s">
        <v>177</v>
      </c>
      <c r="B162" t="s">
        <v>261</v>
      </c>
      <c r="C162" t="s">
        <v>42</v>
      </c>
      <c r="D162" t="s">
        <v>262</v>
      </c>
      <c r="E162" t="s">
        <v>263</v>
      </c>
      <c r="F162" t="s">
        <v>264</v>
      </c>
      <c r="G162" t="s">
        <v>265</v>
      </c>
      <c r="H162" t="s">
        <v>64</v>
      </c>
      <c r="I162" t="s">
        <v>296</v>
      </c>
      <c r="J162" t="s">
        <v>408</v>
      </c>
      <c r="K162" t="s">
        <v>409</v>
      </c>
      <c r="M162">
        <v>46804</v>
      </c>
      <c r="N162" t="s">
        <v>269</v>
      </c>
      <c r="O162" t="s">
        <v>52</v>
      </c>
      <c r="P162" t="s">
        <v>270</v>
      </c>
      <c r="Q162" t="s">
        <v>279</v>
      </c>
      <c r="R162" t="s">
        <v>299</v>
      </c>
      <c r="S162" t="s">
        <v>291</v>
      </c>
      <c r="T162" t="s">
        <v>410</v>
      </c>
      <c r="U162" t="s">
        <v>302</v>
      </c>
      <c r="V162">
        <f>IF(AND(SUM(IF('Consulta de contratos'!$K$1="",0,1),IF('Consulta de contratos'!$K$2="",0,1),IF('Consulta de contratos'!$K$3="",0,1),IF('Consulta de contratos'!$K$4="",0,1),IF('Consulta de contratos'!$K$5="",0,1),IF('Consulta de contratos'!$K$6="",0,1))&gt;0,OR('Consulta de contratos'!$K$1="",A162='Consulta de contratos'!$K$1),OR('Consulta de contratos'!$K$2="",I162='Consulta de contratos'!$K$2),OR('Consulta de contratos'!$K$3="",C162='Consulta de contratos'!$K$3),OR('Consulta de contratos'!$K$4="",D162='Consulta de contratos'!$K$4),OR('Consulta de contratos'!$K$5="",E162='Consulta de contratos'!$K$5),OR('Consulta de contratos'!$K$6="",IFERROR(ISNUMBER(SEARCH("|"&amp;'Consulta de contratos'!$K$6&amp;"|",AF162)),FALSE))),1,0)</f>
        <v>0</v>
      </c>
      <c r="W162">
        <f>IF(V162=1,SUM($V$2:V162),0)</f>
        <v>0</v>
      </c>
      <c r="X162" t="s">
        <v>59</v>
      </c>
      <c r="Y162" t="s">
        <v>303</v>
      </c>
      <c r="Z162" t="s">
        <v>80</v>
      </c>
      <c r="AA162" t="s">
        <v>62</v>
      </c>
      <c r="AF162" t="s">
        <v>304</v>
      </c>
    </row>
    <row r="163" spans="1:32" x14ac:dyDescent="0.35">
      <c r="A163" t="s">
        <v>184</v>
      </c>
      <c r="B163" t="s">
        <v>261</v>
      </c>
      <c r="C163" t="s">
        <v>42</v>
      </c>
      <c r="D163" t="s">
        <v>262</v>
      </c>
      <c r="E163" t="s">
        <v>263</v>
      </c>
      <c r="F163" t="s">
        <v>264</v>
      </c>
      <c r="G163" t="s">
        <v>265</v>
      </c>
      <c r="H163" t="s">
        <v>64</v>
      </c>
      <c r="I163" t="s">
        <v>296</v>
      </c>
      <c r="J163" t="s">
        <v>411</v>
      </c>
      <c r="K163" t="s">
        <v>412</v>
      </c>
      <c r="M163">
        <v>46804</v>
      </c>
      <c r="N163" t="s">
        <v>269</v>
      </c>
      <c r="O163" t="s">
        <v>52</v>
      </c>
      <c r="P163" t="s">
        <v>270</v>
      </c>
      <c r="Q163" t="s">
        <v>279</v>
      </c>
      <c r="R163" t="s">
        <v>299</v>
      </c>
      <c r="S163" t="s">
        <v>291</v>
      </c>
      <c r="T163" t="s">
        <v>413</v>
      </c>
      <c r="U163" t="s">
        <v>302</v>
      </c>
      <c r="V163">
        <f>IF(AND(SUM(IF('Consulta de contratos'!$K$1="",0,1),IF('Consulta de contratos'!$K$2="",0,1),IF('Consulta de contratos'!$K$3="",0,1),IF('Consulta de contratos'!$K$4="",0,1),IF('Consulta de contratos'!$K$5="",0,1),IF('Consulta de contratos'!$K$6="",0,1))&gt;0,OR('Consulta de contratos'!$K$1="",A163='Consulta de contratos'!$K$1),OR('Consulta de contratos'!$K$2="",I163='Consulta de contratos'!$K$2),OR('Consulta de contratos'!$K$3="",C163='Consulta de contratos'!$K$3),OR('Consulta de contratos'!$K$4="",D163='Consulta de contratos'!$K$4),OR('Consulta de contratos'!$K$5="",E163='Consulta de contratos'!$K$5),OR('Consulta de contratos'!$K$6="",IFERROR(ISNUMBER(SEARCH("|"&amp;'Consulta de contratos'!$K$6&amp;"|",AF163)),FALSE))),1,0)</f>
        <v>0</v>
      </c>
      <c r="W163">
        <f>IF(V163=1,SUM($V$2:V163),0)</f>
        <v>0</v>
      </c>
      <c r="X163" t="s">
        <v>59</v>
      </c>
      <c r="Y163" t="s">
        <v>303</v>
      </c>
      <c r="Z163" t="s">
        <v>80</v>
      </c>
      <c r="AA163" t="s">
        <v>62</v>
      </c>
      <c r="AF163" t="s">
        <v>304</v>
      </c>
    </row>
    <row r="164" spans="1:32" x14ac:dyDescent="0.35">
      <c r="A164" t="s">
        <v>191</v>
      </c>
      <c r="B164" t="s">
        <v>261</v>
      </c>
      <c r="C164" t="s">
        <v>42</v>
      </c>
      <c r="D164" t="s">
        <v>262</v>
      </c>
      <c r="E164" t="s">
        <v>263</v>
      </c>
      <c r="F164" t="s">
        <v>264</v>
      </c>
      <c r="G164" t="s">
        <v>265</v>
      </c>
      <c r="H164" t="s">
        <v>64</v>
      </c>
      <c r="I164" t="s">
        <v>296</v>
      </c>
      <c r="J164" t="s">
        <v>414</v>
      </c>
      <c r="K164" t="s">
        <v>415</v>
      </c>
      <c r="M164">
        <v>46804</v>
      </c>
      <c r="N164" t="s">
        <v>269</v>
      </c>
      <c r="O164" t="s">
        <v>52</v>
      </c>
      <c r="P164" t="s">
        <v>270</v>
      </c>
      <c r="Q164" t="s">
        <v>279</v>
      </c>
      <c r="R164" t="s">
        <v>299</v>
      </c>
      <c r="S164" t="s">
        <v>416</v>
      </c>
      <c r="T164" t="s">
        <v>417</v>
      </c>
      <c r="U164" t="s">
        <v>302</v>
      </c>
      <c r="V164">
        <f>IF(AND(SUM(IF('Consulta de contratos'!$K$1="",0,1),IF('Consulta de contratos'!$K$2="",0,1),IF('Consulta de contratos'!$K$3="",0,1),IF('Consulta de contratos'!$K$4="",0,1),IF('Consulta de contratos'!$K$5="",0,1),IF('Consulta de contratos'!$K$6="",0,1))&gt;0,OR('Consulta de contratos'!$K$1="",A164='Consulta de contratos'!$K$1),OR('Consulta de contratos'!$K$2="",I164='Consulta de contratos'!$K$2),OR('Consulta de contratos'!$K$3="",C164='Consulta de contratos'!$K$3),OR('Consulta de contratos'!$K$4="",D164='Consulta de contratos'!$K$4),OR('Consulta de contratos'!$K$5="",E164='Consulta de contratos'!$K$5),OR('Consulta de contratos'!$K$6="",IFERROR(ISNUMBER(SEARCH("|"&amp;'Consulta de contratos'!$K$6&amp;"|",AF164)),FALSE))),1,0)</f>
        <v>0</v>
      </c>
      <c r="W164">
        <f>IF(V164=1,SUM($V$2:V164),0)</f>
        <v>0</v>
      </c>
      <c r="X164" t="s">
        <v>59</v>
      </c>
      <c r="Y164" t="s">
        <v>303</v>
      </c>
      <c r="Z164" t="s">
        <v>80</v>
      </c>
      <c r="AA164" t="s">
        <v>62</v>
      </c>
      <c r="AF164" t="s">
        <v>304</v>
      </c>
    </row>
    <row r="165" spans="1:32" x14ac:dyDescent="0.35">
      <c r="A165" t="s">
        <v>198</v>
      </c>
      <c r="B165" t="s">
        <v>261</v>
      </c>
      <c r="C165" t="s">
        <v>42</v>
      </c>
      <c r="D165" t="s">
        <v>262</v>
      </c>
      <c r="E165" t="s">
        <v>263</v>
      </c>
      <c r="F165" t="s">
        <v>264</v>
      </c>
      <c r="G165" t="s">
        <v>265</v>
      </c>
      <c r="H165" t="s">
        <v>64</v>
      </c>
      <c r="I165" t="s">
        <v>296</v>
      </c>
      <c r="J165" t="s">
        <v>418</v>
      </c>
      <c r="K165" t="s">
        <v>419</v>
      </c>
      <c r="M165">
        <v>46804</v>
      </c>
      <c r="N165" t="s">
        <v>269</v>
      </c>
      <c r="O165" t="s">
        <v>52</v>
      </c>
      <c r="P165" t="s">
        <v>270</v>
      </c>
      <c r="Q165" t="s">
        <v>279</v>
      </c>
      <c r="R165" t="s">
        <v>299</v>
      </c>
      <c r="S165" t="s">
        <v>416</v>
      </c>
      <c r="T165" t="s">
        <v>420</v>
      </c>
      <c r="U165" t="s">
        <v>302</v>
      </c>
      <c r="V165">
        <f>IF(AND(SUM(IF('Consulta de contratos'!$K$1="",0,1),IF('Consulta de contratos'!$K$2="",0,1),IF('Consulta de contratos'!$K$3="",0,1),IF('Consulta de contratos'!$K$4="",0,1),IF('Consulta de contratos'!$K$5="",0,1),IF('Consulta de contratos'!$K$6="",0,1))&gt;0,OR('Consulta de contratos'!$K$1="",A165='Consulta de contratos'!$K$1),OR('Consulta de contratos'!$K$2="",I165='Consulta de contratos'!$K$2),OR('Consulta de contratos'!$K$3="",C165='Consulta de contratos'!$K$3),OR('Consulta de contratos'!$K$4="",D165='Consulta de contratos'!$K$4),OR('Consulta de contratos'!$K$5="",E165='Consulta de contratos'!$K$5),OR('Consulta de contratos'!$K$6="",IFERROR(ISNUMBER(SEARCH("|"&amp;'Consulta de contratos'!$K$6&amp;"|",AF165)),FALSE))),1,0)</f>
        <v>0</v>
      </c>
      <c r="W165">
        <f>IF(V165=1,SUM($V$2:V165),0)</f>
        <v>0</v>
      </c>
      <c r="X165" t="s">
        <v>59</v>
      </c>
      <c r="Y165" t="s">
        <v>303</v>
      </c>
      <c r="Z165" t="s">
        <v>80</v>
      </c>
      <c r="AA165" t="s">
        <v>62</v>
      </c>
      <c r="AF165" t="s">
        <v>304</v>
      </c>
    </row>
    <row r="166" spans="1:32" x14ac:dyDescent="0.35">
      <c r="A166" t="s">
        <v>40</v>
      </c>
      <c r="B166" t="s">
        <v>261</v>
      </c>
      <c r="C166" t="s">
        <v>42</v>
      </c>
      <c r="D166" t="s">
        <v>262</v>
      </c>
      <c r="E166" t="s">
        <v>263</v>
      </c>
      <c r="F166" t="s">
        <v>264</v>
      </c>
      <c r="G166" t="s">
        <v>265</v>
      </c>
      <c r="H166" t="s">
        <v>64</v>
      </c>
      <c r="I166" t="s">
        <v>296</v>
      </c>
      <c r="J166" t="s">
        <v>421</v>
      </c>
      <c r="K166" t="s">
        <v>422</v>
      </c>
      <c r="M166">
        <v>46804</v>
      </c>
      <c r="N166" t="s">
        <v>269</v>
      </c>
      <c r="O166" t="s">
        <v>52</v>
      </c>
      <c r="P166" t="s">
        <v>270</v>
      </c>
      <c r="Q166" t="s">
        <v>279</v>
      </c>
      <c r="R166" t="s">
        <v>299</v>
      </c>
      <c r="S166" t="s">
        <v>423</v>
      </c>
      <c r="T166" t="s">
        <v>424</v>
      </c>
      <c r="U166" t="s">
        <v>302</v>
      </c>
      <c r="V166">
        <f>IF(AND(SUM(IF('Consulta de contratos'!$K$1="",0,1),IF('Consulta de contratos'!$K$2="",0,1),IF('Consulta de contratos'!$K$3="",0,1),IF('Consulta de contratos'!$K$4="",0,1),IF('Consulta de contratos'!$K$5="",0,1),IF('Consulta de contratos'!$K$6="",0,1))&gt;0,OR('Consulta de contratos'!$K$1="",A166='Consulta de contratos'!$K$1),OR('Consulta de contratos'!$K$2="",I166='Consulta de contratos'!$K$2),OR('Consulta de contratos'!$K$3="",C166='Consulta de contratos'!$K$3),OR('Consulta de contratos'!$K$4="",D166='Consulta de contratos'!$K$4),OR('Consulta de contratos'!$K$5="",E166='Consulta de contratos'!$K$5),OR('Consulta de contratos'!$K$6="",IFERROR(ISNUMBER(SEARCH("|"&amp;'Consulta de contratos'!$K$6&amp;"|",AF166)),FALSE))),1,0)</f>
        <v>0</v>
      </c>
      <c r="W166">
        <f>IF(V166=1,SUM($V$2:V166),0)</f>
        <v>0</v>
      </c>
      <c r="X166" t="s">
        <v>59</v>
      </c>
      <c r="Y166" t="s">
        <v>303</v>
      </c>
      <c r="Z166" t="s">
        <v>80</v>
      </c>
      <c r="AA166" t="s">
        <v>62</v>
      </c>
      <c r="AF166" t="s">
        <v>304</v>
      </c>
    </row>
    <row r="167" spans="1:32" x14ac:dyDescent="0.35">
      <c r="A167" t="s">
        <v>170</v>
      </c>
      <c r="B167" t="s">
        <v>261</v>
      </c>
      <c r="C167" t="s">
        <v>42</v>
      </c>
      <c r="D167" t="s">
        <v>262</v>
      </c>
      <c r="E167" t="s">
        <v>263</v>
      </c>
      <c r="F167" t="s">
        <v>264</v>
      </c>
      <c r="G167" t="s">
        <v>265</v>
      </c>
      <c r="H167" t="s">
        <v>64</v>
      </c>
      <c r="I167" t="s">
        <v>296</v>
      </c>
      <c r="J167" t="s">
        <v>425</v>
      </c>
      <c r="K167" t="s">
        <v>426</v>
      </c>
      <c r="M167">
        <v>46804</v>
      </c>
      <c r="N167" t="s">
        <v>269</v>
      </c>
      <c r="O167" t="s">
        <v>52</v>
      </c>
      <c r="P167" t="s">
        <v>270</v>
      </c>
      <c r="Q167" t="s">
        <v>427</v>
      </c>
      <c r="R167" t="s">
        <v>299</v>
      </c>
      <c r="S167" t="s">
        <v>428</v>
      </c>
      <c r="T167" t="s">
        <v>429</v>
      </c>
      <c r="U167" t="s">
        <v>302</v>
      </c>
      <c r="V167">
        <f>IF(AND(SUM(IF('Consulta de contratos'!$K$1="",0,1),IF('Consulta de contratos'!$K$2="",0,1),IF('Consulta de contratos'!$K$3="",0,1),IF('Consulta de contratos'!$K$4="",0,1),IF('Consulta de contratos'!$K$5="",0,1),IF('Consulta de contratos'!$K$6="",0,1))&gt;0,OR('Consulta de contratos'!$K$1="",A167='Consulta de contratos'!$K$1),OR('Consulta de contratos'!$K$2="",I167='Consulta de contratos'!$K$2),OR('Consulta de contratos'!$K$3="",C167='Consulta de contratos'!$K$3),OR('Consulta de contratos'!$K$4="",D167='Consulta de contratos'!$K$4),OR('Consulta de contratos'!$K$5="",E167='Consulta de contratos'!$K$5),OR('Consulta de contratos'!$K$6="",IFERROR(ISNUMBER(SEARCH("|"&amp;'Consulta de contratos'!$K$6&amp;"|",AF167)),FALSE))),1,0)</f>
        <v>0</v>
      </c>
      <c r="W167">
        <f>IF(V167=1,SUM($V$2:V167),0)</f>
        <v>0</v>
      </c>
      <c r="X167" t="s">
        <v>59</v>
      </c>
      <c r="Y167" t="s">
        <v>303</v>
      </c>
      <c r="Z167" t="s">
        <v>80</v>
      </c>
      <c r="AA167" t="s">
        <v>62</v>
      </c>
      <c r="AF167" t="s">
        <v>304</v>
      </c>
    </row>
    <row r="168" spans="1:32" x14ac:dyDescent="0.35">
      <c r="A168" t="s">
        <v>212</v>
      </c>
      <c r="B168" t="s">
        <v>261</v>
      </c>
      <c r="C168" t="s">
        <v>42</v>
      </c>
      <c r="D168" t="s">
        <v>262</v>
      </c>
      <c r="E168" t="s">
        <v>263</v>
      </c>
      <c r="F168" t="s">
        <v>264</v>
      </c>
      <c r="G168" t="s">
        <v>265</v>
      </c>
      <c r="H168" t="s">
        <v>305</v>
      </c>
      <c r="I168" t="s">
        <v>276</v>
      </c>
      <c r="J168" t="s">
        <v>430</v>
      </c>
      <c r="K168" t="s">
        <v>431</v>
      </c>
      <c r="M168">
        <v>46808</v>
      </c>
      <c r="N168" t="s">
        <v>269</v>
      </c>
      <c r="O168" t="s">
        <v>52</v>
      </c>
      <c r="P168" t="s">
        <v>270</v>
      </c>
      <c r="Q168" t="s">
        <v>432</v>
      </c>
      <c r="R168" t="s">
        <v>308</v>
      </c>
      <c r="S168" t="s">
        <v>309</v>
      </c>
      <c r="T168" t="s">
        <v>433</v>
      </c>
      <c r="U168" t="s">
        <v>311</v>
      </c>
      <c r="V168">
        <f>IF(AND(SUM(IF('Consulta de contratos'!$K$1="",0,1),IF('Consulta de contratos'!$K$2="",0,1),IF('Consulta de contratos'!$K$3="",0,1),IF('Consulta de contratos'!$K$4="",0,1),IF('Consulta de contratos'!$K$5="",0,1),IF('Consulta de contratos'!$K$6="",0,1))&gt;0,OR('Consulta de contratos'!$K$1="",A168='Consulta de contratos'!$K$1),OR('Consulta de contratos'!$K$2="",I168='Consulta de contratos'!$K$2),OR('Consulta de contratos'!$K$3="",C168='Consulta de contratos'!$K$3),OR('Consulta de contratos'!$K$4="",D168='Consulta de contratos'!$K$4),OR('Consulta de contratos'!$K$5="",E168='Consulta de contratos'!$K$5),OR('Consulta de contratos'!$K$6="",IFERROR(ISNUMBER(SEARCH("|"&amp;'Consulta de contratos'!$K$6&amp;"|",AF168)),FALSE))),1,0)</f>
        <v>0</v>
      </c>
      <c r="W168">
        <f>IF(V168=1,SUM($V$2:V168),0)</f>
        <v>0</v>
      </c>
      <c r="X168" t="s">
        <v>59</v>
      </c>
      <c r="Y168" t="s">
        <v>284</v>
      </c>
      <c r="Z168" t="s">
        <v>285</v>
      </c>
      <c r="AA168" t="s">
        <v>62</v>
      </c>
      <c r="AF168" t="s">
        <v>286</v>
      </c>
    </row>
    <row r="169" spans="1:32" x14ac:dyDescent="0.35">
      <c r="A169" t="s">
        <v>219</v>
      </c>
      <c r="B169" t="s">
        <v>261</v>
      </c>
      <c r="C169" t="s">
        <v>42</v>
      </c>
      <c r="D169" t="s">
        <v>262</v>
      </c>
      <c r="E169" t="s">
        <v>263</v>
      </c>
      <c r="F169" t="s">
        <v>264</v>
      </c>
      <c r="G169" t="s">
        <v>265</v>
      </c>
      <c r="H169" t="s">
        <v>305</v>
      </c>
      <c r="I169" t="s">
        <v>276</v>
      </c>
      <c r="J169" t="s">
        <v>434</v>
      </c>
      <c r="K169" t="s">
        <v>435</v>
      </c>
      <c r="M169">
        <v>46808</v>
      </c>
      <c r="N169" t="s">
        <v>269</v>
      </c>
      <c r="O169" t="s">
        <v>52</v>
      </c>
      <c r="P169" t="s">
        <v>270</v>
      </c>
      <c r="Q169" t="s">
        <v>279</v>
      </c>
      <c r="R169" t="s">
        <v>308</v>
      </c>
      <c r="S169" t="s">
        <v>436</v>
      </c>
      <c r="T169" t="s">
        <v>437</v>
      </c>
      <c r="U169" t="s">
        <v>311</v>
      </c>
      <c r="V169">
        <f>IF(AND(SUM(IF('Consulta de contratos'!$K$1="",0,1),IF('Consulta de contratos'!$K$2="",0,1),IF('Consulta de contratos'!$K$3="",0,1),IF('Consulta de contratos'!$K$4="",0,1),IF('Consulta de contratos'!$K$5="",0,1),IF('Consulta de contratos'!$K$6="",0,1))&gt;0,OR('Consulta de contratos'!$K$1="",A169='Consulta de contratos'!$K$1),OR('Consulta de contratos'!$K$2="",I169='Consulta de contratos'!$K$2),OR('Consulta de contratos'!$K$3="",C169='Consulta de contratos'!$K$3),OR('Consulta de contratos'!$K$4="",D169='Consulta de contratos'!$K$4),OR('Consulta de contratos'!$K$5="",E169='Consulta de contratos'!$K$5),OR('Consulta de contratos'!$K$6="",IFERROR(ISNUMBER(SEARCH("|"&amp;'Consulta de contratos'!$K$6&amp;"|",AF169)),FALSE))),1,0)</f>
        <v>0</v>
      </c>
      <c r="W169">
        <f>IF(V169=1,SUM($V$2:V169),0)</f>
        <v>0</v>
      </c>
      <c r="X169" t="s">
        <v>59</v>
      </c>
      <c r="Y169" t="s">
        <v>284</v>
      </c>
      <c r="Z169" t="s">
        <v>285</v>
      </c>
      <c r="AA169" t="s">
        <v>62</v>
      </c>
      <c r="AF169" t="s">
        <v>286</v>
      </c>
    </row>
    <row r="170" spans="1:32" x14ac:dyDescent="0.35">
      <c r="A170" t="s">
        <v>226</v>
      </c>
      <c r="B170" t="s">
        <v>261</v>
      </c>
      <c r="C170" t="s">
        <v>42</v>
      </c>
      <c r="D170" t="s">
        <v>262</v>
      </c>
      <c r="E170" t="s">
        <v>263</v>
      </c>
      <c r="F170" t="s">
        <v>264</v>
      </c>
      <c r="G170" t="s">
        <v>265</v>
      </c>
      <c r="H170" t="s">
        <v>305</v>
      </c>
      <c r="I170" t="s">
        <v>276</v>
      </c>
      <c r="J170" t="s">
        <v>438</v>
      </c>
      <c r="K170" t="s">
        <v>439</v>
      </c>
      <c r="M170">
        <v>46808</v>
      </c>
      <c r="N170" t="s">
        <v>269</v>
      </c>
      <c r="O170" t="s">
        <v>52</v>
      </c>
      <c r="P170" t="s">
        <v>270</v>
      </c>
      <c r="Q170" t="s">
        <v>279</v>
      </c>
      <c r="R170" t="s">
        <v>308</v>
      </c>
      <c r="S170" t="s">
        <v>440</v>
      </c>
      <c r="T170" t="s">
        <v>441</v>
      </c>
      <c r="U170" t="s">
        <v>311</v>
      </c>
      <c r="V170">
        <f>IF(AND(SUM(IF('Consulta de contratos'!$K$1="",0,1),IF('Consulta de contratos'!$K$2="",0,1),IF('Consulta de contratos'!$K$3="",0,1),IF('Consulta de contratos'!$K$4="",0,1),IF('Consulta de contratos'!$K$5="",0,1),IF('Consulta de contratos'!$K$6="",0,1))&gt;0,OR('Consulta de contratos'!$K$1="",A170='Consulta de contratos'!$K$1),OR('Consulta de contratos'!$K$2="",I170='Consulta de contratos'!$K$2),OR('Consulta de contratos'!$K$3="",C170='Consulta de contratos'!$K$3),OR('Consulta de contratos'!$K$4="",D170='Consulta de contratos'!$K$4),OR('Consulta de contratos'!$K$5="",E170='Consulta de contratos'!$K$5),OR('Consulta de contratos'!$K$6="",IFERROR(ISNUMBER(SEARCH("|"&amp;'Consulta de contratos'!$K$6&amp;"|",AF170)),FALSE))),1,0)</f>
        <v>0</v>
      </c>
      <c r="W170">
        <f>IF(V170=1,SUM($V$2:V170),0)</f>
        <v>0</v>
      </c>
      <c r="X170" t="s">
        <v>59</v>
      </c>
      <c r="Y170" t="s">
        <v>284</v>
      </c>
      <c r="Z170" t="s">
        <v>285</v>
      </c>
      <c r="AA170" t="s">
        <v>62</v>
      </c>
      <c r="AF170" t="s">
        <v>286</v>
      </c>
    </row>
    <row r="171" spans="1:32" x14ac:dyDescent="0.35">
      <c r="A171" t="s">
        <v>233</v>
      </c>
      <c r="B171" t="s">
        <v>261</v>
      </c>
      <c r="C171" t="s">
        <v>42</v>
      </c>
      <c r="D171" t="s">
        <v>262</v>
      </c>
      <c r="E171" t="s">
        <v>263</v>
      </c>
      <c r="F171" t="s">
        <v>264</v>
      </c>
      <c r="G171" t="s">
        <v>265</v>
      </c>
      <c r="H171" t="s">
        <v>305</v>
      </c>
      <c r="I171" t="s">
        <v>276</v>
      </c>
      <c r="J171" t="s">
        <v>442</v>
      </c>
      <c r="K171" t="s">
        <v>443</v>
      </c>
      <c r="M171">
        <v>46808</v>
      </c>
      <c r="N171" t="s">
        <v>269</v>
      </c>
      <c r="O171" t="s">
        <v>52</v>
      </c>
      <c r="P171" t="s">
        <v>270</v>
      </c>
      <c r="Q171" t="s">
        <v>279</v>
      </c>
      <c r="R171" t="s">
        <v>308</v>
      </c>
      <c r="S171" t="s">
        <v>440</v>
      </c>
      <c r="T171" t="s">
        <v>444</v>
      </c>
      <c r="U171" t="s">
        <v>311</v>
      </c>
      <c r="V171">
        <f>IF(AND(SUM(IF('Consulta de contratos'!$K$1="",0,1),IF('Consulta de contratos'!$K$2="",0,1),IF('Consulta de contratos'!$K$3="",0,1),IF('Consulta de contratos'!$K$4="",0,1),IF('Consulta de contratos'!$K$5="",0,1),IF('Consulta de contratos'!$K$6="",0,1))&gt;0,OR('Consulta de contratos'!$K$1="",A171='Consulta de contratos'!$K$1),OR('Consulta de contratos'!$K$2="",I171='Consulta de contratos'!$K$2),OR('Consulta de contratos'!$K$3="",C171='Consulta de contratos'!$K$3),OR('Consulta de contratos'!$K$4="",D171='Consulta de contratos'!$K$4),OR('Consulta de contratos'!$K$5="",E171='Consulta de contratos'!$K$5),OR('Consulta de contratos'!$K$6="",IFERROR(ISNUMBER(SEARCH("|"&amp;'Consulta de contratos'!$K$6&amp;"|",AF171)),FALSE))),1,0)</f>
        <v>0</v>
      </c>
      <c r="W171">
        <f>IF(V171=1,SUM($V$2:V171),0)</f>
        <v>0</v>
      </c>
      <c r="X171" t="s">
        <v>59</v>
      </c>
      <c r="Y171" t="s">
        <v>284</v>
      </c>
      <c r="Z171" t="s">
        <v>285</v>
      </c>
      <c r="AA171" t="s">
        <v>62</v>
      </c>
      <c r="AF171" t="s">
        <v>286</v>
      </c>
    </row>
    <row r="172" spans="1:32" x14ac:dyDescent="0.35">
      <c r="A172" t="s">
        <v>198</v>
      </c>
      <c r="B172" t="s">
        <v>261</v>
      </c>
      <c r="C172" t="s">
        <v>42</v>
      </c>
      <c r="D172" t="s">
        <v>262</v>
      </c>
      <c r="E172" t="s">
        <v>263</v>
      </c>
      <c r="F172" t="s">
        <v>264</v>
      </c>
      <c r="G172" t="s">
        <v>265</v>
      </c>
      <c r="H172" t="s">
        <v>305</v>
      </c>
      <c r="I172" t="s">
        <v>276</v>
      </c>
      <c r="J172" t="s">
        <v>445</v>
      </c>
      <c r="K172" t="s">
        <v>446</v>
      </c>
      <c r="M172">
        <v>46808</v>
      </c>
      <c r="N172" t="s">
        <v>269</v>
      </c>
      <c r="O172" t="s">
        <v>52</v>
      </c>
      <c r="P172" t="s">
        <v>270</v>
      </c>
      <c r="Q172" t="s">
        <v>279</v>
      </c>
      <c r="R172" t="s">
        <v>308</v>
      </c>
      <c r="S172" t="s">
        <v>447</v>
      </c>
      <c r="T172" t="s">
        <v>448</v>
      </c>
      <c r="U172" t="s">
        <v>311</v>
      </c>
      <c r="V172">
        <f>IF(AND(SUM(IF('Consulta de contratos'!$K$1="",0,1),IF('Consulta de contratos'!$K$2="",0,1),IF('Consulta de contratos'!$K$3="",0,1),IF('Consulta de contratos'!$K$4="",0,1),IF('Consulta de contratos'!$K$5="",0,1),IF('Consulta de contratos'!$K$6="",0,1))&gt;0,OR('Consulta de contratos'!$K$1="",A172='Consulta de contratos'!$K$1),OR('Consulta de contratos'!$K$2="",I172='Consulta de contratos'!$K$2),OR('Consulta de contratos'!$K$3="",C172='Consulta de contratos'!$K$3),OR('Consulta de contratos'!$K$4="",D172='Consulta de contratos'!$K$4),OR('Consulta de contratos'!$K$5="",E172='Consulta de contratos'!$K$5),OR('Consulta de contratos'!$K$6="",IFERROR(ISNUMBER(SEARCH("|"&amp;'Consulta de contratos'!$K$6&amp;"|",AF172)),FALSE))),1,0)</f>
        <v>0</v>
      </c>
      <c r="W172">
        <f>IF(V172=1,SUM($V$2:V172),0)</f>
        <v>0</v>
      </c>
      <c r="X172" t="s">
        <v>59</v>
      </c>
      <c r="Y172" t="s">
        <v>284</v>
      </c>
      <c r="Z172" t="s">
        <v>285</v>
      </c>
      <c r="AA172" t="s">
        <v>62</v>
      </c>
      <c r="AF172" t="s">
        <v>286</v>
      </c>
    </row>
    <row r="173" spans="1:32" x14ac:dyDescent="0.35">
      <c r="A173" t="s">
        <v>163</v>
      </c>
      <c r="B173" t="s">
        <v>261</v>
      </c>
      <c r="C173" t="s">
        <v>42</v>
      </c>
      <c r="D173" t="s">
        <v>262</v>
      </c>
      <c r="E173" t="s">
        <v>263</v>
      </c>
      <c r="F173" t="s">
        <v>264</v>
      </c>
      <c r="G173" t="s">
        <v>265</v>
      </c>
      <c r="H173" t="s">
        <v>312</v>
      </c>
      <c r="I173" t="s">
        <v>313</v>
      </c>
      <c r="J173" t="s">
        <v>449</v>
      </c>
      <c r="K173" t="s">
        <v>450</v>
      </c>
      <c r="M173">
        <v>46804</v>
      </c>
      <c r="N173" t="s">
        <v>269</v>
      </c>
      <c r="O173" t="s">
        <v>52</v>
      </c>
      <c r="P173" t="s">
        <v>270</v>
      </c>
      <c r="Q173" t="s">
        <v>451</v>
      </c>
      <c r="R173" t="s">
        <v>316</v>
      </c>
      <c r="S173" t="s">
        <v>317</v>
      </c>
      <c r="T173" t="s">
        <v>452</v>
      </c>
      <c r="U173" t="s">
        <v>319</v>
      </c>
      <c r="V173">
        <f>IF(AND(SUM(IF('Consulta de contratos'!$K$1="",0,1),IF('Consulta de contratos'!$K$2="",0,1),IF('Consulta de contratos'!$K$3="",0,1),IF('Consulta de contratos'!$K$4="",0,1),IF('Consulta de contratos'!$K$5="",0,1),IF('Consulta de contratos'!$K$6="",0,1))&gt;0,OR('Consulta de contratos'!$K$1="",A173='Consulta de contratos'!$K$1),OR('Consulta de contratos'!$K$2="",I173='Consulta de contratos'!$K$2),OR('Consulta de contratos'!$K$3="",C173='Consulta de contratos'!$K$3),OR('Consulta de contratos'!$K$4="",D173='Consulta de contratos'!$K$4),OR('Consulta de contratos'!$K$5="",E173='Consulta de contratos'!$K$5),OR('Consulta de contratos'!$K$6="",IFERROR(ISNUMBER(SEARCH("|"&amp;'Consulta de contratos'!$K$6&amp;"|",AF173)),FALSE))),1,0)</f>
        <v>0</v>
      </c>
      <c r="W173">
        <f>IF(V173=1,SUM($V$2:V173),0)</f>
        <v>0</v>
      </c>
      <c r="X173" t="s">
        <v>59</v>
      </c>
      <c r="Y173" t="s">
        <v>320</v>
      </c>
      <c r="Z173" t="s">
        <v>80</v>
      </c>
      <c r="AA173" t="s">
        <v>62</v>
      </c>
      <c r="AF173" t="s">
        <v>321</v>
      </c>
    </row>
    <row r="174" spans="1:32" x14ac:dyDescent="0.35">
      <c r="A174" t="s">
        <v>170</v>
      </c>
      <c r="B174" t="s">
        <v>261</v>
      </c>
      <c r="C174" t="s">
        <v>42</v>
      </c>
      <c r="D174" t="s">
        <v>262</v>
      </c>
      <c r="E174" t="s">
        <v>263</v>
      </c>
      <c r="F174" t="s">
        <v>264</v>
      </c>
      <c r="G174" t="s">
        <v>265</v>
      </c>
      <c r="H174" t="s">
        <v>322</v>
      </c>
      <c r="I174" t="s">
        <v>323</v>
      </c>
      <c r="J174" t="s">
        <v>453</v>
      </c>
      <c r="K174" t="s">
        <v>454</v>
      </c>
      <c r="M174">
        <v>46803</v>
      </c>
      <c r="N174" t="s">
        <v>269</v>
      </c>
      <c r="O174" t="s">
        <v>52</v>
      </c>
      <c r="P174" t="s">
        <v>270</v>
      </c>
      <c r="Q174" t="s">
        <v>279</v>
      </c>
      <c r="R174" t="s">
        <v>326</v>
      </c>
      <c r="S174" t="s">
        <v>455</v>
      </c>
      <c r="T174" t="s">
        <v>456</v>
      </c>
      <c r="U174" t="s">
        <v>329</v>
      </c>
      <c r="V174">
        <f>IF(AND(SUM(IF('Consulta de contratos'!$K$1="",0,1),IF('Consulta de contratos'!$K$2="",0,1),IF('Consulta de contratos'!$K$3="",0,1),IF('Consulta de contratos'!$K$4="",0,1),IF('Consulta de contratos'!$K$5="",0,1),IF('Consulta de contratos'!$K$6="",0,1))&gt;0,OR('Consulta de contratos'!$K$1="",A174='Consulta de contratos'!$K$1),OR('Consulta de contratos'!$K$2="",I174='Consulta de contratos'!$K$2),OR('Consulta de contratos'!$K$3="",C174='Consulta de contratos'!$K$3),OR('Consulta de contratos'!$K$4="",D174='Consulta de contratos'!$K$4),OR('Consulta de contratos'!$K$5="",E174='Consulta de contratos'!$K$5),OR('Consulta de contratos'!$K$6="",IFERROR(ISNUMBER(SEARCH("|"&amp;'Consulta de contratos'!$K$6&amp;"|",AF174)),FALSE))),1,0)</f>
        <v>0</v>
      </c>
      <c r="W174">
        <f>IF(V174=1,SUM($V$2:V174),0)</f>
        <v>0</v>
      </c>
      <c r="X174" t="s">
        <v>59</v>
      </c>
      <c r="Y174" t="s">
        <v>330</v>
      </c>
      <c r="Z174" t="s">
        <v>331</v>
      </c>
      <c r="AA174" t="s">
        <v>62</v>
      </c>
      <c r="AF174" t="s">
        <v>332</v>
      </c>
    </row>
    <row r="175" spans="1:32" x14ac:dyDescent="0.35">
      <c r="A175" t="s">
        <v>457</v>
      </c>
      <c r="B175" t="s">
        <v>333</v>
      </c>
      <c r="C175" t="s">
        <v>42</v>
      </c>
      <c r="D175" t="s">
        <v>262</v>
      </c>
      <c r="E175" t="s">
        <v>334</v>
      </c>
      <c r="F175" t="s">
        <v>458</v>
      </c>
      <c r="G175" t="s">
        <v>459</v>
      </c>
      <c r="H175" t="s">
        <v>84</v>
      </c>
      <c r="I175" t="s">
        <v>460</v>
      </c>
      <c r="J175" t="s">
        <v>461</v>
      </c>
      <c r="K175" t="s">
        <v>462</v>
      </c>
      <c r="L175">
        <v>46147</v>
      </c>
      <c r="N175" t="s">
        <v>269</v>
      </c>
      <c r="Q175" t="s">
        <v>463</v>
      </c>
      <c r="R175" t="s">
        <v>464</v>
      </c>
      <c r="S175" t="s">
        <v>465</v>
      </c>
      <c r="T175" t="s">
        <v>466</v>
      </c>
      <c r="U175" t="s">
        <v>467</v>
      </c>
      <c r="V175">
        <f>IF(AND(SUM(IF('Consulta de contratos'!$K$1="",0,1),IF('Consulta de contratos'!$K$2="",0,1),IF('Consulta de contratos'!$K$3="",0,1),IF('Consulta de contratos'!$K$4="",0,1),IF('Consulta de contratos'!$K$5="",0,1),IF('Consulta de contratos'!$K$6="",0,1))&gt;0,OR('Consulta de contratos'!$K$1="",A175='Consulta de contratos'!$K$1),OR('Consulta de contratos'!$K$2="",I175='Consulta de contratos'!$K$2),OR('Consulta de contratos'!$K$3="",C175='Consulta de contratos'!$K$3),OR('Consulta de contratos'!$K$4="",D175='Consulta de contratos'!$K$4),OR('Consulta de contratos'!$K$5="",E175='Consulta de contratos'!$K$5),OR('Consulta de contratos'!$K$6="",IFERROR(ISNUMBER(SEARCH("|"&amp;'Consulta de contratos'!$K$6&amp;"|",AF175)),FALSE))),1,0)</f>
        <v>0</v>
      </c>
      <c r="W175">
        <f>IF(V175=1,SUM($V$2:V175),0)</f>
        <v>0</v>
      </c>
      <c r="X175" t="s">
        <v>468</v>
      </c>
      <c r="Y175" t="s">
        <v>469</v>
      </c>
      <c r="Z175" t="s">
        <v>346</v>
      </c>
      <c r="AA175" t="s">
        <v>62</v>
      </c>
      <c r="AF175" t="s">
        <v>470</v>
      </c>
    </row>
    <row r="176" spans="1:32" x14ac:dyDescent="0.35">
      <c r="A176" t="s">
        <v>457</v>
      </c>
      <c r="B176" t="s">
        <v>471</v>
      </c>
      <c r="C176" t="s">
        <v>42</v>
      </c>
      <c r="D176" t="s">
        <v>472</v>
      </c>
      <c r="E176" t="s">
        <v>473</v>
      </c>
      <c r="F176" t="s">
        <v>474</v>
      </c>
      <c r="G176" t="s">
        <v>475</v>
      </c>
      <c r="H176" t="s">
        <v>47</v>
      </c>
      <c r="I176" t="s">
        <v>476</v>
      </c>
      <c r="J176" t="s">
        <v>477</v>
      </c>
      <c r="K176" t="s">
        <v>478</v>
      </c>
      <c r="L176">
        <v>45475</v>
      </c>
      <c r="M176">
        <v>46935</v>
      </c>
      <c r="Q176" t="s">
        <v>479</v>
      </c>
      <c r="R176" t="s">
        <v>480</v>
      </c>
      <c r="S176" t="s">
        <v>481</v>
      </c>
      <c r="T176" t="s">
        <v>482</v>
      </c>
      <c r="U176" t="s">
        <v>483</v>
      </c>
      <c r="V176">
        <f>IF(AND(SUM(IF('Consulta de contratos'!$K$1="",0,1),IF('Consulta de contratos'!$K$2="",0,1),IF('Consulta de contratos'!$K$3="",0,1),IF('Consulta de contratos'!$K$4="",0,1),IF('Consulta de contratos'!$K$5="",0,1),IF('Consulta de contratos'!$K$6="",0,1))&gt;0,OR('Consulta de contratos'!$K$1="",A176='Consulta de contratos'!$K$1),OR('Consulta de contratos'!$K$2="",I176='Consulta de contratos'!$K$2),OR('Consulta de contratos'!$K$3="",C176='Consulta de contratos'!$K$3),OR('Consulta de contratos'!$K$4="",D176='Consulta de contratos'!$K$4),OR('Consulta de contratos'!$K$5="",E176='Consulta de contratos'!$K$5),OR('Consulta de contratos'!$K$6="",IFERROR(ISNUMBER(SEARCH("|"&amp;'Consulta de contratos'!$K$6&amp;"|",AF176)),FALSE))),1,0)</f>
        <v>0</v>
      </c>
      <c r="W176">
        <f>IF(V176=1,SUM($V$2:V176),0)</f>
        <v>0</v>
      </c>
      <c r="X176" t="s">
        <v>59</v>
      </c>
      <c r="Y176" t="s">
        <v>476</v>
      </c>
      <c r="Z176" t="s">
        <v>71</v>
      </c>
      <c r="AA176" t="s">
        <v>62</v>
      </c>
      <c r="AF176" t="s">
        <v>484</v>
      </c>
    </row>
    <row r="177" spans="1:32" x14ac:dyDescent="0.35">
      <c r="A177" t="s">
        <v>457</v>
      </c>
      <c r="B177" t="s">
        <v>471</v>
      </c>
      <c r="C177" t="s">
        <v>42</v>
      </c>
      <c r="D177" t="s">
        <v>472</v>
      </c>
      <c r="E177" t="s">
        <v>473</v>
      </c>
      <c r="F177" t="s">
        <v>474</v>
      </c>
      <c r="G177" t="s">
        <v>475</v>
      </c>
      <c r="H177" t="s">
        <v>124</v>
      </c>
      <c r="I177" t="s">
        <v>485</v>
      </c>
      <c r="J177" t="s">
        <v>486</v>
      </c>
      <c r="K177" t="s">
        <v>487</v>
      </c>
      <c r="L177">
        <v>45476</v>
      </c>
      <c r="M177">
        <v>46936</v>
      </c>
      <c r="Q177" t="s">
        <v>479</v>
      </c>
      <c r="R177" t="s">
        <v>488</v>
      </c>
      <c r="S177" t="s">
        <v>481</v>
      </c>
      <c r="T177" t="s">
        <v>489</v>
      </c>
      <c r="U177" t="s">
        <v>490</v>
      </c>
      <c r="V177">
        <f>IF(AND(SUM(IF('Consulta de contratos'!$K$1="",0,1),IF('Consulta de contratos'!$K$2="",0,1),IF('Consulta de contratos'!$K$3="",0,1),IF('Consulta de contratos'!$K$4="",0,1),IF('Consulta de contratos'!$K$5="",0,1),IF('Consulta de contratos'!$K$6="",0,1))&gt;0,OR('Consulta de contratos'!$K$1="",A177='Consulta de contratos'!$K$1),OR('Consulta de contratos'!$K$2="",I177='Consulta de contratos'!$K$2),OR('Consulta de contratos'!$K$3="",C177='Consulta de contratos'!$K$3),OR('Consulta de contratos'!$K$4="",D177='Consulta de contratos'!$K$4),OR('Consulta de contratos'!$K$5="",E177='Consulta de contratos'!$K$5),OR('Consulta de contratos'!$K$6="",IFERROR(ISNUMBER(SEARCH("|"&amp;'Consulta de contratos'!$K$6&amp;"|",AF177)),FALSE))),1,0)</f>
        <v>0</v>
      </c>
      <c r="W177">
        <f>IF(V177=1,SUM($V$2:V177),0)</f>
        <v>0</v>
      </c>
      <c r="X177" t="s">
        <v>59</v>
      </c>
      <c r="Y177" t="s">
        <v>491</v>
      </c>
      <c r="Z177" t="s">
        <v>492</v>
      </c>
      <c r="AA177" t="s">
        <v>62</v>
      </c>
      <c r="AF177" t="s">
        <v>493</v>
      </c>
    </row>
    <row r="178" spans="1:32" x14ac:dyDescent="0.35">
      <c r="A178" t="s">
        <v>457</v>
      </c>
      <c r="B178" t="s">
        <v>471</v>
      </c>
      <c r="C178" t="s">
        <v>42</v>
      </c>
      <c r="D178" t="s">
        <v>472</v>
      </c>
      <c r="E178" t="s">
        <v>473</v>
      </c>
      <c r="F178" t="s">
        <v>474</v>
      </c>
      <c r="G178" t="s">
        <v>475</v>
      </c>
      <c r="H178" t="s">
        <v>73</v>
      </c>
      <c r="I178" t="s">
        <v>494</v>
      </c>
      <c r="J178" t="s">
        <v>495</v>
      </c>
      <c r="K178" t="s">
        <v>496</v>
      </c>
      <c r="L178">
        <v>45463</v>
      </c>
      <c r="M178">
        <v>46923</v>
      </c>
      <c r="Q178" t="s">
        <v>479</v>
      </c>
      <c r="R178" t="s">
        <v>497</v>
      </c>
      <c r="S178" t="s">
        <v>481</v>
      </c>
      <c r="T178" t="s">
        <v>498</v>
      </c>
      <c r="U178" t="s">
        <v>499</v>
      </c>
      <c r="V178">
        <f>IF(AND(SUM(IF('Consulta de contratos'!$K$1="",0,1),IF('Consulta de contratos'!$K$2="",0,1),IF('Consulta de contratos'!$K$3="",0,1),IF('Consulta de contratos'!$K$4="",0,1),IF('Consulta de contratos'!$K$5="",0,1),IF('Consulta de contratos'!$K$6="",0,1))&gt;0,OR('Consulta de contratos'!$K$1="",A178='Consulta de contratos'!$K$1),OR('Consulta de contratos'!$K$2="",I178='Consulta de contratos'!$K$2),OR('Consulta de contratos'!$K$3="",C178='Consulta de contratos'!$K$3),OR('Consulta de contratos'!$K$4="",D178='Consulta de contratos'!$K$4),OR('Consulta de contratos'!$K$5="",E178='Consulta de contratos'!$K$5),OR('Consulta de contratos'!$K$6="",IFERROR(ISNUMBER(SEARCH("|"&amp;'Consulta de contratos'!$K$6&amp;"|",AF178)),FALSE))),1,0)</f>
        <v>0</v>
      </c>
      <c r="W178">
        <f>IF(V178=1,SUM($V$2:V178),0)</f>
        <v>0</v>
      </c>
      <c r="X178" t="s">
        <v>59</v>
      </c>
      <c r="Y178" t="s">
        <v>500</v>
      </c>
      <c r="Z178" t="s">
        <v>61</v>
      </c>
      <c r="AA178" t="s">
        <v>62</v>
      </c>
      <c r="AF178" t="s">
        <v>501</v>
      </c>
    </row>
    <row r="179" spans="1:32" x14ac:dyDescent="0.35">
      <c r="A179" t="s">
        <v>457</v>
      </c>
      <c r="B179" t="s">
        <v>471</v>
      </c>
      <c r="C179" t="s">
        <v>42</v>
      </c>
      <c r="D179" t="s">
        <v>472</v>
      </c>
      <c r="E179" t="s">
        <v>473</v>
      </c>
      <c r="F179" t="s">
        <v>474</v>
      </c>
      <c r="G179" t="s">
        <v>475</v>
      </c>
      <c r="H179" t="s">
        <v>64</v>
      </c>
      <c r="I179" t="s">
        <v>502</v>
      </c>
      <c r="J179" t="s">
        <v>503</v>
      </c>
      <c r="K179" t="s">
        <v>504</v>
      </c>
      <c r="L179">
        <v>45481</v>
      </c>
      <c r="M179">
        <v>46941</v>
      </c>
      <c r="Q179" t="s">
        <v>479</v>
      </c>
      <c r="R179" t="s">
        <v>505</v>
      </c>
      <c r="S179" t="s">
        <v>481</v>
      </c>
      <c r="T179" t="s">
        <v>506</v>
      </c>
      <c r="U179" t="s">
        <v>507</v>
      </c>
      <c r="V179">
        <f>IF(AND(SUM(IF('Consulta de contratos'!$K$1="",0,1),IF('Consulta de contratos'!$K$2="",0,1),IF('Consulta de contratos'!$K$3="",0,1),IF('Consulta de contratos'!$K$4="",0,1),IF('Consulta de contratos'!$K$5="",0,1),IF('Consulta de contratos'!$K$6="",0,1))&gt;0,OR('Consulta de contratos'!$K$1="",A179='Consulta de contratos'!$K$1),OR('Consulta de contratos'!$K$2="",I179='Consulta de contratos'!$K$2),OR('Consulta de contratos'!$K$3="",C179='Consulta de contratos'!$K$3),OR('Consulta de contratos'!$K$4="",D179='Consulta de contratos'!$K$4),OR('Consulta de contratos'!$K$5="",E179='Consulta de contratos'!$K$5),OR('Consulta de contratos'!$K$6="",IFERROR(ISNUMBER(SEARCH("|"&amp;'Consulta de contratos'!$K$6&amp;"|",AF179)),FALSE))),1,0)</f>
        <v>0</v>
      </c>
      <c r="W179">
        <f>IF(V179=1,SUM($V$2:V179),0)</f>
        <v>0</v>
      </c>
      <c r="X179" t="s">
        <v>59</v>
      </c>
      <c r="Y179" t="s">
        <v>508</v>
      </c>
      <c r="Z179" t="s">
        <v>346</v>
      </c>
      <c r="AA179" t="s">
        <v>62</v>
      </c>
      <c r="AF179" t="s">
        <v>509</v>
      </c>
    </row>
    <row r="180" spans="1:32" x14ac:dyDescent="0.35">
      <c r="A180" t="s">
        <v>457</v>
      </c>
      <c r="B180" t="s">
        <v>471</v>
      </c>
      <c r="C180" t="s">
        <v>42</v>
      </c>
      <c r="D180" t="s">
        <v>472</v>
      </c>
      <c r="E180" t="s">
        <v>473</v>
      </c>
      <c r="F180" t="s">
        <v>510</v>
      </c>
      <c r="G180" t="s">
        <v>511</v>
      </c>
      <c r="H180" t="s">
        <v>84</v>
      </c>
      <c r="I180" t="s">
        <v>512</v>
      </c>
      <c r="J180" t="s">
        <v>513</v>
      </c>
      <c r="K180" t="s">
        <v>514</v>
      </c>
      <c r="L180">
        <v>45689</v>
      </c>
      <c r="M180">
        <v>47514</v>
      </c>
      <c r="Q180" t="s">
        <v>515</v>
      </c>
      <c r="R180" t="s">
        <v>516</v>
      </c>
      <c r="S180" t="s">
        <v>517</v>
      </c>
      <c r="T180" t="s">
        <v>518</v>
      </c>
      <c r="U180" t="s">
        <v>519</v>
      </c>
      <c r="V180">
        <f>IF(AND(SUM(IF('Consulta de contratos'!$K$1="",0,1),IF('Consulta de contratos'!$K$2="",0,1),IF('Consulta de contratos'!$K$3="",0,1),IF('Consulta de contratos'!$K$4="",0,1),IF('Consulta de contratos'!$K$5="",0,1),IF('Consulta de contratos'!$K$6="",0,1))&gt;0,OR('Consulta de contratos'!$K$1="",A180='Consulta de contratos'!$K$1),OR('Consulta de contratos'!$K$2="",I180='Consulta de contratos'!$K$2),OR('Consulta de contratos'!$K$3="",C180='Consulta de contratos'!$K$3),OR('Consulta de contratos'!$K$4="",D180='Consulta de contratos'!$K$4),OR('Consulta de contratos'!$K$5="",E180='Consulta de contratos'!$K$5),OR('Consulta de contratos'!$K$6="",IFERROR(ISNUMBER(SEARCH("|"&amp;'Consulta de contratos'!$K$6&amp;"|",AF180)),FALSE))),1,0)</f>
        <v>0</v>
      </c>
      <c r="W180">
        <f>IF(V180=1,SUM($V$2:V180),0)</f>
        <v>0</v>
      </c>
      <c r="X180" t="s">
        <v>59</v>
      </c>
      <c r="Y180" t="s">
        <v>284</v>
      </c>
      <c r="Z180" t="s">
        <v>285</v>
      </c>
      <c r="AA180" t="s">
        <v>62</v>
      </c>
      <c r="AF180" t="s">
        <v>286</v>
      </c>
    </row>
    <row r="181" spans="1:32" x14ac:dyDescent="0.35">
      <c r="A181" t="s">
        <v>457</v>
      </c>
      <c r="B181" t="s">
        <v>471</v>
      </c>
      <c r="C181" t="s">
        <v>520</v>
      </c>
      <c r="D181" t="s">
        <v>521</v>
      </c>
      <c r="E181" t="s">
        <v>522</v>
      </c>
      <c r="F181" t="s">
        <v>523</v>
      </c>
      <c r="G181" t="s">
        <v>524</v>
      </c>
      <c r="H181" t="s">
        <v>84</v>
      </c>
      <c r="I181" t="s">
        <v>525</v>
      </c>
      <c r="J181" t="s">
        <v>526</v>
      </c>
      <c r="K181" t="s">
        <v>527</v>
      </c>
      <c r="M181">
        <v>46387</v>
      </c>
      <c r="Q181" t="s">
        <v>528</v>
      </c>
      <c r="R181" t="s">
        <v>529</v>
      </c>
      <c r="S181" t="s">
        <v>530</v>
      </c>
      <c r="T181" t="s">
        <v>531</v>
      </c>
      <c r="U181" t="s">
        <v>532</v>
      </c>
      <c r="V181">
        <f>IF(AND(SUM(IF('Consulta de contratos'!$K$1="",0,1),IF('Consulta de contratos'!$K$2="",0,1),IF('Consulta de contratos'!$K$3="",0,1),IF('Consulta de contratos'!$K$4="",0,1),IF('Consulta de contratos'!$K$5="",0,1),IF('Consulta de contratos'!$K$6="",0,1))&gt;0,OR('Consulta de contratos'!$K$1="",A181='Consulta de contratos'!$K$1),OR('Consulta de contratos'!$K$2="",I181='Consulta de contratos'!$K$2),OR('Consulta de contratos'!$K$3="",C181='Consulta de contratos'!$K$3),OR('Consulta de contratos'!$K$4="",D181='Consulta de contratos'!$K$4),OR('Consulta de contratos'!$K$5="",E181='Consulta de contratos'!$K$5),OR('Consulta de contratos'!$K$6="",IFERROR(ISNUMBER(SEARCH("|"&amp;'Consulta de contratos'!$K$6&amp;"|",AF181)),FALSE))),1,0)</f>
        <v>0</v>
      </c>
      <c r="W181">
        <f>IF(V181=1,SUM($V$2:V181),0)</f>
        <v>0</v>
      </c>
      <c r="X181" t="s">
        <v>59</v>
      </c>
      <c r="Y181" t="s">
        <v>533</v>
      </c>
      <c r="Z181" t="s">
        <v>534</v>
      </c>
      <c r="AA181" t="s">
        <v>62</v>
      </c>
      <c r="AF181" t="s">
        <v>535</v>
      </c>
    </row>
    <row r="182" spans="1:32" x14ac:dyDescent="0.35">
      <c r="A182" t="s">
        <v>177</v>
      </c>
      <c r="B182" t="s">
        <v>471</v>
      </c>
      <c r="C182" t="s">
        <v>42</v>
      </c>
      <c r="D182" t="s">
        <v>472</v>
      </c>
      <c r="E182" t="s">
        <v>473</v>
      </c>
      <c r="F182" t="s">
        <v>536</v>
      </c>
      <c r="G182" t="s">
        <v>537</v>
      </c>
      <c r="H182" t="s">
        <v>47</v>
      </c>
      <c r="I182" t="s">
        <v>476</v>
      </c>
      <c r="J182" t="s">
        <v>538</v>
      </c>
      <c r="K182" t="s">
        <v>539</v>
      </c>
      <c r="M182">
        <v>46355</v>
      </c>
      <c r="Q182" t="s">
        <v>540</v>
      </c>
      <c r="R182" t="s">
        <v>541</v>
      </c>
      <c r="S182" t="s">
        <v>542</v>
      </c>
      <c r="T182" t="s">
        <v>543</v>
      </c>
      <c r="U182" t="s">
        <v>544</v>
      </c>
      <c r="V182">
        <f>IF(AND(SUM(IF('Consulta de contratos'!$K$1="",0,1),IF('Consulta de contratos'!$K$2="",0,1),IF('Consulta de contratos'!$K$3="",0,1),IF('Consulta de contratos'!$K$4="",0,1),IF('Consulta de contratos'!$K$5="",0,1),IF('Consulta de contratos'!$K$6="",0,1))&gt;0,OR('Consulta de contratos'!$K$1="",A182='Consulta de contratos'!$K$1),OR('Consulta de contratos'!$K$2="",I182='Consulta de contratos'!$K$2),OR('Consulta de contratos'!$K$3="",C182='Consulta de contratos'!$K$3),OR('Consulta de contratos'!$K$4="",D182='Consulta de contratos'!$K$4),OR('Consulta de contratos'!$K$5="",E182='Consulta de contratos'!$K$5),OR('Consulta de contratos'!$K$6="",IFERROR(ISNUMBER(SEARCH("|"&amp;'Consulta de contratos'!$K$6&amp;"|",AF182)),FALSE))),1,0)</f>
        <v>0</v>
      </c>
      <c r="W182">
        <f>IF(V182=1,SUM($V$2:V182),0)</f>
        <v>0</v>
      </c>
      <c r="X182" t="s">
        <v>59</v>
      </c>
      <c r="Y182" t="s">
        <v>476</v>
      </c>
      <c r="Z182" t="s">
        <v>71</v>
      </c>
      <c r="AA182" t="s">
        <v>62</v>
      </c>
      <c r="AF182" t="s">
        <v>484</v>
      </c>
    </row>
    <row r="183" spans="1:32" x14ac:dyDescent="0.35">
      <c r="A183" t="s">
        <v>233</v>
      </c>
      <c r="B183" t="s">
        <v>471</v>
      </c>
      <c r="C183" t="s">
        <v>42</v>
      </c>
      <c r="D183" t="s">
        <v>472</v>
      </c>
      <c r="E183" t="s">
        <v>473</v>
      </c>
      <c r="F183" t="s">
        <v>545</v>
      </c>
      <c r="G183" t="s">
        <v>546</v>
      </c>
      <c r="H183" t="s">
        <v>47</v>
      </c>
      <c r="I183" t="s">
        <v>476</v>
      </c>
      <c r="J183" t="s">
        <v>547</v>
      </c>
      <c r="K183" t="s">
        <v>548</v>
      </c>
      <c r="M183">
        <v>46342</v>
      </c>
      <c r="Q183" t="s">
        <v>549</v>
      </c>
      <c r="R183" t="s">
        <v>550</v>
      </c>
      <c r="S183" t="s">
        <v>551</v>
      </c>
      <c r="T183" t="s">
        <v>552</v>
      </c>
      <c r="U183" t="s">
        <v>553</v>
      </c>
      <c r="V183">
        <f>IF(AND(SUM(IF('Consulta de contratos'!$K$1="",0,1),IF('Consulta de contratos'!$K$2="",0,1),IF('Consulta de contratos'!$K$3="",0,1),IF('Consulta de contratos'!$K$4="",0,1),IF('Consulta de contratos'!$K$5="",0,1),IF('Consulta de contratos'!$K$6="",0,1))&gt;0,OR('Consulta de contratos'!$K$1="",A183='Consulta de contratos'!$K$1),OR('Consulta de contratos'!$K$2="",I183='Consulta de contratos'!$K$2),OR('Consulta de contratos'!$K$3="",C183='Consulta de contratos'!$K$3),OR('Consulta de contratos'!$K$4="",D183='Consulta de contratos'!$K$4),OR('Consulta de contratos'!$K$5="",E183='Consulta de contratos'!$K$5),OR('Consulta de contratos'!$K$6="",IFERROR(ISNUMBER(SEARCH("|"&amp;'Consulta de contratos'!$K$6&amp;"|",AF183)),FALSE))),1,0)</f>
        <v>0</v>
      </c>
      <c r="W183">
        <f>IF(V183=1,SUM($V$2:V183),0)</f>
        <v>0</v>
      </c>
      <c r="X183" t="s">
        <v>59</v>
      </c>
      <c r="Y183" t="s">
        <v>476</v>
      </c>
      <c r="Z183" t="s">
        <v>71</v>
      </c>
      <c r="AA183" t="s">
        <v>62</v>
      </c>
      <c r="AF183" t="s">
        <v>484</v>
      </c>
    </row>
    <row r="184" spans="1:32" x14ac:dyDescent="0.35">
      <c r="A184" t="s">
        <v>457</v>
      </c>
      <c r="B184" t="s">
        <v>471</v>
      </c>
      <c r="C184" t="s">
        <v>42</v>
      </c>
      <c r="D184" t="s">
        <v>472</v>
      </c>
      <c r="E184" t="s">
        <v>473</v>
      </c>
      <c r="F184" t="s">
        <v>554</v>
      </c>
      <c r="G184" t="s">
        <v>555</v>
      </c>
      <c r="H184" t="s">
        <v>124</v>
      </c>
      <c r="I184" t="s">
        <v>485</v>
      </c>
      <c r="J184" t="s">
        <v>556</v>
      </c>
      <c r="K184" t="s">
        <v>557</v>
      </c>
      <c r="Q184" t="s">
        <v>549</v>
      </c>
      <c r="R184" t="s">
        <v>558</v>
      </c>
      <c r="S184" t="s">
        <v>559</v>
      </c>
      <c r="T184" t="s">
        <v>560</v>
      </c>
      <c r="U184" t="s">
        <v>561</v>
      </c>
      <c r="V184">
        <f>IF(AND(SUM(IF('Consulta de contratos'!$K$1="",0,1),IF('Consulta de contratos'!$K$2="",0,1),IF('Consulta de contratos'!$K$3="",0,1),IF('Consulta de contratos'!$K$4="",0,1),IF('Consulta de contratos'!$K$5="",0,1),IF('Consulta de contratos'!$K$6="",0,1))&gt;0,OR('Consulta de contratos'!$K$1="",A184='Consulta de contratos'!$K$1),OR('Consulta de contratos'!$K$2="",I184='Consulta de contratos'!$K$2),OR('Consulta de contratos'!$K$3="",C184='Consulta de contratos'!$K$3),OR('Consulta de contratos'!$K$4="",D184='Consulta de contratos'!$K$4),OR('Consulta de contratos'!$K$5="",E184='Consulta de contratos'!$K$5),OR('Consulta de contratos'!$K$6="",IFERROR(ISNUMBER(SEARCH("|"&amp;'Consulta de contratos'!$K$6&amp;"|",AF184)),FALSE))),1,0)</f>
        <v>0</v>
      </c>
      <c r="W184">
        <f>IF(V184=1,SUM($V$2:V184),0)</f>
        <v>0</v>
      </c>
      <c r="X184" t="s">
        <v>468</v>
      </c>
      <c r="Y184" t="s">
        <v>491</v>
      </c>
      <c r="Z184" t="s">
        <v>492</v>
      </c>
      <c r="AA184" t="s">
        <v>62</v>
      </c>
      <c r="AF184" t="s">
        <v>493</v>
      </c>
    </row>
    <row r="185" spans="1:32" x14ac:dyDescent="0.35">
      <c r="A185" t="s">
        <v>40</v>
      </c>
      <c r="B185" t="s">
        <v>333</v>
      </c>
      <c r="C185" t="s">
        <v>42</v>
      </c>
      <c r="D185" t="s">
        <v>262</v>
      </c>
      <c r="E185" t="s">
        <v>334</v>
      </c>
      <c r="F185" t="s">
        <v>562</v>
      </c>
      <c r="G185" t="s">
        <v>563</v>
      </c>
      <c r="H185" t="s">
        <v>47</v>
      </c>
      <c r="I185" t="s">
        <v>564</v>
      </c>
      <c r="J185" t="s">
        <v>565</v>
      </c>
      <c r="K185" t="s">
        <v>566</v>
      </c>
      <c r="N185" t="s">
        <v>269</v>
      </c>
      <c r="Q185" t="s">
        <v>567</v>
      </c>
      <c r="R185" t="s">
        <v>568</v>
      </c>
      <c r="S185" t="s">
        <v>569</v>
      </c>
      <c r="T185" t="s">
        <v>570</v>
      </c>
      <c r="U185" t="s">
        <v>571</v>
      </c>
      <c r="V185">
        <f>IF(AND(SUM(IF('Consulta de contratos'!$K$1="",0,1),IF('Consulta de contratos'!$K$2="",0,1),IF('Consulta de contratos'!$K$3="",0,1),IF('Consulta de contratos'!$K$4="",0,1),IF('Consulta de contratos'!$K$5="",0,1),IF('Consulta de contratos'!$K$6="",0,1))&gt;0,OR('Consulta de contratos'!$K$1="",A185='Consulta de contratos'!$K$1),OR('Consulta de contratos'!$K$2="",I185='Consulta de contratos'!$K$2),OR('Consulta de contratos'!$K$3="",C185='Consulta de contratos'!$K$3),OR('Consulta de contratos'!$K$4="",D185='Consulta de contratos'!$K$4),OR('Consulta de contratos'!$K$5="",E185='Consulta de contratos'!$K$5),OR('Consulta de contratos'!$K$6="",IFERROR(ISNUMBER(SEARCH("|"&amp;'Consulta de contratos'!$K$6&amp;"|",AF185)),FALSE))),1,0)</f>
        <v>0</v>
      </c>
      <c r="W185">
        <f>IF(V185=1,SUM($V$2:V185),0)</f>
        <v>0</v>
      </c>
      <c r="X185" t="s">
        <v>468</v>
      </c>
      <c r="Y185" t="s">
        <v>564</v>
      </c>
      <c r="Z185" t="s">
        <v>71</v>
      </c>
      <c r="AA185" t="s">
        <v>62</v>
      </c>
      <c r="AF185" t="s">
        <v>572</v>
      </c>
    </row>
    <row r="186" spans="1:32" x14ac:dyDescent="0.35">
      <c r="A186" t="s">
        <v>156</v>
      </c>
      <c r="B186" t="s">
        <v>333</v>
      </c>
      <c r="C186" t="s">
        <v>42</v>
      </c>
      <c r="D186" t="s">
        <v>262</v>
      </c>
      <c r="E186" t="s">
        <v>334</v>
      </c>
      <c r="F186" t="s">
        <v>562</v>
      </c>
      <c r="G186" t="s">
        <v>563</v>
      </c>
      <c r="H186" t="s">
        <v>47</v>
      </c>
      <c r="I186" t="s">
        <v>564</v>
      </c>
      <c r="J186" t="s">
        <v>565</v>
      </c>
      <c r="K186" t="s">
        <v>573</v>
      </c>
      <c r="N186" t="s">
        <v>269</v>
      </c>
      <c r="Q186" t="s">
        <v>567</v>
      </c>
      <c r="R186" t="s">
        <v>568</v>
      </c>
      <c r="S186" t="s">
        <v>569</v>
      </c>
      <c r="T186" t="s">
        <v>574</v>
      </c>
      <c r="U186" t="s">
        <v>571</v>
      </c>
      <c r="V186">
        <f>IF(AND(SUM(IF('Consulta de contratos'!$K$1="",0,1),IF('Consulta de contratos'!$K$2="",0,1),IF('Consulta de contratos'!$K$3="",0,1),IF('Consulta de contratos'!$K$4="",0,1),IF('Consulta de contratos'!$K$5="",0,1),IF('Consulta de contratos'!$K$6="",0,1))&gt;0,OR('Consulta de contratos'!$K$1="",A186='Consulta de contratos'!$K$1),OR('Consulta de contratos'!$K$2="",I186='Consulta de contratos'!$K$2),OR('Consulta de contratos'!$K$3="",C186='Consulta de contratos'!$K$3),OR('Consulta de contratos'!$K$4="",D186='Consulta de contratos'!$K$4),OR('Consulta de contratos'!$K$5="",E186='Consulta de contratos'!$K$5),OR('Consulta de contratos'!$K$6="",IFERROR(ISNUMBER(SEARCH("|"&amp;'Consulta de contratos'!$K$6&amp;"|",AF186)),FALSE))),1,0)</f>
        <v>0</v>
      </c>
      <c r="W186">
        <f>IF(V186=1,SUM($V$2:V186),0)</f>
        <v>0</v>
      </c>
      <c r="X186" t="s">
        <v>468</v>
      </c>
      <c r="Y186" t="s">
        <v>564</v>
      </c>
      <c r="Z186" t="s">
        <v>71</v>
      </c>
      <c r="AA186" t="s">
        <v>62</v>
      </c>
      <c r="AF186" t="s">
        <v>572</v>
      </c>
    </row>
    <row r="187" spans="1:32" x14ac:dyDescent="0.35">
      <c r="A187" t="s">
        <v>149</v>
      </c>
      <c r="B187" t="s">
        <v>333</v>
      </c>
      <c r="C187" t="s">
        <v>42</v>
      </c>
      <c r="D187" t="s">
        <v>262</v>
      </c>
      <c r="E187" t="s">
        <v>334</v>
      </c>
      <c r="F187" t="s">
        <v>562</v>
      </c>
      <c r="G187" t="s">
        <v>563</v>
      </c>
      <c r="H187" t="s">
        <v>47</v>
      </c>
      <c r="I187" t="s">
        <v>564</v>
      </c>
      <c r="J187" t="s">
        <v>565</v>
      </c>
      <c r="K187" t="s">
        <v>575</v>
      </c>
      <c r="N187" t="s">
        <v>269</v>
      </c>
      <c r="Q187" t="s">
        <v>567</v>
      </c>
      <c r="R187" t="s">
        <v>568</v>
      </c>
      <c r="S187" t="s">
        <v>569</v>
      </c>
      <c r="T187" t="s">
        <v>576</v>
      </c>
      <c r="U187" t="s">
        <v>571</v>
      </c>
      <c r="V187">
        <f>IF(AND(SUM(IF('Consulta de contratos'!$K$1="",0,1),IF('Consulta de contratos'!$K$2="",0,1),IF('Consulta de contratos'!$K$3="",0,1),IF('Consulta de contratos'!$K$4="",0,1),IF('Consulta de contratos'!$K$5="",0,1),IF('Consulta de contratos'!$K$6="",0,1))&gt;0,OR('Consulta de contratos'!$K$1="",A187='Consulta de contratos'!$K$1),OR('Consulta de contratos'!$K$2="",I187='Consulta de contratos'!$K$2),OR('Consulta de contratos'!$K$3="",C187='Consulta de contratos'!$K$3),OR('Consulta de contratos'!$K$4="",D187='Consulta de contratos'!$K$4),OR('Consulta de contratos'!$K$5="",E187='Consulta de contratos'!$K$5),OR('Consulta de contratos'!$K$6="",IFERROR(ISNUMBER(SEARCH("|"&amp;'Consulta de contratos'!$K$6&amp;"|",AF187)),FALSE))),1,0)</f>
        <v>0</v>
      </c>
      <c r="W187">
        <f>IF(V187=1,SUM($V$2:V187),0)</f>
        <v>0</v>
      </c>
      <c r="X187" t="s">
        <v>468</v>
      </c>
      <c r="Y187" t="s">
        <v>564</v>
      </c>
      <c r="Z187" t="s">
        <v>71</v>
      </c>
      <c r="AA187" t="s">
        <v>62</v>
      </c>
      <c r="AF187" t="s">
        <v>572</v>
      </c>
    </row>
    <row r="188" spans="1:32" x14ac:dyDescent="0.35">
      <c r="A188" t="s">
        <v>163</v>
      </c>
      <c r="B188" t="s">
        <v>333</v>
      </c>
      <c r="C188" t="s">
        <v>42</v>
      </c>
      <c r="D188" t="s">
        <v>262</v>
      </c>
      <c r="E188" t="s">
        <v>334</v>
      </c>
      <c r="F188" t="s">
        <v>562</v>
      </c>
      <c r="G188" t="s">
        <v>563</v>
      </c>
      <c r="H188" t="s">
        <v>47</v>
      </c>
      <c r="I188" t="s">
        <v>564</v>
      </c>
      <c r="J188" t="s">
        <v>565</v>
      </c>
      <c r="K188" t="s">
        <v>577</v>
      </c>
      <c r="N188" t="s">
        <v>269</v>
      </c>
      <c r="Q188" t="s">
        <v>567</v>
      </c>
      <c r="R188" t="s">
        <v>568</v>
      </c>
      <c r="S188" t="s">
        <v>569</v>
      </c>
      <c r="T188" t="s">
        <v>578</v>
      </c>
      <c r="U188" t="s">
        <v>571</v>
      </c>
      <c r="V188">
        <f>IF(AND(SUM(IF('Consulta de contratos'!$K$1="",0,1),IF('Consulta de contratos'!$K$2="",0,1),IF('Consulta de contratos'!$K$3="",0,1),IF('Consulta de contratos'!$K$4="",0,1),IF('Consulta de contratos'!$K$5="",0,1),IF('Consulta de contratos'!$K$6="",0,1))&gt;0,OR('Consulta de contratos'!$K$1="",A188='Consulta de contratos'!$K$1),OR('Consulta de contratos'!$K$2="",I188='Consulta de contratos'!$K$2),OR('Consulta de contratos'!$K$3="",C188='Consulta de contratos'!$K$3),OR('Consulta de contratos'!$K$4="",D188='Consulta de contratos'!$K$4),OR('Consulta de contratos'!$K$5="",E188='Consulta de contratos'!$K$5),OR('Consulta de contratos'!$K$6="",IFERROR(ISNUMBER(SEARCH("|"&amp;'Consulta de contratos'!$K$6&amp;"|",AF188)),FALSE))),1,0)</f>
        <v>0</v>
      </c>
      <c r="W188">
        <f>IF(V188=1,SUM($V$2:V188),0)</f>
        <v>0</v>
      </c>
      <c r="X188" t="s">
        <v>468</v>
      </c>
      <c r="Y188" t="s">
        <v>564</v>
      </c>
      <c r="Z188" t="s">
        <v>71</v>
      </c>
      <c r="AA188" t="s">
        <v>62</v>
      </c>
      <c r="AF188" t="s">
        <v>572</v>
      </c>
    </row>
    <row r="189" spans="1:32" x14ac:dyDescent="0.35">
      <c r="A189" t="s">
        <v>170</v>
      </c>
      <c r="B189" t="s">
        <v>333</v>
      </c>
      <c r="C189" t="s">
        <v>42</v>
      </c>
      <c r="D189" t="s">
        <v>262</v>
      </c>
      <c r="E189" t="s">
        <v>334</v>
      </c>
      <c r="F189" t="s">
        <v>562</v>
      </c>
      <c r="G189" t="s">
        <v>563</v>
      </c>
      <c r="H189" t="s">
        <v>47</v>
      </c>
      <c r="I189" t="s">
        <v>564</v>
      </c>
      <c r="J189" t="s">
        <v>565</v>
      </c>
      <c r="K189" t="s">
        <v>579</v>
      </c>
      <c r="N189" t="s">
        <v>269</v>
      </c>
      <c r="Q189" t="s">
        <v>567</v>
      </c>
      <c r="R189" t="s">
        <v>568</v>
      </c>
      <c r="S189" t="s">
        <v>569</v>
      </c>
      <c r="T189" t="s">
        <v>580</v>
      </c>
      <c r="U189" t="s">
        <v>571</v>
      </c>
      <c r="V189">
        <f>IF(AND(SUM(IF('Consulta de contratos'!$K$1="",0,1),IF('Consulta de contratos'!$K$2="",0,1),IF('Consulta de contratos'!$K$3="",0,1),IF('Consulta de contratos'!$K$4="",0,1),IF('Consulta de contratos'!$K$5="",0,1),IF('Consulta de contratos'!$K$6="",0,1))&gt;0,OR('Consulta de contratos'!$K$1="",A189='Consulta de contratos'!$K$1),OR('Consulta de contratos'!$K$2="",I189='Consulta de contratos'!$K$2),OR('Consulta de contratos'!$K$3="",C189='Consulta de contratos'!$K$3),OR('Consulta de contratos'!$K$4="",D189='Consulta de contratos'!$K$4),OR('Consulta de contratos'!$K$5="",E189='Consulta de contratos'!$K$5),OR('Consulta de contratos'!$K$6="",IFERROR(ISNUMBER(SEARCH("|"&amp;'Consulta de contratos'!$K$6&amp;"|",AF189)),FALSE))),1,0)</f>
        <v>0</v>
      </c>
      <c r="W189">
        <f>IF(V189=1,SUM($V$2:V189),0)</f>
        <v>0</v>
      </c>
      <c r="X189" t="s">
        <v>468</v>
      </c>
      <c r="Y189" t="s">
        <v>564</v>
      </c>
      <c r="Z189" t="s">
        <v>71</v>
      </c>
      <c r="AA189" t="s">
        <v>62</v>
      </c>
      <c r="AF189" t="s">
        <v>572</v>
      </c>
    </row>
    <row r="190" spans="1:32" x14ac:dyDescent="0.35">
      <c r="A190" t="s">
        <v>177</v>
      </c>
      <c r="B190" t="s">
        <v>333</v>
      </c>
      <c r="C190" t="s">
        <v>42</v>
      </c>
      <c r="D190" t="s">
        <v>262</v>
      </c>
      <c r="E190" t="s">
        <v>334</v>
      </c>
      <c r="F190" t="s">
        <v>562</v>
      </c>
      <c r="G190" t="s">
        <v>563</v>
      </c>
      <c r="H190" t="s">
        <v>47</v>
      </c>
      <c r="I190" t="s">
        <v>564</v>
      </c>
      <c r="J190" t="s">
        <v>565</v>
      </c>
      <c r="K190" t="s">
        <v>581</v>
      </c>
      <c r="N190" t="s">
        <v>269</v>
      </c>
      <c r="Q190" t="s">
        <v>567</v>
      </c>
      <c r="R190" t="s">
        <v>568</v>
      </c>
      <c r="S190" t="s">
        <v>569</v>
      </c>
      <c r="T190" t="s">
        <v>582</v>
      </c>
      <c r="U190" t="s">
        <v>571</v>
      </c>
      <c r="V190">
        <f>IF(AND(SUM(IF('Consulta de contratos'!$K$1="",0,1),IF('Consulta de contratos'!$K$2="",0,1),IF('Consulta de contratos'!$K$3="",0,1),IF('Consulta de contratos'!$K$4="",0,1),IF('Consulta de contratos'!$K$5="",0,1),IF('Consulta de contratos'!$K$6="",0,1))&gt;0,OR('Consulta de contratos'!$K$1="",A190='Consulta de contratos'!$K$1),OR('Consulta de contratos'!$K$2="",I190='Consulta de contratos'!$K$2),OR('Consulta de contratos'!$K$3="",C190='Consulta de contratos'!$K$3),OR('Consulta de contratos'!$K$4="",D190='Consulta de contratos'!$K$4),OR('Consulta de contratos'!$K$5="",E190='Consulta de contratos'!$K$5),OR('Consulta de contratos'!$K$6="",IFERROR(ISNUMBER(SEARCH("|"&amp;'Consulta de contratos'!$K$6&amp;"|",AF190)),FALSE))),1,0)</f>
        <v>0</v>
      </c>
      <c r="W190">
        <f>IF(V190=1,SUM($V$2:V190),0)</f>
        <v>0</v>
      </c>
      <c r="X190" t="s">
        <v>468</v>
      </c>
      <c r="Y190" t="s">
        <v>564</v>
      </c>
      <c r="Z190" t="s">
        <v>71</v>
      </c>
      <c r="AA190" t="s">
        <v>62</v>
      </c>
      <c r="AF190" t="s">
        <v>572</v>
      </c>
    </row>
    <row r="191" spans="1:32" x14ac:dyDescent="0.35">
      <c r="A191" t="s">
        <v>184</v>
      </c>
      <c r="B191" t="s">
        <v>333</v>
      </c>
      <c r="C191" t="s">
        <v>42</v>
      </c>
      <c r="D191" t="s">
        <v>262</v>
      </c>
      <c r="E191" t="s">
        <v>334</v>
      </c>
      <c r="F191" t="s">
        <v>562</v>
      </c>
      <c r="G191" t="s">
        <v>563</v>
      </c>
      <c r="H191" t="s">
        <v>47</v>
      </c>
      <c r="I191" t="s">
        <v>564</v>
      </c>
      <c r="J191" t="s">
        <v>565</v>
      </c>
      <c r="K191" t="s">
        <v>583</v>
      </c>
      <c r="N191" t="s">
        <v>269</v>
      </c>
      <c r="Q191" t="s">
        <v>567</v>
      </c>
      <c r="R191" t="s">
        <v>568</v>
      </c>
      <c r="S191" t="s">
        <v>569</v>
      </c>
      <c r="T191" t="s">
        <v>584</v>
      </c>
      <c r="U191" t="s">
        <v>571</v>
      </c>
      <c r="V191">
        <f>IF(AND(SUM(IF('Consulta de contratos'!$K$1="",0,1),IF('Consulta de contratos'!$K$2="",0,1),IF('Consulta de contratos'!$K$3="",0,1),IF('Consulta de contratos'!$K$4="",0,1),IF('Consulta de contratos'!$K$5="",0,1),IF('Consulta de contratos'!$K$6="",0,1))&gt;0,OR('Consulta de contratos'!$K$1="",A191='Consulta de contratos'!$K$1),OR('Consulta de contratos'!$K$2="",I191='Consulta de contratos'!$K$2),OR('Consulta de contratos'!$K$3="",C191='Consulta de contratos'!$K$3),OR('Consulta de contratos'!$K$4="",D191='Consulta de contratos'!$K$4),OR('Consulta de contratos'!$K$5="",E191='Consulta de contratos'!$K$5),OR('Consulta de contratos'!$K$6="",IFERROR(ISNUMBER(SEARCH("|"&amp;'Consulta de contratos'!$K$6&amp;"|",AF191)),FALSE))),1,0)</f>
        <v>0</v>
      </c>
      <c r="W191">
        <f>IF(V191=1,SUM($V$2:V191),0)</f>
        <v>0</v>
      </c>
      <c r="X191" t="s">
        <v>468</v>
      </c>
      <c r="Y191" t="s">
        <v>564</v>
      </c>
      <c r="Z191" t="s">
        <v>71</v>
      </c>
      <c r="AA191" t="s">
        <v>62</v>
      </c>
      <c r="AF191" t="s">
        <v>572</v>
      </c>
    </row>
    <row r="192" spans="1:32" x14ac:dyDescent="0.35">
      <c r="A192" t="s">
        <v>116</v>
      </c>
      <c r="B192" t="s">
        <v>333</v>
      </c>
      <c r="C192" t="s">
        <v>42</v>
      </c>
      <c r="D192" t="s">
        <v>262</v>
      </c>
      <c r="E192" t="s">
        <v>334</v>
      </c>
      <c r="F192" t="s">
        <v>562</v>
      </c>
      <c r="G192" t="s">
        <v>563</v>
      </c>
      <c r="H192" t="s">
        <v>124</v>
      </c>
      <c r="I192" t="s">
        <v>585</v>
      </c>
      <c r="J192" t="s">
        <v>586</v>
      </c>
      <c r="K192" t="s">
        <v>587</v>
      </c>
      <c r="N192" t="s">
        <v>269</v>
      </c>
      <c r="Q192" t="s">
        <v>567</v>
      </c>
      <c r="R192" t="s">
        <v>568</v>
      </c>
      <c r="S192" t="s">
        <v>569</v>
      </c>
      <c r="T192" t="s">
        <v>588</v>
      </c>
      <c r="U192" t="s">
        <v>589</v>
      </c>
      <c r="V192">
        <f>IF(AND(SUM(IF('Consulta de contratos'!$K$1="",0,1),IF('Consulta de contratos'!$K$2="",0,1),IF('Consulta de contratos'!$K$3="",0,1),IF('Consulta de contratos'!$K$4="",0,1),IF('Consulta de contratos'!$K$5="",0,1),IF('Consulta de contratos'!$K$6="",0,1))&gt;0,OR('Consulta de contratos'!$K$1="",A192='Consulta de contratos'!$K$1),OR('Consulta de contratos'!$K$2="",I192='Consulta de contratos'!$K$2),OR('Consulta de contratos'!$K$3="",C192='Consulta de contratos'!$K$3),OR('Consulta de contratos'!$K$4="",D192='Consulta de contratos'!$K$4),OR('Consulta de contratos'!$K$5="",E192='Consulta de contratos'!$K$5),OR('Consulta de contratos'!$K$6="",IFERROR(ISNUMBER(SEARCH("|"&amp;'Consulta de contratos'!$K$6&amp;"|",AF192)),FALSE))),1,0)</f>
        <v>0</v>
      </c>
      <c r="W192">
        <f>IF(V192=1,SUM($V$2:V192),0)</f>
        <v>0</v>
      </c>
      <c r="X192" t="s">
        <v>468</v>
      </c>
      <c r="Y192" t="s">
        <v>585</v>
      </c>
      <c r="Z192" t="s">
        <v>71</v>
      </c>
      <c r="AA192" t="s">
        <v>62</v>
      </c>
      <c r="AF192" t="s">
        <v>590</v>
      </c>
    </row>
    <row r="193" spans="1:32" x14ac:dyDescent="0.35">
      <c r="A193" t="s">
        <v>123</v>
      </c>
      <c r="B193" t="s">
        <v>333</v>
      </c>
      <c r="C193" t="s">
        <v>42</v>
      </c>
      <c r="D193" t="s">
        <v>262</v>
      </c>
      <c r="E193" t="s">
        <v>334</v>
      </c>
      <c r="F193" t="s">
        <v>562</v>
      </c>
      <c r="G193" t="s">
        <v>563</v>
      </c>
      <c r="H193" t="s">
        <v>124</v>
      </c>
      <c r="I193" t="s">
        <v>585</v>
      </c>
      <c r="J193" t="s">
        <v>586</v>
      </c>
      <c r="K193" t="s">
        <v>591</v>
      </c>
      <c r="N193" t="s">
        <v>269</v>
      </c>
      <c r="Q193" t="s">
        <v>567</v>
      </c>
      <c r="R193" t="s">
        <v>568</v>
      </c>
      <c r="S193" t="s">
        <v>569</v>
      </c>
      <c r="T193" t="s">
        <v>592</v>
      </c>
      <c r="U193" t="s">
        <v>589</v>
      </c>
      <c r="V193">
        <f>IF(AND(SUM(IF('Consulta de contratos'!$K$1="",0,1),IF('Consulta de contratos'!$K$2="",0,1),IF('Consulta de contratos'!$K$3="",0,1),IF('Consulta de contratos'!$K$4="",0,1),IF('Consulta de contratos'!$K$5="",0,1),IF('Consulta de contratos'!$K$6="",0,1))&gt;0,OR('Consulta de contratos'!$K$1="",A193='Consulta de contratos'!$K$1),OR('Consulta de contratos'!$K$2="",I193='Consulta de contratos'!$K$2),OR('Consulta de contratos'!$K$3="",C193='Consulta de contratos'!$K$3),OR('Consulta de contratos'!$K$4="",D193='Consulta de contratos'!$K$4),OR('Consulta de contratos'!$K$5="",E193='Consulta de contratos'!$K$5),OR('Consulta de contratos'!$K$6="",IFERROR(ISNUMBER(SEARCH("|"&amp;'Consulta de contratos'!$K$6&amp;"|",AF193)),FALSE))),1,0)</f>
        <v>0</v>
      </c>
      <c r="W193">
        <f>IF(V193=1,SUM($V$2:V193),0)</f>
        <v>0</v>
      </c>
      <c r="X193" t="s">
        <v>468</v>
      </c>
      <c r="Y193" t="s">
        <v>585</v>
      </c>
      <c r="Z193" t="s">
        <v>71</v>
      </c>
      <c r="AA193" t="s">
        <v>62</v>
      </c>
      <c r="AF193" t="s">
        <v>590</v>
      </c>
    </row>
    <row r="194" spans="1:32" x14ac:dyDescent="0.35">
      <c r="A194" t="s">
        <v>135</v>
      </c>
      <c r="B194" t="s">
        <v>333</v>
      </c>
      <c r="C194" t="s">
        <v>42</v>
      </c>
      <c r="D194" t="s">
        <v>262</v>
      </c>
      <c r="E194" t="s">
        <v>334</v>
      </c>
      <c r="F194" t="s">
        <v>562</v>
      </c>
      <c r="G194" t="s">
        <v>563</v>
      </c>
      <c r="H194" t="s">
        <v>124</v>
      </c>
      <c r="I194" t="s">
        <v>585</v>
      </c>
      <c r="J194" t="s">
        <v>586</v>
      </c>
      <c r="K194" t="s">
        <v>593</v>
      </c>
      <c r="N194" t="s">
        <v>269</v>
      </c>
      <c r="Q194" t="s">
        <v>567</v>
      </c>
      <c r="R194" t="s">
        <v>568</v>
      </c>
      <c r="S194" t="s">
        <v>569</v>
      </c>
      <c r="T194" t="s">
        <v>594</v>
      </c>
      <c r="U194" t="s">
        <v>589</v>
      </c>
      <c r="V194">
        <f>IF(AND(SUM(IF('Consulta de contratos'!$K$1="",0,1),IF('Consulta de contratos'!$K$2="",0,1),IF('Consulta de contratos'!$K$3="",0,1),IF('Consulta de contratos'!$K$4="",0,1),IF('Consulta de contratos'!$K$5="",0,1),IF('Consulta de contratos'!$K$6="",0,1))&gt;0,OR('Consulta de contratos'!$K$1="",A194='Consulta de contratos'!$K$1),OR('Consulta de contratos'!$K$2="",I194='Consulta de contratos'!$K$2),OR('Consulta de contratos'!$K$3="",C194='Consulta de contratos'!$K$3),OR('Consulta de contratos'!$K$4="",D194='Consulta de contratos'!$K$4),OR('Consulta de contratos'!$K$5="",E194='Consulta de contratos'!$K$5),OR('Consulta de contratos'!$K$6="",IFERROR(ISNUMBER(SEARCH("|"&amp;'Consulta de contratos'!$K$6&amp;"|",AF194)),FALSE))),1,0)</f>
        <v>0</v>
      </c>
      <c r="W194">
        <f>IF(V194=1,SUM($V$2:V194),0)</f>
        <v>0</v>
      </c>
      <c r="X194" t="s">
        <v>468</v>
      </c>
      <c r="Y194" t="s">
        <v>585</v>
      </c>
      <c r="Z194" t="s">
        <v>71</v>
      </c>
      <c r="AA194" t="s">
        <v>62</v>
      </c>
      <c r="AF194" t="s">
        <v>590</v>
      </c>
    </row>
    <row r="195" spans="1:32" x14ac:dyDescent="0.35">
      <c r="A195" t="s">
        <v>142</v>
      </c>
      <c r="B195" t="s">
        <v>333</v>
      </c>
      <c r="C195" t="s">
        <v>42</v>
      </c>
      <c r="D195" t="s">
        <v>262</v>
      </c>
      <c r="E195" t="s">
        <v>334</v>
      </c>
      <c r="F195" t="s">
        <v>562</v>
      </c>
      <c r="G195" t="s">
        <v>563</v>
      </c>
      <c r="H195" t="s">
        <v>124</v>
      </c>
      <c r="I195" t="s">
        <v>585</v>
      </c>
      <c r="J195" t="s">
        <v>586</v>
      </c>
      <c r="K195" t="s">
        <v>595</v>
      </c>
      <c r="N195" t="s">
        <v>269</v>
      </c>
      <c r="Q195" t="s">
        <v>567</v>
      </c>
      <c r="R195" t="s">
        <v>568</v>
      </c>
      <c r="S195" t="s">
        <v>569</v>
      </c>
      <c r="T195" t="s">
        <v>596</v>
      </c>
      <c r="U195" t="s">
        <v>589</v>
      </c>
      <c r="V195">
        <f>IF(AND(SUM(IF('Consulta de contratos'!$K$1="",0,1),IF('Consulta de contratos'!$K$2="",0,1),IF('Consulta de contratos'!$K$3="",0,1),IF('Consulta de contratos'!$K$4="",0,1),IF('Consulta de contratos'!$K$5="",0,1),IF('Consulta de contratos'!$K$6="",0,1))&gt;0,OR('Consulta de contratos'!$K$1="",A195='Consulta de contratos'!$K$1),OR('Consulta de contratos'!$K$2="",I195='Consulta de contratos'!$K$2),OR('Consulta de contratos'!$K$3="",C195='Consulta de contratos'!$K$3),OR('Consulta de contratos'!$K$4="",D195='Consulta de contratos'!$K$4),OR('Consulta de contratos'!$K$5="",E195='Consulta de contratos'!$K$5),OR('Consulta de contratos'!$K$6="",IFERROR(ISNUMBER(SEARCH("|"&amp;'Consulta de contratos'!$K$6&amp;"|",AF195)),FALSE))),1,0)</f>
        <v>0</v>
      </c>
      <c r="W195">
        <f>IF(V195=1,SUM($V$2:V195),0)</f>
        <v>0</v>
      </c>
      <c r="X195" t="s">
        <v>468</v>
      </c>
      <c r="Y195" t="s">
        <v>585</v>
      </c>
      <c r="Z195" t="s">
        <v>71</v>
      </c>
      <c r="AA195" t="s">
        <v>62</v>
      </c>
      <c r="AF195" t="s">
        <v>590</v>
      </c>
    </row>
    <row r="196" spans="1:32" x14ac:dyDescent="0.35">
      <c r="A196" t="s">
        <v>212</v>
      </c>
      <c r="B196" t="s">
        <v>333</v>
      </c>
      <c r="C196" t="s">
        <v>42</v>
      </c>
      <c r="D196" t="s">
        <v>262</v>
      </c>
      <c r="E196" t="s">
        <v>334</v>
      </c>
      <c r="F196" t="s">
        <v>562</v>
      </c>
      <c r="G196" t="s">
        <v>563</v>
      </c>
      <c r="H196" t="s">
        <v>124</v>
      </c>
      <c r="I196" t="s">
        <v>585</v>
      </c>
      <c r="J196" t="s">
        <v>586</v>
      </c>
      <c r="K196" t="s">
        <v>597</v>
      </c>
      <c r="N196" t="s">
        <v>269</v>
      </c>
      <c r="Q196" t="s">
        <v>567</v>
      </c>
      <c r="R196" t="s">
        <v>568</v>
      </c>
      <c r="S196" t="s">
        <v>569</v>
      </c>
      <c r="T196" t="s">
        <v>598</v>
      </c>
      <c r="U196" t="s">
        <v>589</v>
      </c>
      <c r="V196">
        <f>IF(AND(SUM(IF('Consulta de contratos'!$K$1="",0,1),IF('Consulta de contratos'!$K$2="",0,1),IF('Consulta de contratos'!$K$3="",0,1),IF('Consulta de contratos'!$K$4="",0,1),IF('Consulta de contratos'!$K$5="",0,1),IF('Consulta de contratos'!$K$6="",0,1))&gt;0,OR('Consulta de contratos'!$K$1="",A196='Consulta de contratos'!$K$1),OR('Consulta de contratos'!$K$2="",I196='Consulta de contratos'!$K$2),OR('Consulta de contratos'!$K$3="",C196='Consulta de contratos'!$K$3),OR('Consulta de contratos'!$K$4="",D196='Consulta de contratos'!$K$4),OR('Consulta de contratos'!$K$5="",E196='Consulta de contratos'!$K$5),OR('Consulta de contratos'!$K$6="",IFERROR(ISNUMBER(SEARCH("|"&amp;'Consulta de contratos'!$K$6&amp;"|",AF196)),FALSE))),1,0)</f>
        <v>0</v>
      </c>
      <c r="W196">
        <f>IF(V196=1,SUM($V$2:V196),0)</f>
        <v>0</v>
      </c>
      <c r="X196" t="s">
        <v>468</v>
      </c>
      <c r="Y196" t="s">
        <v>585</v>
      </c>
      <c r="Z196" t="s">
        <v>71</v>
      </c>
      <c r="AA196" t="s">
        <v>62</v>
      </c>
      <c r="AF196" t="s">
        <v>590</v>
      </c>
    </row>
    <row r="197" spans="1:32" x14ac:dyDescent="0.35">
      <c r="A197" t="s">
        <v>219</v>
      </c>
      <c r="B197" t="s">
        <v>333</v>
      </c>
      <c r="C197" t="s">
        <v>42</v>
      </c>
      <c r="D197" t="s">
        <v>262</v>
      </c>
      <c r="E197" t="s">
        <v>334</v>
      </c>
      <c r="F197" t="s">
        <v>562</v>
      </c>
      <c r="G197" t="s">
        <v>563</v>
      </c>
      <c r="H197" t="s">
        <v>124</v>
      </c>
      <c r="I197" t="s">
        <v>585</v>
      </c>
      <c r="J197" t="s">
        <v>586</v>
      </c>
      <c r="K197" t="s">
        <v>599</v>
      </c>
      <c r="N197" t="s">
        <v>269</v>
      </c>
      <c r="Q197" t="s">
        <v>567</v>
      </c>
      <c r="R197" t="s">
        <v>568</v>
      </c>
      <c r="S197" t="s">
        <v>569</v>
      </c>
      <c r="T197" t="s">
        <v>600</v>
      </c>
      <c r="U197" t="s">
        <v>589</v>
      </c>
      <c r="V197">
        <f>IF(AND(SUM(IF('Consulta de contratos'!$K$1="",0,1),IF('Consulta de contratos'!$K$2="",0,1),IF('Consulta de contratos'!$K$3="",0,1),IF('Consulta de contratos'!$K$4="",0,1),IF('Consulta de contratos'!$K$5="",0,1),IF('Consulta de contratos'!$K$6="",0,1))&gt;0,OR('Consulta de contratos'!$K$1="",A197='Consulta de contratos'!$K$1),OR('Consulta de contratos'!$K$2="",I197='Consulta de contratos'!$K$2),OR('Consulta de contratos'!$K$3="",C197='Consulta de contratos'!$K$3),OR('Consulta de contratos'!$K$4="",D197='Consulta de contratos'!$K$4),OR('Consulta de contratos'!$K$5="",E197='Consulta de contratos'!$K$5),OR('Consulta de contratos'!$K$6="",IFERROR(ISNUMBER(SEARCH("|"&amp;'Consulta de contratos'!$K$6&amp;"|",AF197)),FALSE))),1,0)</f>
        <v>0</v>
      </c>
      <c r="W197">
        <f>IF(V197=1,SUM($V$2:V197),0)</f>
        <v>0</v>
      </c>
      <c r="X197" t="s">
        <v>468</v>
      </c>
      <c r="Y197" t="s">
        <v>585</v>
      </c>
      <c r="Z197" t="s">
        <v>71</v>
      </c>
      <c r="AA197" t="s">
        <v>62</v>
      </c>
      <c r="AF197" t="s">
        <v>590</v>
      </c>
    </row>
    <row r="198" spans="1:32" x14ac:dyDescent="0.35">
      <c r="A198" t="s">
        <v>247</v>
      </c>
      <c r="B198" t="s">
        <v>333</v>
      </c>
      <c r="C198" t="s">
        <v>42</v>
      </c>
      <c r="D198" t="s">
        <v>262</v>
      </c>
      <c r="E198" t="s">
        <v>334</v>
      </c>
      <c r="F198" t="s">
        <v>562</v>
      </c>
      <c r="G198" t="s">
        <v>563</v>
      </c>
      <c r="H198" t="s">
        <v>124</v>
      </c>
      <c r="I198" t="s">
        <v>585</v>
      </c>
      <c r="J198" t="s">
        <v>586</v>
      </c>
      <c r="K198" t="s">
        <v>601</v>
      </c>
      <c r="N198" t="s">
        <v>269</v>
      </c>
      <c r="Q198" t="s">
        <v>567</v>
      </c>
      <c r="R198" t="s">
        <v>568</v>
      </c>
      <c r="S198" t="s">
        <v>569</v>
      </c>
      <c r="T198" t="s">
        <v>602</v>
      </c>
      <c r="U198" t="s">
        <v>589</v>
      </c>
      <c r="V198">
        <f>IF(AND(SUM(IF('Consulta de contratos'!$K$1="",0,1),IF('Consulta de contratos'!$K$2="",0,1),IF('Consulta de contratos'!$K$3="",0,1),IF('Consulta de contratos'!$K$4="",0,1),IF('Consulta de contratos'!$K$5="",0,1),IF('Consulta de contratos'!$K$6="",0,1))&gt;0,OR('Consulta de contratos'!$K$1="",A198='Consulta de contratos'!$K$1),OR('Consulta de contratos'!$K$2="",I198='Consulta de contratos'!$K$2),OR('Consulta de contratos'!$K$3="",C198='Consulta de contratos'!$K$3),OR('Consulta de contratos'!$K$4="",D198='Consulta de contratos'!$K$4),OR('Consulta de contratos'!$K$5="",E198='Consulta de contratos'!$K$5),OR('Consulta de contratos'!$K$6="",IFERROR(ISNUMBER(SEARCH("|"&amp;'Consulta de contratos'!$K$6&amp;"|",AF198)),FALSE))),1,0)</f>
        <v>0</v>
      </c>
      <c r="W198">
        <f>IF(V198=1,SUM($V$2:V198),0)</f>
        <v>0</v>
      </c>
      <c r="X198" t="s">
        <v>468</v>
      </c>
      <c r="Y198" t="s">
        <v>585</v>
      </c>
      <c r="Z198" t="s">
        <v>71</v>
      </c>
      <c r="AA198" t="s">
        <v>62</v>
      </c>
      <c r="AF198" t="s">
        <v>590</v>
      </c>
    </row>
    <row r="199" spans="1:32" x14ac:dyDescent="0.35">
      <c r="A199" t="s">
        <v>254</v>
      </c>
      <c r="B199" t="s">
        <v>333</v>
      </c>
      <c r="C199" t="s">
        <v>42</v>
      </c>
      <c r="D199" t="s">
        <v>262</v>
      </c>
      <c r="E199" t="s">
        <v>334</v>
      </c>
      <c r="F199" t="s">
        <v>562</v>
      </c>
      <c r="G199" t="s">
        <v>563</v>
      </c>
      <c r="H199" t="s">
        <v>124</v>
      </c>
      <c r="I199" t="s">
        <v>585</v>
      </c>
      <c r="J199" t="s">
        <v>586</v>
      </c>
      <c r="K199" t="s">
        <v>603</v>
      </c>
      <c r="N199" t="s">
        <v>269</v>
      </c>
      <c r="Q199" t="s">
        <v>567</v>
      </c>
      <c r="R199" t="s">
        <v>568</v>
      </c>
      <c r="S199" t="s">
        <v>569</v>
      </c>
      <c r="T199" t="s">
        <v>604</v>
      </c>
      <c r="U199" t="s">
        <v>589</v>
      </c>
      <c r="V199">
        <f>IF(AND(SUM(IF('Consulta de contratos'!$K$1="",0,1),IF('Consulta de contratos'!$K$2="",0,1),IF('Consulta de contratos'!$K$3="",0,1),IF('Consulta de contratos'!$K$4="",0,1),IF('Consulta de contratos'!$K$5="",0,1),IF('Consulta de contratos'!$K$6="",0,1))&gt;0,OR('Consulta de contratos'!$K$1="",A199='Consulta de contratos'!$K$1),OR('Consulta de contratos'!$K$2="",I199='Consulta de contratos'!$K$2),OR('Consulta de contratos'!$K$3="",C199='Consulta de contratos'!$K$3),OR('Consulta de contratos'!$K$4="",D199='Consulta de contratos'!$K$4),OR('Consulta de contratos'!$K$5="",E199='Consulta de contratos'!$K$5),OR('Consulta de contratos'!$K$6="",IFERROR(ISNUMBER(SEARCH("|"&amp;'Consulta de contratos'!$K$6&amp;"|",AF199)),FALSE))),1,0)</f>
        <v>0</v>
      </c>
      <c r="W199">
        <f>IF(V199=1,SUM($V$2:V199),0)</f>
        <v>0</v>
      </c>
      <c r="X199" t="s">
        <v>468</v>
      </c>
      <c r="Y199" t="s">
        <v>585</v>
      </c>
      <c r="Z199" t="s">
        <v>71</v>
      </c>
      <c r="AA199" t="s">
        <v>62</v>
      </c>
      <c r="AF199" t="s">
        <v>590</v>
      </c>
    </row>
    <row r="200" spans="1:32" x14ac:dyDescent="0.35">
      <c r="A200" t="s">
        <v>240</v>
      </c>
      <c r="B200" t="s">
        <v>333</v>
      </c>
      <c r="C200" t="s">
        <v>42</v>
      </c>
      <c r="D200" t="s">
        <v>262</v>
      </c>
      <c r="E200" t="s">
        <v>334</v>
      </c>
      <c r="F200" t="s">
        <v>562</v>
      </c>
      <c r="G200" t="s">
        <v>563</v>
      </c>
      <c r="H200" t="s">
        <v>124</v>
      </c>
      <c r="I200" t="s">
        <v>585</v>
      </c>
      <c r="J200" t="s">
        <v>586</v>
      </c>
      <c r="K200" t="s">
        <v>605</v>
      </c>
      <c r="N200" t="s">
        <v>269</v>
      </c>
      <c r="Q200" t="s">
        <v>567</v>
      </c>
      <c r="R200" t="s">
        <v>568</v>
      </c>
      <c r="S200" t="s">
        <v>569</v>
      </c>
      <c r="T200" t="s">
        <v>606</v>
      </c>
      <c r="U200" t="s">
        <v>589</v>
      </c>
      <c r="V200">
        <f>IF(AND(SUM(IF('Consulta de contratos'!$K$1="",0,1),IF('Consulta de contratos'!$K$2="",0,1),IF('Consulta de contratos'!$K$3="",0,1),IF('Consulta de contratos'!$K$4="",0,1),IF('Consulta de contratos'!$K$5="",0,1),IF('Consulta de contratos'!$K$6="",0,1))&gt;0,OR('Consulta de contratos'!$K$1="",A200='Consulta de contratos'!$K$1),OR('Consulta de contratos'!$K$2="",I200='Consulta de contratos'!$K$2),OR('Consulta de contratos'!$K$3="",C200='Consulta de contratos'!$K$3),OR('Consulta de contratos'!$K$4="",D200='Consulta de contratos'!$K$4),OR('Consulta de contratos'!$K$5="",E200='Consulta de contratos'!$K$5),OR('Consulta de contratos'!$K$6="",IFERROR(ISNUMBER(SEARCH("|"&amp;'Consulta de contratos'!$K$6&amp;"|",AF200)),FALSE))),1,0)</f>
        <v>0</v>
      </c>
      <c r="W200">
        <f>IF(V200=1,SUM($V$2:V200),0)</f>
        <v>0</v>
      </c>
      <c r="X200" t="s">
        <v>468</v>
      </c>
      <c r="Y200" t="s">
        <v>585</v>
      </c>
      <c r="Z200" t="s">
        <v>71</v>
      </c>
      <c r="AA200" t="s">
        <v>62</v>
      </c>
      <c r="AF200" t="s">
        <v>590</v>
      </c>
    </row>
    <row r="201" spans="1:32" x14ac:dyDescent="0.35">
      <c r="A201" t="s">
        <v>191</v>
      </c>
      <c r="B201" t="s">
        <v>333</v>
      </c>
      <c r="C201" t="s">
        <v>42</v>
      </c>
      <c r="D201" t="s">
        <v>262</v>
      </c>
      <c r="E201" t="s">
        <v>334</v>
      </c>
      <c r="F201" t="s">
        <v>562</v>
      </c>
      <c r="G201" t="s">
        <v>563</v>
      </c>
      <c r="H201" t="s">
        <v>73</v>
      </c>
      <c r="I201" t="s">
        <v>607</v>
      </c>
      <c r="J201" t="s">
        <v>608</v>
      </c>
      <c r="K201" t="s">
        <v>609</v>
      </c>
      <c r="N201" t="s">
        <v>269</v>
      </c>
      <c r="Q201" t="s">
        <v>567</v>
      </c>
      <c r="R201" t="s">
        <v>568</v>
      </c>
      <c r="S201" t="s">
        <v>569</v>
      </c>
      <c r="T201" t="s">
        <v>610</v>
      </c>
      <c r="U201" t="s">
        <v>611</v>
      </c>
      <c r="V201">
        <f>IF(AND(SUM(IF('Consulta de contratos'!$K$1="",0,1),IF('Consulta de contratos'!$K$2="",0,1),IF('Consulta de contratos'!$K$3="",0,1),IF('Consulta de contratos'!$K$4="",0,1),IF('Consulta de contratos'!$K$5="",0,1),IF('Consulta de contratos'!$K$6="",0,1))&gt;0,OR('Consulta de contratos'!$K$1="",A201='Consulta de contratos'!$K$1),OR('Consulta de contratos'!$K$2="",I201='Consulta de contratos'!$K$2),OR('Consulta de contratos'!$K$3="",C201='Consulta de contratos'!$K$3),OR('Consulta de contratos'!$K$4="",D201='Consulta de contratos'!$K$4),OR('Consulta de contratos'!$K$5="",E201='Consulta de contratos'!$K$5),OR('Consulta de contratos'!$K$6="",IFERROR(ISNUMBER(SEARCH("|"&amp;'Consulta de contratos'!$K$6&amp;"|",AF201)),FALSE))),1,0)</f>
        <v>0</v>
      </c>
      <c r="W201">
        <f>IF(V201=1,SUM($V$2:V201),0)</f>
        <v>0</v>
      </c>
      <c r="X201" t="s">
        <v>468</v>
      </c>
      <c r="Y201" t="s">
        <v>607</v>
      </c>
      <c r="Z201" t="s">
        <v>71</v>
      </c>
      <c r="AA201" t="s">
        <v>62</v>
      </c>
      <c r="AF201" t="s">
        <v>612</v>
      </c>
    </row>
    <row r="202" spans="1:32" x14ac:dyDescent="0.35">
      <c r="A202" t="s">
        <v>226</v>
      </c>
      <c r="B202" t="s">
        <v>333</v>
      </c>
      <c r="C202" t="s">
        <v>42</v>
      </c>
      <c r="D202" t="s">
        <v>262</v>
      </c>
      <c r="E202" t="s">
        <v>334</v>
      </c>
      <c r="F202" t="s">
        <v>562</v>
      </c>
      <c r="G202" t="s">
        <v>563</v>
      </c>
      <c r="H202" t="s">
        <v>73</v>
      </c>
      <c r="I202" t="s">
        <v>607</v>
      </c>
      <c r="J202" t="s">
        <v>608</v>
      </c>
      <c r="K202" t="s">
        <v>613</v>
      </c>
      <c r="N202" t="s">
        <v>269</v>
      </c>
      <c r="Q202" t="s">
        <v>567</v>
      </c>
      <c r="R202" t="s">
        <v>568</v>
      </c>
      <c r="S202" t="s">
        <v>569</v>
      </c>
      <c r="T202" t="s">
        <v>614</v>
      </c>
      <c r="U202" t="s">
        <v>611</v>
      </c>
      <c r="V202">
        <f>IF(AND(SUM(IF('Consulta de contratos'!$K$1="",0,1),IF('Consulta de contratos'!$K$2="",0,1),IF('Consulta de contratos'!$K$3="",0,1),IF('Consulta de contratos'!$K$4="",0,1),IF('Consulta de contratos'!$K$5="",0,1),IF('Consulta de contratos'!$K$6="",0,1))&gt;0,OR('Consulta de contratos'!$K$1="",A202='Consulta de contratos'!$K$1),OR('Consulta de contratos'!$K$2="",I202='Consulta de contratos'!$K$2),OR('Consulta de contratos'!$K$3="",C202='Consulta de contratos'!$K$3),OR('Consulta de contratos'!$K$4="",D202='Consulta de contratos'!$K$4),OR('Consulta de contratos'!$K$5="",E202='Consulta de contratos'!$K$5),OR('Consulta de contratos'!$K$6="",IFERROR(ISNUMBER(SEARCH("|"&amp;'Consulta de contratos'!$K$6&amp;"|",AF202)),FALSE))),1,0)</f>
        <v>0</v>
      </c>
      <c r="W202">
        <f>IF(V202=1,SUM($V$2:V202),0)</f>
        <v>0</v>
      </c>
      <c r="X202" t="s">
        <v>468</v>
      </c>
      <c r="Y202" t="s">
        <v>607</v>
      </c>
      <c r="Z202" t="s">
        <v>71</v>
      </c>
      <c r="AA202" t="s">
        <v>62</v>
      </c>
      <c r="AF202" t="s">
        <v>612</v>
      </c>
    </row>
    <row r="203" spans="1:32" x14ac:dyDescent="0.35">
      <c r="A203" t="s">
        <v>198</v>
      </c>
      <c r="B203" t="s">
        <v>333</v>
      </c>
      <c r="C203" t="s">
        <v>42</v>
      </c>
      <c r="D203" t="s">
        <v>262</v>
      </c>
      <c r="E203" t="s">
        <v>334</v>
      </c>
      <c r="F203" t="s">
        <v>562</v>
      </c>
      <c r="G203" t="s">
        <v>563</v>
      </c>
      <c r="H203" t="s">
        <v>73</v>
      </c>
      <c r="I203" t="s">
        <v>607</v>
      </c>
      <c r="J203" t="s">
        <v>608</v>
      </c>
      <c r="K203" t="s">
        <v>615</v>
      </c>
      <c r="N203" t="s">
        <v>269</v>
      </c>
      <c r="Q203" t="s">
        <v>567</v>
      </c>
      <c r="R203" t="s">
        <v>568</v>
      </c>
      <c r="S203" t="s">
        <v>569</v>
      </c>
      <c r="T203" t="s">
        <v>616</v>
      </c>
      <c r="U203" t="s">
        <v>611</v>
      </c>
      <c r="V203">
        <f>IF(AND(SUM(IF('Consulta de contratos'!$K$1="",0,1),IF('Consulta de contratos'!$K$2="",0,1),IF('Consulta de contratos'!$K$3="",0,1),IF('Consulta de contratos'!$K$4="",0,1),IF('Consulta de contratos'!$K$5="",0,1),IF('Consulta de contratos'!$K$6="",0,1))&gt;0,OR('Consulta de contratos'!$K$1="",A203='Consulta de contratos'!$K$1),OR('Consulta de contratos'!$K$2="",I203='Consulta de contratos'!$K$2),OR('Consulta de contratos'!$K$3="",C203='Consulta de contratos'!$K$3),OR('Consulta de contratos'!$K$4="",D203='Consulta de contratos'!$K$4),OR('Consulta de contratos'!$K$5="",E203='Consulta de contratos'!$K$5),OR('Consulta de contratos'!$K$6="",IFERROR(ISNUMBER(SEARCH("|"&amp;'Consulta de contratos'!$K$6&amp;"|",AF203)),FALSE))),1,0)</f>
        <v>0</v>
      </c>
      <c r="W203">
        <f>IF(V203=1,SUM($V$2:V203),0)</f>
        <v>0</v>
      </c>
      <c r="X203" t="s">
        <v>468</v>
      </c>
      <c r="Y203" t="s">
        <v>607</v>
      </c>
      <c r="Z203" t="s">
        <v>71</v>
      </c>
      <c r="AA203" t="s">
        <v>62</v>
      </c>
      <c r="AF203" t="s">
        <v>612</v>
      </c>
    </row>
    <row r="204" spans="1:32" x14ac:dyDescent="0.35">
      <c r="A204" t="s">
        <v>233</v>
      </c>
      <c r="B204" t="s">
        <v>333</v>
      </c>
      <c r="C204" t="s">
        <v>42</v>
      </c>
      <c r="D204" t="s">
        <v>262</v>
      </c>
      <c r="E204" t="s">
        <v>334</v>
      </c>
      <c r="F204" t="s">
        <v>562</v>
      </c>
      <c r="G204" t="s">
        <v>563</v>
      </c>
      <c r="H204" t="s">
        <v>73</v>
      </c>
      <c r="I204" t="s">
        <v>607</v>
      </c>
      <c r="J204" t="s">
        <v>608</v>
      </c>
      <c r="K204" t="s">
        <v>617</v>
      </c>
      <c r="N204" t="s">
        <v>269</v>
      </c>
      <c r="Q204" t="s">
        <v>567</v>
      </c>
      <c r="R204" t="s">
        <v>568</v>
      </c>
      <c r="S204" t="s">
        <v>569</v>
      </c>
      <c r="T204" t="s">
        <v>618</v>
      </c>
      <c r="U204" t="s">
        <v>611</v>
      </c>
      <c r="V204">
        <f>IF(AND(SUM(IF('Consulta de contratos'!$K$1="",0,1),IF('Consulta de contratos'!$K$2="",0,1),IF('Consulta de contratos'!$K$3="",0,1),IF('Consulta de contratos'!$K$4="",0,1),IF('Consulta de contratos'!$K$5="",0,1),IF('Consulta de contratos'!$K$6="",0,1))&gt;0,OR('Consulta de contratos'!$K$1="",A204='Consulta de contratos'!$K$1),OR('Consulta de contratos'!$K$2="",I204='Consulta de contratos'!$K$2),OR('Consulta de contratos'!$K$3="",C204='Consulta de contratos'!$K$3),OR('Consulta de contratos'!$K$4="",D204='Consulta de contratos'!$K$4),OR('Consulta de contratos'!$K$5="",E204='Consulta de contratos'!$K$5),OR('Consulta de contratos'!$K$6="",IFERROR(ISNUMBER(SEARCH("|"&amp;'Consulta de contratos'!$K$6&amp;"|",AF204)),FALSE))),1,0)</f>
        <v>0</v>
      </c>
      <c r="W204">
        <f>IF(V204=1,SUM($V$2:V204),0)</f>
        <v>0</v>
      </c>
      <c r="X204" t="s">
        <v>468</v>
      </c>
      <c r="Y204" t="s">
        <v>607</v>
      </c>
      <c r="Z204" t="s">
        <v>71</v>
      </c>
      <c r="AA204" t="s">
        <v>62</v>
      </c>
      <c r="AF204" t="s">
        <v>612</v>
      </c>
    </row>
    <row r="205" spans="1:32" x14ac:dyDescent="0.35">
      <c r="A205" t="s">
        <v>205</v>
      </c>
      <c r="B205" t="s">
        <v>333</v>
      </c>
      <c r="C205" t="s">
        <v>42</v>
      </c>
      <c r="D205" t="s">
        <v>262</v>
      </c>
      <c r="E205" t="s">
        <v>334</v>
      </c>
      <c r="F205" t="s">
        <v>562</v>
      </c>
      <c r="G205" t="s">
        <v>563</v>
      </c>
      <c r="H205" t="s">
        <v>73</v>
      </c>
      <c r="I205" t="s">
        <v>607</v>
      </c>
      <c r="J205" t="s">
        <v>608</v>
      </c>
      <c r="K205" t="s">
        <v>619</v>
      </c>
      <c r="N205" t="s">
        <v>269</v>
      </c>
      <c r="Q205" t="s">
        <v>567</v>
      </c>
      <c r="R205" t="s">
        <v>568</v>
      </c>
      <c r="S205" t="s">
        <v>569</v>
      </c>
      <c r="T205" t="s">
        <v>620</v>
      </c>
      <c r="U205" t="s">
        <v>611</v>
      </c>
      <c r="V205">
        <f>IF(AND(SUM(IF('Consulta de contratos'!$K$1="",0,1),IF('Consulta de contratos'!$K$2="",0,1),IF('Consulta de contratos'!$K$3="",0,1),IF('Consulta de contratos'!$K$4="",0,1),IF('Consulta de contratos'!$K$5="",0,1),IF('Consulta de contratos'!$K$6="",0,1))&gt;0,OR('Consulta de contratos'!$K$1="",A205='Consulta de contratos'!$K$1),OR('Consulta de contratos'!$K$2="",I205='Consulta de contratos'!$K$2),OR('Consulta de contratos'!$K$3="",C205='Consulta de contratos'!$K$3),OR('Consulta de contratos'!$K$4="",D205='Consulta de contratos'!$K$4),OR('Consulta de contratos'!$K$5="",E205='Consulta de contratos'!$K$5),OR('Consulta de contratos'!$K$6="",IFERROR(ISNUMBER(SEARCH("|"&amp;'Consulta de contratos'!$K$6&amp;"|",AF205)),FALSE))),1,0)</f>
        <v>0</v>
      </c>
      <c r="W205">
        <f>IF(V205=1,SUM($V$2:V205),0)</f>
        <v>0</v>
      </c>
      <c r="X205" t="s">
        <v>468</v>
      </c>
      <c r="Y205" t="s">
        <v>607</v>
      </c>
      <c r="Z205" t="s">
        <v>71</v>
      </c>
      <c r="AA205" t="s">
        <v>62</v>
      </c>
      <c r="AF205" t="s">
        <v>612</v>
      </c>
    </row>
    <row r="206" spans="1:32" x14ac:dyDescent="0.35">
      <c r="A206" t="s">
        <v>457</v>
      </c>
      <c r="B206" t="s">
        <v>333</v>
      </c>
      <c r="C206" t="s">
        <v>42</v>
      </c>
      <c r="D206" t="s">
        <v>262</v>
      </c>
      <c r="E206" t="s">
        <v>334</v>
      </c>
      <c r="F206" t="s">
        <v>562</v>
      </c>
      <c r="G206" t="s">
        <v>563</v>
      </c>
      <c r="H206" t="s">
        <v>64</v>
      </c>
      <c r="I206" t="s">
        <v>621</v>
      </c>
      <c r="J206" t="s">
        <v>622</v>
      </c>
      <c r="K206" t="s">
        <v>623</v>
      </c>
      <c r="N206" t="s">
        <v>269</v>
      </c>
      <c r="Q206" t="s">
        <v>624</v>
      </c>
      <c r="R206" t="s">
        <v>625</v>
      </c>
      <c r="S206" t="s">
        <v>569</v>
      </c>
      <c r="T206" t="s">
        <v>626</v>
      </c>
      <c r="U206" t="s">
        <v>627</v>
      </c>
      <c r="V206">
        <f>IF(AND(SUM(IF('Consulta de contratos'!$K$1="",0,1),IF('Consulta de contratos'!$K$2="",0,1),IF('Consulta de contratos'!$K$3="",0,1),IF('Consulta de contratos'!$K$4="",0,1),IF('Consulta de contratos'!$K$5="",0,1),IF('Consulta de contratos'!$K$6="",0,1))&gt;0,OR('Consulta de contratos'!$K$1="",A206='Consulta de contratos'!$K$1),OR('Consulta de contratos'!$K$2="",I206='Consulta de contratos'!$K$2),OR('Consulta de contratos'!$K$3="",C206='Consulta de contratos'!$K$3),OR('Consulta de contratos'!$K$4="",D206='Consulta de contratos'!$K$4),OR('Consulta de contratos'!$K$5="",E206='Consulta de contratos'!$K$5),OR('Consulta de contratos'!$K$6="",IFERROR(ISNUMBER(SEARCH("|"&amp;'Consulta de contratos'!$K$6&amp;"|",AF206)),FALSE))),1,0)</f>
        <v>0</v>
      </c>
      <c r="W206">
        <f>IF(V206=1,SUM($V$2:V206),0)</f>
        <v>0</v>
      </c>
      <c r="X206" t="s">
        <v>468</v>
      </c>
      <c r="Y206" t="s">
        <v>621</v>
      </c>
      <c r="Z206" t="s">
        <v>71</v>
      </c>
      <c r="AA206" t="s">
        <v>62</v>
      </c>
      <c r="AF206" t="s">
        <v>628</v>
      </c>
    </row>
    <row r="207" spans="1:32" x14ac:dyDescent="0.35">
      <c r="A207" t="s">
        <v>457</v>
      </c>
      <c r="B207" t="s">
        <v>333</v>
      </c>
      <c r="C207" t="s">
        <v>42</v>
      </c>
      <c r="D207" t="s">
        <v>262</v>
      </c>
      <c r="E207" t="s">
        <v>334</v>
      </c>
      <c r="F207" t="s">
        <v>562</v>
      </c>
      <c r="G207" t="s">
        <v>563</v>
      </c>
      <c r="H207" t="s">
        <v>305</v>
      </c>
      <c r="I207" t="s">
        <v>629</v>
      </c>
      <c r="J207" t="s">
        <v>630</v>
      </c>
      <c r="K207" t="s">
        <v>631</v>
      </c>
      <c r="L207">
        <v>45962</v>
      </c>
      <c r="M207">
        <v>47422</v>
      </c>
      <c r="N207" t="s">
        <v>269</v>
      </c>
      <c r="Q207" t="s">
        <v>624</v>
      </c>
      <c r="R207" t="s">
        <v>632</v>
      </c>
      <c r="S207" t="s">
        <v>633</v>
      </c>
      <c r="T207" t="s">
        <v>634</v>
      </c>
      <c r="U207" t="s">
        <v>635</v>
      </c>
      <c r="V207">
        <f>IF(AND(SUM(IF('Consulta de contratos'!$K$1="",0,1),IF('Consulta de contratos'!$K$2="",0,1),IF('Consulta de contratos'!$K$3="",0,1),IF('Consulta de contratos'!$K$4="",0,1),IF('Consulta de contratos'!$K$5="",0,1),IF('Consulta de contratos'!$K$6="",0,1))&gt;0,OR('Consulta de contratos'!$K$1="",A207='Consulta de contratos'!$K$1),OR('Consulta de contratos'!$K$2="",I207='Consulta de contratos'!$K$2),OR('Consulta de contratos'!$K$3="",C207='Consulta de contratos'!$K$3),OR('Consulta de contratos'!$K$4="",D207='Consulta de contratos'!$K$4),OR('Consulta de contratos'!$K$5="",E207='Consulta de contratos'!$K$5),OR('Consulta de contratos'!$K$6="",IFERROR(ISNUMBER(SEARCH("|"&amp;'Consulta de contratos'!$K$6&amp;"|",AF207)),FALSE))),1,0)</f>
        <v>0</v>
      </c>
      <c r="W207">
        <f>IF(V207=1,SUM($V$2:V207),0)</f>
        <v>0</v>
      </c>
      <c r="X207" t="s">
        <v>59</v>
      </c>
      <c r="Y207" t="s">
        <v>629</v>
      </c>
      <c r="Z207" t="s">
        <v>71</v>
      </c>
      <c r="AA207" t="s">
        <v>62</v>
      </c>
      <c r="AF207" t="s">
        <v>636</v>
      </c>
    </row>
    <row r="208" spans="1:32" x14ac:dyDescent="0.35">
      <c r="A208" t="s">
        <v>457</v>
      </c>
      <c r="B208" t="s">
        <v>261</v>
      </c>
      <c r="C208" t="s">
        <v>42</v>
      </c>
      <c r="D208" t="s">
        <v>262</v>
      </c>
      <c r="E208" t="s">
        <v>263</v>
      </c>
      <c r="F208" t="s">
        <v>562</v>
      </c>
      <c r="G208" t="s">
        <v>563</v>
      </c>
      <c r="H208" t="s">
        <v>312</v>
      </c>
      <c r="I208" t="s">
        <v>637</v>
      </c>
      <c r="J208" t="s">
        <v>638</v>
      </c>
      <c r="K208" t="s">
        <v>261</v>
      </c>
      <c r="N208" t="s">
        <v>269</v>
      </c>
      <c r="Q208" t="s">
        <v>624</v>
      </c>
      <c r="R208" t="s">
        <v>625</v>
      </c>
      <c r="S208" t="s">
        <v>569</v>
      </c>
      <c r="T208" t="s">
        <v>639</v>
      </c>
      <c r="U208" t="s">
        <v>640</v>
      </c>
      <c r="V208">
        <f>IF(AND(SUM(IF('Consulta de contratos'!$K$1="",0,1),IF('Consulta de contratos'!$K$2="",0,1),IF('Consulta de contratos'!$K$3="",0,1),IF('Consulta de contratos'!$K$4="",0,1),IF('Consulta de contratos'!$K$5="",0,1),IF('Consulta de contratos'!$K$6="",0,1))&gt;0,OR('Consulta de contratos'!$K$1="",A208='Consulta de contratos'!$K$1),OR('Consulta de contratos'!$K$2="",I208='Consulta de contratos'!$K$2),OR('Consulta de contratos'!$K$3="",C208='Consulta de contratos'!$K$3),OR('Consulta de contratos'!$K$4="",D208='Consulta de contratos'!$K$4),OR('Consulta de contratos'!$K$5="",E208='Consulta de contratos'!$K$5),OR('Consulta de contratos'!$K$6="",IFERROR(ISNUMBER(SEARCH("|"&amp;'Consulta de contratos'!$K$6&amp;"|",AF208)),FALSE))),1,0)</f>
        <v>0</v>
      </c>
      <c r="W208">
        <f>IF(V208=1,SUM($V$2:V208),0)</f>
        <v>0</v>
      </c>
      <c r="X208" t="s">
        <v>468</v>
      </c>
      <c r="Y208" t="s">
        <v>637</v>
      </c>
      <c r="Z208" t="s">
        <v>71</v>
      </c>
      <c r="AA208" t="s">
        <v>62</v>
      </c>
      <c r="AF208" t="s">
        <v>641</v>
      </c>
    </row>
    <row r="209" spans="1:32" x14ac:dyDescent="0.35">
      <c r="A209" t="s">
        <v>40</v>
      </c>
      <c r="B209" t="s">
        <v>333</v>
      </c>
      <c r="C209" t="s">
        <v>42</v>
      </c>
      <c r="D209" t="s">
        <v>262</v>
      </c>
      <c r="E209" t="s">
        <v>334</v>
      </c>
      <c r="F209" t="s">
        <v>642</v>
      </c>
      <c r="G209" t="s">
        <v>643</v>
      </c>
      <c r="H209" t="s">
        <v>47</v>
      </c>
      <c r="I209" t="s">
        <v>644</v>
      </c>
      <c r="J209" t="s">
        <v>645</v>
      </c>
      <c r="K209" t="s">
        <v>646</v>
      </c>
      <c r="N209" t="s">
        <v>269</v>
      </c>
      <c r="Q209" t="s">
        <v>647</v>
      </c>
      <c r="R209" t="s">
        <v>1991</v>
      </c>
      <c r="S209" t="s">
        <v>648</v>
      </c>
      <c r="T209" t="s">
        <v>649</v>
      </c>
      <c r="U209" t="s">
        <v>650</v>
      </c>
      <c r="V209">
        <f>IF(AND(SUM(IF('Consulta de contratos'!$K$1="",0,1),IF('Consulta de contratos'!$K$2="",0,1),IF('Consulta de contratos'!$K$3="",0,1),IF('Consulta de contratos'!$K$4="",0,1),IF('Consulta de contratos'!$K$5="",0,1),IF('Consulta de contratos'!$K$6="",0,1))&gt;0,OR('Consulta de contratos'!$K$1="",A209='Consulta de contratos'!$K$1),OR('Consulta de contratos'!$K$2="",I209='Consulta de contratos'!$K$2),OR('Consulta de contratos'!$K$3="",C209='Consulta de contratos'!$K$3),OR('Consulta de contratos'!$K$4="",D209='Consulta de contratos'!$K$4),OR('Consulta de contratos'!$K$5="",E209='Consulta de contratos'!$K$5),OR('Consulta de contratos'!$K$6="",IFERROR(ISNUMBER(SEARCH("|"&amp;'Consulta de contratos'!$K$6&amp;"|",AF209)),FALSE))),1,0)</f>
        <v>0</v>
      </c>
      <c r="W209">
        <f>IF(V209=1,SUM($V$2:V209),0)</f>
        <v>0</v>
      </c>
      <c r="X209" t="s">
        <v>468</v>
      </c>
      <c r="Y209" t="s">
        <v>651</v>
      </c>
      <c r="Z209" t="s">
        <v>346</v>
      </c>
      <c r="AA209" t="s">
        <v>62</v>
      </c>
      <c r="AF209" t="s">
        <v>652</v>
      </c>
    </row>
    <row r="210" spans="1:32" x14ac:dyDescent="0.35">
      <c r="A210" t="s">
        <v>156</v>
      </c>
      <c r="B210" t="s">
        <v>333</v>
      </c>
      <c r="C210" t="s">
        <v>42</v>
      </c>
      <c r="D210" t="s">
        <v>262</v>
      </c>
      <c r="E210" t="s">
        <v>334</v>
      </c>
      <c r="F210" t="s">
        <v>642</v>
      </c>
      <c r="G210" t="s">
        <v>643</v>
      </c>
      <c r="H210" t="s">
        <v>47</v>
      </c>
      <c r="I210" t="s">
        <v>644</v>
      </c>
      <c r="J210" t="s">
        <v>645</v>
      </c>
      <c r="K210" t="s">
        <v>653</v>
      </c>
      <c r="N210" t="s">
        <v>269</v>
      </c>
      <c r="Q210" t="s">
        <v>647</v>
      </c>
      <c r="R210" t="s">
        <v>1991</v>
      </c>
      <c r="S210" t="s">
        <v>648</v>
      </c>
      <c r="T210" t="s">
        <v>654</v>
      </c>
      <c r="U210" t="s">
        <v>650</v>
      </c>
      <c r="V210">
        <f>IF(AND(SUM(IF('Consulta de contratos'!$K$1="",0,1),IF('Consulta de contratos'!$K$2="",0,1),IF('Consulta de contratos'!$K$3="",0,1),IF('Consulta de contratos'!$K$4="",0,1),IF('Consulta de contratos'!$K$5="",0,1),IF('Consulta de contratos'!$K$6="",0,1))&gt;0,OR('Consulta de contratos'!$K$1="",A210='Consulta de contratos'!$K$1),OR('Consulta de contratos'!$K$2="",I210='Consulta de contratos'!$K$2),OR('Consulta de contratos'!$K$3="",C210='Consulta de contratos'!$K$3),OR('Consulta de contratos'!$K$4="",D210='Consulta de contratos'!$K$4),OR('Consulta de contratos'!$K$5="",E210='Consulta de contratos'!$K$5),OR('Consulta de contratos'!$K$6="",IFERROR(ISNUMBER(SEARCH("|"&amp;'Consulta de contratos'!$K$6&amp;"|",AF210)),FALSE))),1,0)</f>
        <v>0</v>
      </c>
      <c r="W210">
        <f>IF(V210=1,SUM($V$2:V210),0)</f>
        <v>0</v>
      </c>
      <c r="X210" t="s">
        <v>468</v>
      </c>
      <c r="Y210" t="s">
        <v>651</v>
      </c>
      <c r="Z210" t="s">
        <v>346</v>
      </c>
      <c r="AA210" t="s">
        <v>62</v>
      </c>
      <c r="AF210" t="s">
        <v>652</v>
      </c>
    </row>
    <row r="211" spans="1:32" x14ac:dyDescent="0.35">
      <c r="A211" t="s">
        <v>149</v>
      </c>
      <c r="B211" t="s">
        <v>333</v>
      </c>
      <c r="C211" t="s">
        <v>42</v>
      </c>
      <c r="D211" t="s">
        <v>262</v>
      </c>
      <c r="E211" t="s">
        <v>334</v>
      </c>
      <c r="F211" t="s">
        <v>642</v>
      </c>
      <c r="G211" t="s">
        <v>643</v>
      </c>
      <c r="H211" t="s">
        <v>47</v>
      </c>
      <c r="I211" t="s">
        <v>644</v>
      </c>
      <c r="J211" t="s">
        <v>645</v>
      </c>
      <c r="K211" t="s">
        <v>655</v>
      </c>
      <c r="N211" t="s">
        <v>269</v>
      </c>
      <c r="Q211" t="s">
        <v>647</v>
      </c>
      <c r="R211" t="s">
        <v>1991</v>
      </c>
      <c r="S211" t="s">
        <v>648</v>
      </c>
      <c r="T211" t="s">
        <v>656</v>
      </c>
      <c r="U211" t="s">
        <v>650</v>
      </c>
      <c r="V211">
        <f>IF(AND(SUM(IF('Consulta de contratos'!$K$1="",0,1),IF('Consulta de contratos'!$K$2="",0,1),IF('Consulta de contratos'!$K$3="",0,1),IF('Consulta de contratos'!$K$4="",0,1),IF('Consulta de contratos'!$K$5="",0,1),IF('Consulta de contratos'!$K$6="",0,1))&gt;0,OR('Consulta de contratos'!$K$1="",A211='Consulta de contratos'!$K$1),OR('Consulta de contratos'!$K$2="",I211='Consulta de contratos'!$K$2),OR('Consulta de contratos'!$K$3="",C211='Consulta de contratos'!$K$3),OR('Consulta de contratos'!$K$4="",D211='Consulta de contratos'!$K$4),OR('Consulta de contratos'!$K$5="",E211='Consulta de contratos'!$K$5),OR('Consulta de contratos'!$K$6="",IFERROR(ISNUMBER(SEARCH("|"&amp;'Consulta de contratos'!$K$6&amp;"|",AF211)),FALSE))),1,0)</f>
        <v>0</v>
      </c>
      <c r="W211">
        <f>IF(V211=1,SUM($V$2:V211),0)</f>
        <v>0</v>
      </c>
      <c r="X211" t="s">
        <v>468</v>
      </c>
      <c r="Y211" t="s">
        <v>651</v>
      </c>
      <c r="Z211" t="s">
        <v>346</v>
      </c>
      <c r="AA211" t="s">
        <v>62</v>
      </c>
      <c r="AF211" t="s">
        <v>652</v>
      </c>
    </row>
    <row r="212" spans="1:32" x14ac:dyDescent="0.35">
      <c r="A212" t="s">
        <v>163</v>
      </c>
      <c r="B212" t="s">
        <v>333</v>
      </c>
      <c r="C212" t="s">
        <v>42</v>
      </c>
      <c r="D212" t="s">
        <v>262</v>
      </c>
      <c r="E212" t="s">
        <v>334</v>
      </c>
      <c r="F212" t="s">
        <v>642</v>
      </c>
      <c r="G212" t="s">
        <v>643</v>
      </c>
      <c r="H212" t="s">
        <v>47</v>
      </c>
      <c r="I212" t="s">
        <v>644</v>
      </c>
      <c r="J212" t="s">
        <v>645</v>
      </c>
      <c r="K212" t="s">
        <v>657</v>
      </c>
      <c r="N212" t="s">
        <v>269</v>
      </c>
      <c r="Q212" t="s">
        <v>647</v>
      </c>
      <c r="R212" t="s">
        <v>1991</v>
      </c>
      <c r="S212" t="s">
        <v>648</v>
      </c>
      <c r="T212" t="s">
        <v>658</v>
      </c>
      <c r="U212" t="s">
        <v>650</v>
      </c>
      <c r="V212">
        <f>IF(AND(SUM(IF('Consulta de contratos'!$K$1="",0,1),IF('Consulta de contratos'!$K$2="",0,1),IF('Consulta de contratos'!$K$3="",0,1),IF('Consulta de contratos'!$K$4="",0,1),IF('Consulta de contratos'!$K$5="",0,1),IF('Consulta de contratos'!$K$6="",0,1))&gt;0,OR('Consulta de contratos'!$K$1="",A212='Consulta de contratos'!$K$1),OR('Consulta de contratos'!$K$2="",I212='Consulta de contratos'!$K$2),OR('Consulta de contratos'!$K$3="",C212='Consulta de contratos'!$K$3),OR('Consulta de contratos'!$K$4="",D212='Consulta de contratos'!$K$4),OR('Consulta de contratos'!$K$5="",E212='Consulta de contratos'!$K$5),OR('Consulta de contratos'!$K$6="",IFERROR(ISNUMBER(SEARCH("|"&amp;'Consulta de contratos'!$K$6&amp;"|",AF212)),FALSE))),1,0)</f>
        <v>0</v>
      </c>
      <c r="W212">
        <f>IF(V212=1,SUM($V$2:V212),0)</f>
        <v>0</v>
      </c>
      <c r="X212" t="s">
        <v>468</v>
      </c>
      <c r="Y212" t="s">
        <v>651</v>
      </c>
      <c r="Z212" t="s">
        <v>346</v>
      </c>
      <c r="AA212" t="s">
        <v>62</v>
      </c>
      <c r="AF212" t="s">
        <v>652</v>
      </c>
    </row>
    <row r="213" spans="1:32" x14ac:dyDescent="0.35">
      <c r="A213" t="s">
        <v>170</v>
      </c>
      <c r="B213" t="s">
        <v>333</v>
      </c>
      <c r="C213" t="s">
        <v>42</v>
      </c>
      <c r="D213" t="s">
        <v>262</v>
      </c>
      <c r="E213" t="s">
        <v>334</v>
      </c>
      <c r="F213" t="s">
        <v>642</v>
      </c>
      <c r="G213" t="s">
        <v>643</v>
      </c>
      <c r="H213" t="s">
        <v>47</v>
      </c>
      <c r="I213" t="s">
        <v>644</v>
      </c>
      <c r="J213" t="s">
        <v>645</v>
      </c>
      <c r="K213" t="s">
        <v>659</v>
      </c>
      <c r="N213" t="s">
        <v>269</v>
      </c>
      <c r="Q213" t="s">
        <v>647</v>
      </c>
      <c r="R213" t="s">
        <v>1991</v>
      </c>
      <c r="S213" t="s">
        <v>648</v>
      </c>
      <c r="T213" t="s">
        <v>660</v>
      </c>
      <c r="U213" t="s">
        <v>650</v>
      </c>
      <c r="V213">
        <f>IF(AND(SUM(IF('Consulta de contratos'!$K$1="",0,1),IF('Consulta de contratos'!$K$2="",0,1),IF('Consulta de contratos'!$K$3="",0,1),IF('Consulta de contratos'!$K$4="",0,1),IF('Consulta de contratos'!$K$5="",0,1),IF('Consulta de contratos'!$K$6="",0,1))&gt;0,OR('Consulta de contratos'!$K$1="",A213='Consulta de contratos'!$K$1),OR('Consulta de contratos'!$K$2="",I213='Consulta de contratos'!$K$2),OR('Consulta de contratos'!$K$3="",C213='Consulta de contratos'!$K$3),OR('Consulta de contratos'!$K$4="",D213='Consulta de contratos'!$K$4),OR('Consulta de contratos'!$K$5="",E213='Consulta de contratos'!$K$5),OR('Consulta de contratos'!$K$6="",IFERROR(ISNUMBER(SEARCH("|"&amp;'Consulta de contratos'!$K$6&amp;"|",AF213)),FALSE))),1,0)</f>
        <v>0</v>
      </c>
      <c r="W213">
        <f>IF(V213=1,SUM($V$2:V213),0)</f>
        <v>0</v>
      </c>
      <c r="X213" t="s">
        <v>468</v>
      </c>
      <c r="Y213" t="s">
        <v>651</v>
      </c>
      <c r="Z213" t="s">
        <v>346</v>
      </c>
      <c r="AA213" t="s">
        <v>62</v>
      </c>
      <c r="AF213" t="s">
        <v>652</v>
      </c>
    </row>
    <row r="214" spans="1:32" x14ac:dyDescent="0.35">
      <c r="A214" t="s">
        <v>177</v>
      </c>
      <c r="B214" t="s">
        <v>333</v>
      </c>
      <c r="C214" t="s">
        <v>42</v>
      </c>
      <c r="D214" t="s">
        <v>262</v>
      </c>
      <c r="E214" t="s">
        <v>334</v>
      </c>
      <c r="F214" t="s">
        <v>642</v>
      </c>
      <c r="G214" t="s">
        <v>643</v>
      </c>
      <c r="H214" t="s">
        <v>47</v>
      </c>
      <c r="I214" t="s">
        <v>644</v>
      </c>
      <c r="J214" t="s">
        <v>645</v>
      </c>
      <c r="K214" t="s">
        <v>661</v>
      </c>
      <c r="N214" t="s">
        <v>269</v>
      </c>
      <c r="Q214" t="s">
        <v>647</v>
      </c>
      <c r="R214" t="s">
        <v>1991</v>
      </c>
      <c r="S214" t="s">
        <v>648</v>
      </c>
      <c r="T214" t="s">
        <v>662</v>
      </c>
      <c r="U214" t="s">
        <v>650</v>
      </c>
      <c r="V214">
        <f>IF(AND(SUM(IF('Consulta de contratos'!$K$1="",0,1),IF('Consulta de contratos'!$K$2="",0,1),IF('Consulta de contratos'!$K$3="",0,1),IF('Consulta de contratos'!$K$4="",0,1),IF('Consulta de contratos'!$K$5="",0,1),IF('Consulta de contratos'!$K$6="",0,1))&gt;0,OR('Consulta de contratos'!$K$1="",A214='Consulta de contratos'!$K$1),OR('Consulta de contratos'!$K$2="",I214='Consulta de contratos'!$K$2),OR('Consulta de contratos'!$K$3="",C214='Consulta de contratos'!$K$3),OR('Consulta de contratos'!$K$4="",D214='Consulta de contratos'!$K$4),OR('Consulta de contratos'!$K$5="",E214='Consulta de contratos'!$K$5),OR('Consulta de contratos'!$K$6="",IFERROR(ISNUMBER(SEARCH("|"&amp;'Consulta de contratos'!$K$6&amp;"|",AF214)),FALSE))),1,0)</f>
        <v>0</v>
      </c>
      <c r="W214">
        <f>IF(V214=1,SUM($V$2:V214),0)</f>
        <v>0</v>
      </c>
      <c r="X214" t="s">
        <v>468</v>
      </c>
      <c r="Y214" t="s">
        <v>651</v>
      </c>
      <c r="Z214" t="s">
        <v>346</v>
      </c>
      <c r="AA214" t="s">
        <v>62</v>
      </c>
      <c r="AF214" t="s">
        <v>652</v>
      </c>
    </row>
    <row r="215" spans="1:32" x14ac:dyDescent="0.35">
      <c r="A215" t="s">
        <v>184</v>
      </c>
      <c r="B215" t="s">
        <v>333</v>
      </c>
      <c r="C215" t="s">
        <v>42</v>
      </c>
      <c r="D215" t="s">
        <v>262</v>
      </c>
      <c r="E215" t="s">
        <v>334</v>
      </c>
      <c r="F215" t="s">
        <v>642</v>
      </c>
      <c r="G215" t="s">
        <v>643</v>
      </c>
      <c r="H215" t="s">
        <v>47</v>
      </c>
      <c r="I215" t="s">
        <v>644</v>
      </c>
      <c r="J215" t="s">
        <v>645</v>
      </c>
      <c r="K215" t="s">
        <v>663</v>
      </c>
      <c r="N215" t="s">
        <v>269</v>
      </c>
      <c r="Q215" t="s">
        <v>647</v>
      </c>
      <c r="R215" t="s">
        <v>1991</v>
      </c>
      <c r="S215" t="s">
        <v>648</v>
      </c>
      <c r="T215" t="s">
        <v>664</v>
      </c>
      <c r="U215" t="s">
        <v>650</v>
      </c>
      <c r="V215">
        <f>IF(AND(SUM(IF('Consulta de contratos'!$K$1="",0,1),IF('Consulta de contratos'!$K$2="",0,1),IF('Consulta de contratos'!$K$3="",0,1),IF('Consulta de contratos'!$K$4="",0,1),IF('Consulta de contratos'!$K$5="",0,1),IF('Consulta de contratos'!$K$6="",0,1))&gt;0,OR('Consulta de contratos'!$K$1="",A215='Consulta de contratos'!$K$1),OR('Consulta de contratos'!$K$2="",I215='Consulta de contratos'!$K$2),OR('Consulta de contratos'!$K$3="",C215='Consulta de contratos'!$K$3),OR('Consulta de contratos'!$K$4="",D215='Consulta de contratos'!$K$4),OR('Consulta de contratos'!$K$5="",E215='Consulta de contratos'!$K$5),OR('Consulta de contratos'!$K$6="",IFERROR(ISNUMBER(SEARCH("|"&amp;'Consulta de contratos'!$K$6&amp;"|",AF215)),FALSE))),1,0)</f>
        <v>0</v>
      </c>
      <c r="W215">
        <f>IF(V215=1,SUM($V$2:V215),0)</f>
        <v>0</v>
      </c>
      <c r="X215" t="s">
        <v>468</v>
      </c>
      <c r="Y215" t="s">
        <v>651</v>
      </c>
      <c r="Z215" t="s">
        <v>346</v>
      </c>
      <c r="AA215" t="s">
        <v>62</v>
      </c>
      <c r="AF215" t="s">
        <v>652</v>
      </c>
    </row>
    <row r="216" spans="1:32" x14ac:dyDescent="0.35">
      <c r="A216" t="s">
        <v>116</v>
      </c>
      <c r="B216" t="s">
        <v>333</v>
      </c>
      <c r="C216" t="s">
        <v>42</v>
      </c>
      <c r="D216" t="s">
        <v>262</v>
      </c>
      <c r="E216" t="s">
        <v>334</v>
      </c>
      <c r="F216" t="s">
        <v>642</v>
      </c>
      <c r="G216" t="s">
        <v>643</v>
      </c>
      <c r="H216" t="s">
        <v>124</v>
      </c>
      <c r="I216" t="s">
        <v>665</v>
      </c>
      <c r="J216" t="s">
        <v>645</v>
      </c>
      <c r="K216" t="s">
        <v>666</v>
      </c>
      <c r="N216" t="s">
        <v>269</v>
      </c>
      <c r="Q216" t="s">
        <v>647</v>
      </c>
      <c r="R216" t="s">
        <v>1992</v>
      </c>
      <c r="S216" t="s">
        <v>648</v>
      </c>
      <c r="T216" t="s">
        <v>667</v>
      </c>
      <c r="U216" t="s">
        <v>668</v>
      </c>
      <c r="V216">
        <f>IF(AND(SUM(IF('Consulta de contratos'!$K$1="",0,1),IF('Consulta de contratos'!$K$2="",0,1),IF('Consulta de contratos'!$K$3="",0,1),IF('Consulta de contratos'!$K$4="",0,1),IF('Consulta de contratos'!$K$5="",0,1),IF('Consulta de contratos'!$K$6="",0,1))&gt;0,OR('Consulta de contratos'!$K$1="",A216='Consulta de contratos'!$K$1),OR('Consulta de contratos'!$K$2="",I216='Consulta de contratos'!$K$2),OR('Consulta de contratos'!$K$3="",C216='Consulta de contratos'!$K$3),OR('Consulta de contratos'!$K$4="",D216='Consulta de contratos'!$K$4),OR('Consulta de contratos'!$K$5="",E216='Consulta de contratos'!$K$5),OR('Consulta de contratos'!$K$6="",IFERROR(ISNUMBER(SEARCH("|"&amp;'Consulta de contratos'!$K$6&amp;"|",AF216)),FALSE))),1,0)</f>
        <v>0</v>
      </c>
      <c r="W216">
        <f>IF(V216=1,SUM($V$2:V216),0)</f>
        <v>0</v>
      </c>
      <c r="X216" t="s">
        <v>468</v>
      </c>
      <c r="Y216" t="s">
        <v>669</v>
      </c>
      <c r="Z216" t="s">
        <v>80</v>
      </c>
      <c r="AA216" t="s">
        <v>62</v>
      </c>
      <c r="AF216" t="s">
        <v>670</v>
      </c>
    </row>
    <row r="217" spans="1:32" x14ac:dyDescent="0.35">
      <c r="A217" t="s">
        <v>123</v>
      </c>
      <c r="B217" t="s">
        <v>333</v>
      </c>
      <c r="C217" t="s">
        <v>42</v>
      </c>
      <c r="D217" t="s">
        <v>262</v>
      </c>
      <c r="E217" t="s">
        <v>334</v>
      </c>
      <c r="F217" t="s">
        <v>642</v>
      </c>
      <c r="G217" t="s">
        <v>643</v>
      </c>
      <c r="H217" t="s">
        <v>124</v>
      </c>
      <c r="I217" t="s">
        <v>665</v>
      </c>
      <c r="J217" t="s">
        <v>645</v>
      </c>
      <c r="K217" t="s">
        <v>671</v>
      </c>
      <c r="N217" t="s">
        <v>269</v>
      </c>
      <c r="Q217" t="s">
        <v>647</v>
      </c>
      <c r="R217" t="s">
        <v>1992</v>
      </c>
      <c r="S217" t="s">
        <v>648</v>
      </c>
      <c r="T217" t="s">
        <v>672</v>
      </c>
      <c r="U217" t="s">
        <v>668</v>
      </c>
      <c r="V217">
        <f>IF(AND(SUM(IF('Consulta de contratos'!$K$1="",0,1),IF('Consulta de contratos'!$K$2="",0,1),IF('Consulta de contratos'!$K$3="",0,1),IF('Consulta de contratos'!$K$4="",0,1),IF('Consulta de contratos'!$K$5="",0,1),IF('Consulta de contratos'!$K$6="",0,1))&gt;0,OR('Consulta de contratos'!$K$1="",A217='Consulta de contratos'!$K$1),OR('Consulta de contratos'!$K$2="",I217='Consulta de contratos'!$K$2),OR('Consulta de contratos'!$K$3="",C217='Consulta de contratos'!$K$3),OR('Consulta de contratos'!$K$4="",D217='Consulta de contratos'!$K$4),OR('Consulta de contratos'!$K$5="",E217='Consulta de contratos'!$K$5),OR('Consulta de contratos'!$K$6="",IFERROR(ISNUMBER(SEARCH("|"&amp;'Consulta de contratos'!$K$6&amp;"|",AF217)),FALSE))),1,0)</f>
        <v>0</v>
      </c>
      <c r="W217">
        <f>IF(V217=1,SUM($V$2:V217),0)</f>
        <v>0</v>
      </c>
      <c r="X217" t="s">
        <v>468</v>
      </c>
      <c r="Y217" t="s">
        <v>669</v>
      </c>
      <c r="Z217" t="s">
        <v>80</v>
      </c>
      <c r="AA217" t="s">
        <v>62</v>
      </c>
      <c r="AF217" t="s">
        <v>670</v>
      </c>
    </row>
    <row r="218" spans="1:32" x14ac:dyDescent="0.35">
      <c r="A218" t="s">
        <v>135</v>
      </c>
      <c r="B218" t="s">
        <v>333</v>
      </c>
      <c r="C218" t="s">
        <v>42</v>
      </c>
      <c r="D218" t="s">
        <v>262</v>
      </c>
      <c r="E218" t="s">
        <v>334</v>
      </c>
      <c r="F218" t="s">
        <v>642</v>
      </c>
      <c r="G218" t="s">
        <v>643</v>
      </c>
      <c r="H218" t="s">
        <v>124</v>
      </c>
      <c r="I218" t="s">
        <v>665</v>
      </c>
      <c r="J218" t="s">
        <v>645</v>
      </c>
      <c r="K218" t="s">
        <v>673</v>
      </c>
      <c r="N218" t="s">
        <v>269</v>
      </c>
      <c r="Q218" t="s">
        <v>647</v>
      </c>
      <c r="R218" t="s">
        <v>1992</v>
      </c>
      <c r="S218" t="s">
        <v>648</v>
      </c>
      <c r="T218" t="s">
        <v>674</v>
      </c>
      <c r="U218" t="s">
        <v>668</v>
      </c>
      <c r="V218">
        <f>IF(AND(SUM(IF('Consulta de contratos'!$K$1="",0,1),IF('Consulta de contratos'!$K$2="",0,1),IF('Consulta de contratos'!$K$3="",0,1),IF('Consulta de contratos'!$K$4="",0,1),IF('Consulta de contratos'!$K$5="",0,1),IF('Consulta de contratos'!$K$6="",0,1))&gt;0,OR('Consulta de contratos'!$K$1="",A218='Consulta de contratos'!$K$1),OR('Consulta de contratos'!$K$2="",I218='Consulta de contratos'!$K$2),OR('Consulta de contratos'!$K$3="",C218='Consulta de contratos'!$K$3),OR('Consulta de contratos'!$K$4="",D218='Consulta de contratos'!$K$4),OR('Consulta de contratos'!$K$5="",E218='Consulta de contratos'!$K$5),OR('Consulta de contratos'!$K$6="",IFERROR(ISNUMBER(SEARCH("|"&amp;'Consulta de contratos'!$K$6&amp;"|",AF218)),FALSE))),1,0)</f>
        <v>0</v>
      </c>
      <c r="W218">
        <f>IF(V218=1,SUM($V$2:V218),0)</f>
        <v>0</v>
      </c>
      <c r="X218" t="s">
        <v>468</v>
      </c>
      <c r="Y218" t="s">
        <v>669</v>
      </c>
      <c r="Z218" t="s">
        <v>80</v>
      </c>
      <c r="AA218" t="s">
        <v>62</v>
      </c>
      <c r="AF218" t="s">
        <v>670</v>
      </c>
    </row>
    <row r="219" spans="1:32" x14ac:dyDescent="0.35">
      <c r="A219" t="s">
        <v>142</v>
      </c>
      <c r="B219" t="s">
        <v>333</v>
      </c>
      <c r="C219" t="s">
        <v>42</v>
      </c>
      <c r="D219" t="s">
        <v>262</v>
      </c>
      <c r="E219" t="s">
        <v>334</v>
      </c>
      <c r="F219" t="s">
        <v>642</v>
      </c>
      <c r="G219" t="s">
        <v>643</v>
      </c>
      <c r="H219" t="s">
        <v>124</v>
      </c>
      <c r="I219" t="s">
        <v>665</v>
      </c>
      <c r="J219" t="s">
        <v>645</v>
      </c>
      <c r="K219" t="s">
        <v>675</v>
      </c>
      <c r="N219" t="s">
        <v>269</v>
      </c>
      <c r="Q219" t="s">
        <v>647</v>
      </c>
      <c r="R219" t="s">
        <v>1992</v>
      </c>
      <c r="S219" t="s">
        <v>648</v>
      </c>
      <c r="T219" t="s">
        <v>676</v>
      </c>
      <c r="U219" t="s">
        <v>668</v>
      </c>
      <c r="V219">
        <f>IF(AND(SUM(IF('Consulta de contratos'!$K$1="",0,1),IF('Consulta de contratos'!$K$2="",0,1),IF('Consulta de contratos'!$K$3="",0,1),IF('Consulta de contratos'!$K$4="",0,1),IF('Consulta de contratos'!$K$5="",0,1),IF('Consulta de contratos'!$K$6="",0,1))&gt;0,OR('Consulta de contratos'!$K$1="",A219='Consulta de contratos'!$K$1),OR('Consulta de contratos'!$K$2="",I219='Consulta de contratos'!$K$2),OR('Consulta de contratos'!$K$3="",C219='Consulta de contratos'!$K$3),OR('Consulta de contratos'!$K$4="",D219='Consulta de contratos'!$K$4),OR('Consulta de contratos'!$K$5="",E219='Consulta de contratos'!$K$5),OR('Consulta de contratos'!$K$6="",IFERROR(ISNUMBER(SEARCH("|"&amp;'Consulta de contratos'!$K$6&amp;"|",AF219)),FALSE))),1,0)</f>
        <v>0</v>
      </c>
      <c r="W219">
        <f>IF(V219=1,SUM($V$2:V219),0)</f>
        <v>0</v>
      </c>
      <c r="X219" t="s">
        <v>468</v>
      </c>
      <c r="Y219" t="s">
        <v>669</v>
      </c>
      <c r="Z219" t="s">
        <v>80</v>
      </c>
      <c r="AA219" t="s">
        <v>62</v>
      </c>
      <c r="AF219" t="s">
        <v>670</v>
      </c>
    </row>
    <row r="220" spans="1:32" x14ac:dyDescent="0.35">
      <c r="A220" t="s">
        <v>212</v>
      </c>
      <c r="B220" t="s">
        <v>333</v>
      </c>
      <c r="C220" t="s">
        <v>42</v>
      </c>
      <c r="D220" t="s">
        <v>262</v>
      </c>
      <c r="E220" t="s">
        <v>334</v>
      </c>
      <c r="F220" t="s">
        <v>642</v>
      </c>
      <c r="G220" t="s">
        <v>643</v>
      </c>
      <c r="H220" t="s">
        <v>124</v>
      </c>
      <c r="I220" t="s">
        <v>665</v>
      </c>
      <c r="J220" t="s">
        <v>645</v>
      </c>
      <c r="K220" t="s">
        <v>677</v>
      </c>
      <c r="N220" t="s">
        <v>269</v>
      </c>
      <c r="Q220" t="s">
        <v>647</v>
      </c>
      <c r="R220" t="s">
        <v>1992</v>
      </c>
      <c r="S220" t="s">
        <v>648</v>
      </c>
      <c r="T220" t="s">
        <v>678</v>
      </c>
      <c r="U220" t="s">
        <v>668</v>
      </c>
      <c r="V220">
        <f>IF(AND(SUM(IF('Consulta de contratos'!$K$1="",0,1),IF('Consulta de contratos'!$K$2="",0,1),IF('Consulta de contratos'!$K$3="",0,1),IF('Consulta de contratos'!$K$4="",0,1),IF('Consulta de contratos'!$K$5="",0,1),IF('Consulta de contratos'!$K$6="",0,1))&gt;0,OR('Consulta de contratos'!$K$1="",A220='Consulta de contratos'!$K$1),OR('Consulta de contratos'!$K$2="",I220='Consulta de contratos'!$K$2),OR('Consulta de contratos'!$K$3="",C220='Consulta de contratos'!$K$3),OR('Consulta de contratos'!$K$4="",D220='Consulta de contratos'!$K$4),OR('Consulta de contratos'!$K$5="",E220='Consulta de contratos'!$K$5),OR('Consulta de contratos'!$K$6="",IFERROR(ISNUMBER(SEARCH("|"&amp;'Consulta de contratos'!$K$6&amp;"|",AF220)),FALSE))),1,0)</f>
        <v>0</v>
      </c>
      <c r="W220">
        <f>IF(V220=1,SUM($V$2:V220),0)</f>
        <v>0</v>
      </c>
      <c r="X220" t="s">
        <v>468</v>
      </c>
      <c r="Y220" t="s">
        <v>669</v>
      </c>
      <c r="Z220" t="s">
        <v>80</v>
      </c>
      <c r="AA220" t="s">
        <v>62</v>
      </c>
      <c r="AF220" t="s">
        <v>670</v>
      </c>
    </row>
    <row r="221" spans="1:32" x14ac:dyDescent="0.35">
      <c r="A221" t="s">
        <v>219</v>
      </c>
      <c r="B221" t="s">
        <v>333</v>
      </c>
      <c r="C221" t="s">
        <v>42</v>
      </c>
      <c r="D221" t="s">
        <v>262</v>
      </c>
      <c r="E221" t="s">
        <v>334</v>
      </c>
      <c r="F221" t="s">
        <v>642</v>
      </c>
      <c r="G221" t="s">
        <v>643</v>
      </c>
      <c r="H221" t="s">
        <v>124</v>
      </c>
      <c r="I221" t="s">
        <v>665</v>
      </c>
      <c r="J221" t="s">
        <v>645</v>
      </c>
      <c r="K221" t="s">
        <v>679</v>
      </c>
      <c r="N221" t="s">
        <v>269</v>
      </c>
      <c r="Q221" t="s">
        <v>647</v>
      </c>
      <c r="R221" t="s">
        <v>1992</v>
      </c>
      <c r="S221" t="s">
        <v>648</v>
      </c>
      <c r="T221" t="s">
        <v>680</v>
      </c>
      <c r="U221" t="s">
        <v>668</v>
      </c>
      <c r="V221">
        <f>IF(AND(SUM(IF('Consulta de contratos'!$K$1="",0,1),IF('Consulta de contratos'!$K$2="",0,1),IF('Consulta de contratos'!$K$3="",0,1),IF('Consulta de contratos'!$K$4="",0,1),IF('Consulta de contratos'!$K$5="",0,1),IF('Consulta de contratos'!$K$6="",0,1))&gt;0,OR('Consulta de contratos'!$K$1="",A221='Consulta de contratos'!$K$1),OR('Consulta de contratos'!$K$2="",I221='Consulta de contratos'!$K$2),OR('Consulta de contratos'!$K$3="",C221='Consulta de contratos'!$K$3),OR('Consulta de contratos'!$K$4="",D221='Consulta de contratos'!$K$4),OR('Consulta de contratos'!$K$5="",E221='Consulta de contratos'!$K$5),OR('Consulta de contratos'!$K$6="",IFERROR(ISNUMBER(SEARCH("|"&amp;'Consulta de contratos'!$K$6&amp;"|",AF221)),FALSE))),1,0)</f>
        <v>0</v>
      </c>
      <c r="W221">
        <f>IF(V221=1,SUM($V$2:V221),0)</f>
        <v>0</v>
      </c>
      <c r="X221" t="s">
        <v>468</v>
      </c>
      <c r="Y221" t="s">
        <v>669</v>
      </c>
      <c r="Z221" t="s">
        <v>80</v>
      </c>
      <c r="AA221" t="s">
        <v>62</v>
      </c>
      <c r="AF221" t="s">
        <v>670</v>
      </c>
    </row>
    <row r="222" spans="1:32" x14ac:dyDescent="0.35">
      <c r="A222" t="s">
        <v>247</v>
      </c>
      <c r="B222" t="s">
        <v>333</v>
      </c>
      <c r="C222" t="s">
        <v>42</v>
      </c>
      <c r="D222" t="s">
        <v>262</v>
      </c>
      <c r="E222" t="s">
        <v>334</v>
      </c>
      <c r="F222" t="s">
        <v>642</v>
      </c>
      <c r="G222" t="s">
        <v>643</v>
      </c>
      <c r="H222" t="s">
        <v>124</v>
      </c>
      <c r="I222" t="s">
        <v>665</v>
      </c>
      <c r="J222" t="s">
        <v>645</v>
      </c>
      <c r="K222" t="s">
        <v>681</v>
      </c>
      <c r="N222" t="s">
        <v>269</v>
      </c>
      <c r="Q222" t="s">
        <v>647</v>
      </c>
      <c r="R222" t="s">
        <v>1992</v>
      </c>
      <c r="S222" t="s">
        <v>648</v>
      </c>
      <c r="T222" t="s">
        <v>682</v>
      </c>
      <c r="U222" t="s">
        <v>668</v>
      </c>
      <c r="V222">
        <f>IF(AND(SUM(IF('Consulta de contratos'!$K$1="",0,1),IF('Consulta de contratos'!$K$2="",0,1),IF('Consulta de contratos'!$K$3="",0,1),IF('Consulta de contratos'!$K$4="",0,1),IF('Consulta de contratos'!$K$5="",0,1),IF('Consulta de contratos'!$K$6="",0,1))&gt;0,OR('Consulta de contratos'!$K$1="",A222='Consulta de contratos'!$K$1),OR('Consulta de contratos'!$K$2="",I222='Consulta de contratos'!$K$2),OR('Consulta de contratos'!$K$3="",C222='Consulta de contratos'!$K$3),OR('Consulta de contratos'!$K$4="",D222='Consulta de contratos'!$K$4),OR('Consulta de contratos'!$K$5="",E222='Consulta de contratos'!$K$5),OR('Consulta de contratos'!$K$6="",IFERROR(ISNUMBER(SEARCH("|"&amp;'Consulta de contratos'!$K$6&amp;"|",AF222)),FALSE))),1,0)</f>
        <v>0</v>
      </c>
      <c r="W222">
        <f>IF(V222=1,SUM($V$2:V222),0)</f>
        <v>0</v>
      </c>
      <c r="X222" t="s">
        <v>468</v>
      </c>
      <c r="Y222" t="s">
        <v>669</v>
      </c>
      <c r="Z222" t="s">
        <v>80</v>
      </c>
      <c r="AA222" t="s">
        <v>62</v>
      </c>
      <c r="AF222" t="s">
        <v>670</v>
      </c>
    </row>
    <row r="223" spans="1:32" x14ac:dyDescent="0.35">
      <c r="A223" t="s">
        <v>254</v>
      </c>
      <c r="B223" t="s">
        <v>333</v>
      </c>
      <c r="C223" t="s">
        <v>42</v>
      </c>
      <c r="D223" t="s">
        <v>262</v>
      </c>
      <c r="E223" t="s">
        <v>334</v>
      </c>
      <c r="F223" t="s">
        <v>642</v>
      </c>
      <c r="G223" t="s">
        <v>643</v>
      </c>
      <c r="H223" t="s">
        <v>124</v>
      </c>
      <c r="I223" t="s">
        <v>665</v>
      </c>
      <c r="J223" t="s">
        <v>645</v>
      </c>
      <c r="K223" t="s">
        <v>683</v>
      </c>
      <c r="N223" t="s">
        <v>269</v>
      </c>
      <c r="Q223" t="s">
        <v>647</v>
      </c>
      <c r="R223" t="s">
        <v>1992</v>
      </c>
      <c r="S223" t="s">
        <v>648</v>
      </c>
      <c r="T223" t="s">
        <v>684</v>
      </c>
      <c r="U223" t="s">
        <v>668</v>
      </c>
      <c r="V223">
        <f>IF(AND(SUM(IF('Consulta de contratos'!$K$1="",0,1),IF('Consulta de contratos'!$K$2="",0,1),IF('Consulta de contratos'!$K$3="",0,1),IF('Consulta de contratos'!$K$4="",0,1),IF('Consulta de contratos'!$K$5="",0,1),IF('Consulta de contratos'!$K$6="",0,1))&gt;0,OR('Consulta de contratos'!$K$1="",A223='Consulta de contratos'!$K$1),OR('Consulta de contratos'!$K$2="",I223='Consulta de contratos'!$K$2),OR('Consulta de contratos'!$K$3="",C223='Consulta de contratos'!$K$3),OR('Consulta de contratos'!$K$4="",D223='Consulta de contratos'!$K$4),OR('Consulta de contratos'!$K$5="",E223='Consulta de contratos'!$K$5),OR('Consulta de contratos'!$K$6="",IFERROR(ISNUMBER(SEARCH("|"&amp;'Consulta de contratos'!$K$6&amp;"|",AF223)),FALSE))),1,0)</f>
        <v>0</v>
      </c>
      <c r="W223">
        <f>IF(V223=1,SUM($V$2:V223),0)</f>
        <v>0</v>
      </c>
      <c r="X223" t="s">
        <v>468</v>
      </c>
      <c r="Y223" t="s">
        <v>669</v>
      </c>
      <c r="Z223" t="s">
        <v>80</v>
      </c>
      <c r="AA223" t="s">
        <v>62</v>
      </c>
      <c r="AF223" t="s">
        <v>670</v>
      </c>
    </row>
    <row r="224" spans="1:32" x14ac:dyDescent="0.35">
      <c r="A224" t="s">
        <v>240</v>
      </c>
      <c r="B224" t="s">
        <v>333</v>
      </c>
      <c r="C224" t="s">
        <v>42</v>
      </c>
      <c r="D224" t="s">
        <v>262</v>
      </c>
      <c r="E224" t="s">
        <v>334</v>
      </c>
      <c r="F224" t="s">
        <v>642</v>
      </c>
      <c r="G224" t="s">
        <v>643</v>
      </c>
      <c r="H224" t="s">
        <v>124</v>
      </c>
      <c r="I224" t="s">
        <v>665</v>
      </c>
      <c r="J224" t="s">
        <v>645</v>
      </c>
      <c r="K224" t="s">
        <v>685</v>
      </c>
      <c r="N224" t="s">
        <v>269</v>
      </c>
      <c r="Q224" t="s">
        <v>647</v>
      </c>
      <c r="R224" t="s">
        <v>1992</v>
      </c>
      <c r="S224" t="s">
        <v>648</v>
      </c>
      <c r="T224" t="s">
        <v>686</v>
      </c>
      <c r="U224" t="s">
        <v>668</v>
      </c>
      <c r="V224">
        <f>IF(AND(SUM(IF('Consulta de contratos'!$K$1="",0,1),IF('Consulta de contratos'!$K$2="",0,1),IF('Consulta de contratos'!$K$3="",0,1),IF('Consulta de contratos'!$K$4="",0,1),IF('Consulta de contratos'!$K$5="",0,1),IF('Consulta de contratos'!$K$6="",0,1))&gt;0,OR('Consulta de contratos'!$K$1="",A224='Consulta de contratos'!$K$1),OR('Consulta de contratos'!$K$2="",I224='Consulta de contratos'!$K$2),OR('Consulta de contratos'!$K$3="",C224='Consulta de contratos'!$K$3),OR('Consulta de contratos'!$K$4="",D224='Consulta de contratos'!$K$4),OR('Consulta de contratos'!$K$5="",E224='Consulta de contratos'!$K$5),OR('Consulta de contratos'!$K$6="",IFERROR(ISNUMBER(SEARCH("|"&amp;'Consulta de contratos'!$K$6&amp;"|",AF224)),FALSE))),1,0)</f>
        <v>0</v>
      </c>
      <c r="W224">
        <f>IF(V224=1,SUM($V$2:V224),0)</f>
        <v>0</v>
      </c>
      <c r="X224" t="s">
        <v>468</v>
      </c>
      <c r="Y224" t="s">
        <v>669</v>
      </c>
      <c r="Z224" t="s">
        <v>80</v>
      </c>
      <c r="AA224" t="s">
        <v>62</v>
      </c>
      <c r="AF224" t="s">
        <v>670</v>
      </c>
    </row>
    <row r="225" spans="1:32" x14ac:dyDescent="0.35">
      <c r="A225" t="s">
        <v>191</v>
      </c>
      <c r="B225" t="s">
        <v>333</v>
      </c>
      <c r="C225" t="s">
        <v>42</v>
      </c>
      <c r="D225" t="s">
        <v>262</v>
      </c>
      <c r="E225" t="s">
        <v>334</v>
      </c>
      <c r="F225" t="s">
        <v>642</v>
      </c>
      <c r="G225" t="s">
        <v>643</v>
      </c>
      <c r="H225" t="s">
        <v>73</v>
      </c>
      <c r="I225" t="s">
        <v>687</v>
      </c>
      <c r="J225" t="s">
        <v>645</v>
      </c>
      <c r="K225" t="s">
        <v>688</v>
      </c>
      <c r="N225" t="s">
        <v>269</v>
      </c>
      <c r="Q225" t="s">
        <v>647</v>
      </c>
      <c r="R225" t="s">
        <v>1991</v>
      </c>
      <c r="S225" t="s">
        <v>648</v>
      </c>
      <c r="T225" t="s">
        <v>689</v>
      </c>
      <c r="U225" t="s">
        <v>690</v>
      </c>
      <c r="V225">
        <f>IF(AND(SUM(IF('Consulta de contratos'!$K$1="",0,1),IF('Consulta de contratos'!$K$2="",0,1),IF('Consulta de contratos'!$K$3="",0,1),IF('Consulta de contratos'!$K$4="",0,1),IF('Consulta de contratos'!$K$5="",0,1),IF('Consulta de contratos'!$K$6="",0,1))&gt;0,OR('Consulta de contratos'!$K$1="",A225='Consulta de contratos'!$K$1),OR('Consulta de contratos'!$K$2="",I225='Consulta de contratos'!$K$2),OR('Consulta de contratos'!$K$3="",C225='Consulta de contratos'!$K$3),OR('Consulta de contratos'!$K$4="",D225='Consulta de contratos'!$K$4),OR('Consulta de contratos'!$K$5="",E225='Consulta de contratos'!$K$5),OR('Consulta de contratos'!$K$6="",IFERROR(ISNUMBER(SEARCH("|"&amp;'Consulta de contratos'!$K$6&amp;"|",AF225)),FALSE))),1,0)</f>
        <v>0</v>
      </c>
      <c r="W225">
        <f>IF(V225=1,SUM($V$2:V225),0)</f>
        <v>0</v>
      </c>
      <c r="X225" t="s">
        <v>468</v>
      </c>
      <c r="Y225" t="s">
        <v>691</v>
      </c>
      <c r="Z225" t="s">
        <v>346</v>
      </c>
      <c r="AA225" t="s">
        <v>62</v>
      </c>
      <c r="AF225" t="s">
        <v>692</v>
      </c>
    </row>
    <row r="226" spans="1:32" x14ac:dyDescent="0.35">
      <c r="A226" t="s">
        <v>226</v>
      </c>
      <c r="B226" t="s">
        <v>333</v>
      </c>
      <c r="C226" t="s">
        <v>42</v>
      </c>
      <c r="D226" t="s">
        <v>262</v>
      </c>
      <c r="E226" t="s">
        <v>334</v>
      </c>
      <c r="F226" t="s">
        <v>642</v>
      </c>
      <c r="G226" t="s">
        <v>643</v>
      </c>
      <c r="H226" t="s">
        <v>73</v>
      </c>
      <c r="I226" t="s">
        <v>687</v>
      </c>
      <c r="J226" t="s">
        <v>645</v>
      </c>
      <c r="K226" t="s">
        <v>693</v>
      </c>
      <c r="N226" t="s">
        <v>269</v>
      </c>
      <c r="Q226" t="s">
        <v>647</v>
      </c>
      <c r="R226" t="s">
        <v>1991</v>
      </c>
      <c r="S226" t="s">
        <v>648</v>
      </c>
      <c r="T226" t="s">
        <v>694</v>
      </c>
      <c r="U226" t="s">
        <v>690</v>
      </c>
      <c r="V226">
        <f>IF(AND(SUM(IF('Consulta de contratos'!$K$1="",0,1),IF('Consulta de contratos'!$K$2="",0,1),IF('Consulta de contratos'!$K$3="",0,1),IF('Consulta de contratos'!$K$4="",0,1),IF('Consulta de contratos'!$K$5="",0,1),IF('Consulta de contratos'!$K$6="",0,1))&gt;0,OR('Consulta de contratos'!$K$1="",A226='Consulta de contratos'!$K$1),OR('Consulta de contratos'!$K$2="",I226='Consulta de contratos'!$K$2),OR('Consulta de contratos'!$K$3="",C226='Consulta de contratos'!$K$3),OR('Consulta de contratos'!$K$4="",D226='Consulta de contratos'!$K$4),OR('Consulta de contratos'!$K$5="",E226='Consulta de contratos'!$K$5),OR('Consulta de contratos'!$K$6="",IFERROR(ISNUMBER(SEARCH("|"&amp;'Consulta de contratos'!$K$6&amp;"|",AF226)),FALSE))),1,0)</f>
        <v>0</v>
      </c>
      <c r="W226">
        <f>IF(V226=1,SUM($V$2:V226),0)</f>
        <v>0</v>
      </c>
      <c r="X226" t="s">
        <v>468</v>
      </c>
      <c r="Y226" t="s">
        <v>691</v>
      </c>
      <c r="Z226" t="s">
        <v>346</v>
      </c>
      <c r="AA226" t="s">
        <v>62</v>
      </c>
      <c r="AF226" t="s">
        <v>692</v>
      </c>
    </row>
    <row r="227" spans="1:32" x14ac:dyDescent="0.35">
      <c r="A227" t="s">
        <v>198</v>
      </c>
      <c r="B227" t="s">
        <v>333</v>
      </c>
      <c r="C227" t="s">
        <v>42</v>
      </c>
      <c r="D227" t="s">
        <v>262</v>
      </c>
      <c r="E227" t="s">
        <v>334</v>
      </c>
      <c r="F227" t="s">
        <v>642</v>
      </c>
      <c r="G227" t="s">
        <v>643</v>
      </c>
      <c r="H227" t="s">
        <v>73</v>
      </c>
      <c r="I227" t="s">
        <v>687</v>
      </c>
      <c r="J227" t="s">
        <v>645</v>
      </c>
      <c r="K227" t="s">
        <v>695</v>
      </c>
      <c r="N227" t="s">
        <v>269</v>
      </c>
      <c r="Q227" t="s">
        <v>647</v>
      </c>
      <c r="R227" t="s">
        <v>1991</v>
      </c>
      <c r="S227" t="s">
        <v>648</v>
      </c>
      <c r="T227" t="s">
        <v>696</v>
      </c>
      <c r="U227" t="s">
        <v>690</v>
      </c>
      <c r="V227">
        <f>IF(AND(SUM(IF('Consulta de contratos'!$K$1="",0,1),IF('Consulta de contratos'!$K$2="",0,1),IF('Consulta de contratos'!$K$3="",0,1),IF('Consulta de contratos'!$K$4="",0,1),IF('Consulta de contratos'!$K$5="",0,1),IF('Consulta de contratos'!$K$6="",0,1))&gt;0,OR('Consulta de contratos'!$K$1="",A227='Consulta de contratos'!$K$1),OR('Consulta de contratos'!$K$2="",I227='Consulta de contratos'!$K$2),OR('Consulta de contratos'!$K$3="",C227='Consulta de contratos'!$K$3),OR('Consulta de contratos'!$K$4="",D227='Consulta de contratos'!$K$4),OR('Consulta de contratos'!$K$5="",E227='Consulta de contratos'!$K$5),OR('Consulta de contratos'!$K$6="",IFERROR(ISNUMBER(SEARCH("|"&amp;'Consulta de contratos'!$K$6&amp;"|",AF227)),FALSE))),1,0)</f>
        <v>0</v>
      </c>
      <c r="W227">
        <f>IF(V227=1,SUM($V$2:V227),0)</f>
        <v>0</v>
      </c>
      <c r="X227" t="s">
        <v>468</v>
      </c>
      <c r="Y227" t="s">
        <v>691</v>
      </c>
      <c r="Z227" t="s">
        <v>346</v>
      </c>
      <c r="AA227" t="s">
        <v>62</v>
      </c>
      <c r="AF227" t="s">
        <v>692</v>
      </c>
    </row>
    <row r="228" spans="1:32" x14ac:dyDescent="0.35">
      <c r="A228" t="s">
        <v>233</v>
      </c>
      <c r="B228" t="s">
        <v>333</v>
      </c>
      <c r="C228" t="s">
        <v>42</v>
      </c>
      <c r="D228" t="s">
        <v>262</v>
      </c>
      <c r="E228" t="s">
        <v>334</v>
      </c>
      <c r="F228" t="s">
        <v>642</v>
      </c>
      <c r="G228" t="s">
        <v>643</v>
      </c>
      <c r="H228" t="s">
        <v>73</v>
      </c>
      <c r="I228" t="s">
        <v>687</v>
      </c>
      <c r="J228" t="s">
        <v>645</v>
      </c>
      <c r="K228" t="s">
        <v>697</v>
      </c>
      <c r="N228" t="s">
        <v>269</v>
      </c>
      <c r="Q228" t="s">
        <v>647</v>
      </c>
      <c r="R228" t="s">
        <v>1991</v>
      </c>
      <c r="S228" t="s">
        <v>648</v>
      </c>
      <c r="T228" t="s">
        <v>698</v>
      </c>
      <c r="U228" t="s">
        <v>690</v>
      </c>
      <c r="V228">
        <f>IF(AND(SUM(IF('Consulta de contratos'!$K$1="",0,1),IF('Consulta de contratos'!$K$2="",0,1),IF('Consulta de contratos'!$K$3="",0,1),IF('Consulta de contratos'!$K$4="",0,1),IF('Consulta de contratos'!$K$5="",0,1),IF('Consulta de contratos'!$K$6="",0,1))&gt;0,OR('Consulta de contratos'!$K$1="",A228='Consulta de contratos'!$K$1),OR('Consulta de contratos'!$K$2="",I228='Consulta de contratos'!$K$2),OR('Consulta de contratos'!$K$3="",C228='Consulta de contratos'!$K$3),OR('Consulta de contratos'!$K$4="",D228='Consulta de contratos'!$K$4),OR('Consulta de contratos'!$K$5="",E228='Consulta de contratos'!$K$5),OR('Consulta de contratos'!$K$6="",IFERROR(ISNUMBER(SEARCH("|"&amp;'Consulta de contratos'!$K$6&amp;"|",AF228)),FALSE))),1,0)</f>
        <v>0</v>
      </c>
      <c r="W228">
        <f>IF(V228=1,SUM($V$2:V228),0)</f>
        <v>0</v>
      </c>
      <c r="X228" t="s">
        <v>468</v>
      </c>
      <c r="Y228" t="s">
        <v>691</v>
      </c>
      <c r="Z228" t="s">
        <v>346</v>
      </c>
      <c r="AA228" t="s">
        <v>62</v>
      </c>
      <c r="AF228" t="s">
        <v>692</v>
      </c>
    </row>
    <row r="229" spans="1:32" x14ac:dyDescent="0.35">
      <c r="A229" t="s">
        <v>205</v>
      </c>
      <c r="B229" t="s">
        <v>333</v>
      </c>
      <c r="C229" t="s">
        <v>42</v>
      </c>
      <c r="D229" t="s">
        <v>262</v>
      </c>
      <c r="E229" t="s">
        <v>334</v>
      </c>
      <c r="F229" t="s">
        <v>642</v>
      </c>
      <c r="G229" t="s">
        <v>643</v>
      </c>
      <c r="H229" t="s">
        <v>73</v>
      </c>
      <c r="I229" t="s">
        <v>687</v>
      </c>
      <c r="J229" t="s">
        <v>645</v>
      </c>
      <c r="K229" t="s">
        <v>699</v>
      </c>
      <c r="N229" t="s">
        <v>269</v>
      </c>
      <c r="Q229" t="s">
        <v>647</v>
      </c>
      <c r="R229" t="s">
        <v>1991</v>
      </c>
      <c r="S229" t="s">
        <v>648</v>
      </c>
      <c r="T229" t="s">
        <v>700</v>
      </c>
      <c r="U229" t="s">
        <v>690</v>
      </c>
      <c r="V229">
        <f>IF(AND(SUM(IF('Consulta de contratos'!$K$1="",0,1),IF('Consulta de contratos'!$K$2="",0,1),IF('Consulta de contratos'!$K$3="",0,1),IF('Consulta de contratos'!$K$4="",0,1),IF('Consulta de contratos'!$K$5="",0,1),IF('Consulta de contratos'!$K$6="",0,1))&gt;0,OR('Consulta de contratos'!$K$1="",A229='Consulta de contratos'!$K$1),OR('Consulta de contratos'!$K$2="",I229='Consulta de contratos'!$K$2),OR('Consulta de contratos'!$K$3="",C229='Consulta de contratos'!$K$3),OR('Consulta de contratos'!$K$4="",D229='Consulta de contratos'!$K$4),OR('Consulta de contratos'!$K$5="",E229='Consulta de contratos'!$K$5),OR('Consulta de contratos'!$K$6="",IFERROR(ISNUMBER(SEARCH("|"&amp;'Consulta de contratos'!$K$6&amp;"|",AF229)),FALSE))),1,0)</f>
        <v>0</v>
      </c>
      <c r="W229">
        <f>IF(V229=1,SUM($V$2:V229),0)</f>
        <v>0</v>
      </c>
      <c r="X229" t="s">
        <v>468</v>
      </c>
      <c r="Y229" t="s">
        <v>691</v>
      </c>
      <c r="Z229" t="s">
        <v>346</v>
      </c>
      <c r="AA229" t="s">
        <v>62</v>
      </c>
      <c r="AF229" t="s">
        <v>692</v>
      </c>
    </row>
    <row r="230" spans="1:32" x14ac:dyDescent="0.35">
      <c r="A230" t="s">
        <v>457</v>
      </c>
      <c r="B230" t="s">
        <v>261</v>
      </c>
      <c r="C230" t="s">
        <v>42</v>
      </c>
      <c r="D230" t="s">
        <v>262</v>
      </c>
      <c r="E230" t="s">
        <v>263</v>
      </c>
      <c r="F230" t="s">
        <v>642</v>
      </c>
      <c r="G230" t="s">
        <v>643</v>
      </c>
      <c r="H230" t="s">
        <v>322</v>
      </c>
      <c r="I230" t="s">
        <v>701</v>
      </c>
      <c r="J230" t="s">
        <v>702</v>
      </c>
      <c r="K230" t="s">
        <v>703</v>
      </c>
      <c r="N230" t="s">
        <v>269</v>
      </c>
      <c r="Q230" t="s">
        <v>549</v>
      </c>
      <c r="R230" t="s">
        <v>1993</v>
      </c>
      <c r="S230" t="s">
        <v>704</v>
      </c>
      <c r="T230" t="s">
        <v>705</v>
      </c>
      <c r="U230" t="s">
        <v>706</v>
      </c>
      <c r="V230">
        <f>IF(AND(SUM(IF('Consulta de contratos'!$K$1="",0,1),IF('Consulta de contratos'!$K$2="",0,1),IF('Consulta de contratos'!$K$3="",0,1),IF('Consulta de contratos'!$K$4="",0,1),IF('Consulta de contratos'!$K$5="",0,1),IF('Consulta de contratos'!$K$6="",0,1))&gt;0,OR('Consulta de contratos'!$K$1="",A230='Consulta de contratos'!$K$1),OR('Consulta de contratos'!$K$2="",I230='Consulta de contratos'!$K$2),OR('Consulta de contratos'!$K$3="",C230='Consulta de contratos'!$K$3),OR('Consulta de contratos'!$K$4="",D230='Consulta de contratos'!$K$4),OR('Consulta de contratos'!$K$5="",E230='Consulta de contratos'!$K$5),OR('Consulta de contratos'!$K$6="",IFERROR(ISNUMBER(SEARCH("|"&amp;'Consulta de contratos'!$K$6&amp;"|",AF230)),FALSE))),1,0)</f>
        <v>0</v>
      </c>
      <c r="W230">
        <f>IF(V230=1,SUM($V$2:V230),0)</f>
        <v>0</v>
      </c>
      <c r="X230" t="s">
        <v>468</v>
      </c>
      <c r="Y230" t="s">
        <v>60</v>
      </c>
      <c r="Z230" t="s">
        <v>61</v>
      </c>
      <c r="AA230" t="s">
        <v>62</v>
      </c>
      <c r="AF230" t="s">
        <v>63</v>
      </c>
    </row>
    <row r="231" spans="1:32" x14ac:dyDescent="0.35">
      <c r="A231" t="s">
        <v>163</v>
      </c>
      <c r="B231" t="s">
        <v>333</v>
      </c>
      <c r="C231" t="s">
        <v>42</v>
      </c>
      <c r="D231" t="s">
        <v>262</v>
      </c>
      <c r="E231" t="s">
        <v>334</v>
      </c>
      <c r="F231" t="s">
        <v>707</v>
      </c>
      <c r="G231" t="s">
        <v>708</v>
      </c>
      <c r="H231" t="s">
        <v>47</v>
      </c>
      <c r="I231" t="s">
        <v>651</v>
      </c>
      <c r="J231" t="s">
        <v>709</v>
      </c>
      <c r="K231" t="s">
        <v>710</v>
      </c>
      <c r="N231" t="s">
        <v>269</v>
      </c>
      <c r="Q231" t="s">
        <v>549</v>
      </c>
      <c r="R231" t="s">
        <v>711</v>
      </c>
      <c r="S231" t="s">
        <v>712</v>
      </c>
      <c r="T231" t="s">
        <v>713</v>
      </c>
      <c r="U231" t="s">
        <v>714</v>
      </c>
      <c r="V231">
        <f>IF(AND(SUM(IF('Consulta de contratos'!$K$1="",0,1),IF('Consulta de contratos'!$K$2="",0,1),IF('Consulta de contratos'!$K$3="",0,1),IF('Consulta de contratos'!$K$4="",0,1),IF('Consulta de contratos'!$K$5="",0,1),IF('Consulta de contratos'!$K$6="",0,1))&gt;0,OR('Consulta de contratos'!$K$1="",A231='Consulta de contratos'!$K$1),OR('Consulta de contratos'!$K$2="",I231='Consulta de contratos'!$K$2),OR('Consulta de contratos'!$K$3="",C231='Consulta de contratos'!$K$3),OR('Consulta de contratos'!$K$4="",D231='Consulta de contratos'!$K$4),OR('Consulta de contratos'!$K$5="",E231='Consulta de contratos'!$K$5),OR('Consulta de contratos'!$K$6="",IFERROR(ISNUMBER(SEARCH("|"&amp;'Consulta de contratos'!$K$6&amp;"|",AF231)),FALSE))),1,0)</f>
        <v>0</v>
      </c>
      <c r="W231">
        <f>IF(V231=1,SUM($V$2:V231),0)</f>
        <v>0</v>
      </c>
      <c r="X231" t="s">
        <v>468</v>
      </c>
      <c r="Y231" t="s">
        <v>651</v>
      </c>
      <c r="Z231" t="s">
        <v>346</v>
      </c>
      <c r="AA231" t="s">
        <v>62</v>
      </c>
      <c r="AF231" t="s">
        <v>652</v>
      </c>
    </row>
    <row r="232" spans="1:32" x14ac:dyDescent="0.35">
      <c r="A232" t="s">
        <v>247</v>
      </c>
      <c r="B232" t="s">
        <v>333</v>
      </c>
      <c r="C232" t="s">
        <v>42</v>
      </c>
      <c r="D232" t="s">
        <v>262</v>
      </c>
      <c r="E232" t="s">
        <v>334</v>
      </c>
      <c r="F232" t="s">
        <v>715</v>
      </c>
      <c r="G232" t="s">
        <v>716</v>
      </c>
      <c r="H232" t="s">
        <v>124</v>
      </c>
      <c r="I232" t="s">
        <v>717</v>
      </c>
      <c r="J232" t="s">
        <v>718</v>
      </c>
      <c r="K232" t="s">
        <v>719</v>
      </c>
      <c r="N232" t="s">
        <v>269</v>
      </c>
      <c r="Q232" t="s">
        <v>720</v>
      </c>
      <c r="R232" t="s">
        <v>721</v>
      </c>
      <c r="S232" t="s">
        <v>722</v>
      </c>
      <c r="T232" t="s">
        <v>723</v>
      </c>
      <c r="U232" t="s">
        <v>724</v>
      </c>
      <c r="V232">
        <f>IF(AND(SUM(IF('Consulta de contratos'!$K$1="",0,1),IF('Consulta de contratos'!$K$2="",0,1),IF('Consulta de contratos'!$K$3="",0,1),IF('Consulta de contratos'!$K$4="",0,1),IF('Consulta de contratos'!$K$5="",0,1),IF('Consulta de contratos'!$K$6="",0,1))&gt;0,OR('Consulta de contratos'!$K$1="",A232='Consulta de contratos'!$K$1),OR('Consulta de contratos'!$K$2="",I232='Consulta de contratos'!$K$2),OR('Consulta de contratos'!$K$3="",C232='Consulta de contratos'!$K$3),OR('Consulta de contratos'!$K$4="",D232='Consulta de contratos'!$K$4),OR('Consulta de contratos'!$K$5="",E232='Consulta de contratos'!$K$5),OR('Consulta de contratos'!$K$6="",IFERROR(ISNUMBER(SEARCH("|"&amp;'Consulta de contratos'!$K$6&amp;"|",AF232)),FALSE))),1,0)</f>
        <v>0</v>
      </c>
      <c r="W232">
        <f>IF(V232=1,SUM($V$2:V232),0)</f>
        <v>0</v>
      </c>
      <c r="X232" t="s">
        <v>468</v>
      </c>
      <c r="Y232" t="s">
        <v>725</v>
      </c>
      <c r="Z232" t="s">
        <v>346</v>
      </c>
      <c r="AA232" t="s">
        <v>62</v>
      </c>
      <c r="AF232" t="s">
        <v>726</v>
      </c>
    </row>
    <row r="233" spans="1:32" x14ac:dyDescent="0.35">
      <c r="A233" t="s">
        <v>205</v>
      </c>
      <c r="B233" t="s">
        <v>471</v>
      </c>
      <c r="C233" t="s">
        <v>42</v>
      </c>
      <c r="D233" t="s">
        <v>472</v>
      </c>
      <c r="E233" t="s">
        <v>473</v>
      </c>
      <c r="F233" t="s">
        <v>727</v>
      </c>
      <c r="G233" t="s">
        <v>728</v>
      </c>
      <c r="H233" t="s">
        <v>64</v>
      </c>
      <c r="I233" t="s">
        <v>508</v>
      </c>
      <c r="J233" t="s">
        <v>729</v>
      </c>
      <c r="K233" t="s">
        <v>730</v>
      </c>
      <c r="Q233" t="s">
        <v>731</v>
      </c>
      <c r="R233" t="s">
        <v>732</v>
      </c>
      <c r="S233" t="s">
        <v>733</v>
      </c>
      <c r="T233" t="s">
        <v>734</v>
      </c>
      <c r="U233" t="s">
        <v>735</v>
      </c>
      <c r="V233">
        <f>IF(AND(SUM(IF('Consulta de contratos'!$K$1="",0,1),IF('Consulta de contratos'!$K$2="",0,1),IF('Consulta de contratos'!$K$3="",0,1),IF('Consulta de contratos'!$K$4="",0,1),IF('Consulta de contratos'!$K$5="",0,1),IF('Consulta de contratos'!$K$6="",0,1))&gt;0,OR('Consulta de contratos'!$K$1="",A233='Consulta de contratos'!$K$1),OR('Consulta de contratos'!$K$2="",I233='Consulta de contratos'!$K$2),OR('Consulta de contratos'!$K$3="",C233='Consulta de contratos'!$K$3),OR('Consulta de contratos'!$K$4="",D233='Consulta de contratos'!$K$4),OR('Consulta de contratos'!$K$5="",E233='Consulta de contratos'!$K$5),OR('Consulta de contratos'!$K$6="",IFERROR(ISNUMBER(SEARCH("|"&amp;'Consulta de contratos'!$K$6&amp;"|",AF233)),FALSE))),1,0)</f>
        <v>0</v>
      </c>
      <c r="W233">
        <f>IF(V233=1,SUM($V$2:V233),0)</f>
        <v>0</v>
      </c>
      <c r="X233" t="s">
        <v>468</v>
      </c>
      <c r="Y233" t="s">
        <v>508</v>
      </c>
      <c r="Z233" t="s">
        <v>71</v>
      </c>
      <c r="AA233" t="s">
        <v>62</v>
      </c>
      <c r="AF233" t="s">
        <v>509</v>
      </c>
    </row>
    <row r="234" spans="1:32" x14ac:dyDescent="0.35">
      <c r="A234" t="s">
        <v>205</v>
      </c>
      <c r="B234" t="s">
        <v>471</v>
      </c>
      <c r="C234" t="s">
        <v>42</v>
      </c>
      <c r="D234" t="s">
        <v>472</v>
      </c>
      <c r="E234" t="s">
        <v>473</v>
      </c>
      <c r="F234" t="s">
        <v>727</v>
      </c>
      <c r="G234" t="s">
        <v>736</v>
      </c>
      <c r="H234" t="s">
        <v>64</v>
      </c>
      <c r="I234" t="s">
        <v>508</v>
      </c>
      <c r="J234" t="s">
        <v>737</v>
      </c>
      <c r="K234" t="s">
        <v>738</v>
      </c>
      <c r="Q234" t="s">
        <v>731</v>
      </c>
      <c r="R234" t="s">
        <v>739</v>
      </c>
      <c r="S234" t="s">
        <v>740</v>
      </c>
      <c r="T234" t="s">
        <v>741</v>
      </c>
      <c r="U234" t="s">
        <v>742</v>
      </c>
      <c r="V234">
        <f>IF(AND(SUM(IF('Consulta de contratos'!$K$1="",0,1),IF('Consulta de contratos'!$K$2="",0,1),IF('Consulta de contratos'!$K$3="",0,1),IF('Consulta de contratos'!$K$4="",0,1),IF('Consulta de contratos'!$K$5="",0,1),IF('Consulta de contratos'!$K$6="",0,1))&gt;0,OR('Consulta de contratos'!$K$1="",A234='Consulta de contratos'!$K$1),OR('Consulta de contratos'!$K$2="",I234='Consulta de contratos'!$K$2),OR('Consulta de contratos'!$K$3="",C234='Consulta de contratos'!$K$3),OR('Consulta de contratos'!$K$4="",D234='Consulta de contratos'!$K$4),OR('Consulta de contratos'!$K$5="",E234='Consulta de contratos'!$K$5),OR('Consulta de contratos'!$K$6="",IFERROR(ISNUMBER(SEARCH("|"&amp;'Consulta de contratos'!$K$6&amp;"|",AF234)),FALSE))),1,0)</f>
        <v>0</v>
      </c>
      <c r="W234">
        <f>IF(V234=1,SUM($V$2:V234),0)</f>
        <v>0</v>
      </c>
      <c r="X234" t="s">
        <v>468</v>
      </c>
      <c r="Y234" t="s">
        <v>508</v>
      </c>
      <c r="Z234" t="s">
        <v>71</v>
      </c>
      <c r="AA234" t="s">
        <v>62</v>
      </c>
      <c r="AF234" t="s">
        <v>509</v>
      </c>
    </row>
    <row r="235" spans="1:32" x14ac:dyDescent="0.35">
      <c r="A235" t="s">
        <v>142</v>
      </c>
      <c r="B235" t="s">
        <v>471</v>
      </c>
      <c r="C235" t="s">
        <v>42</v>
      </c>
      <c r="D235" t="s">
        <v>472</v>
      </c>
      <c r="E235" t="s">
        <v>473</v>
      </c>
      <c r="F235" t="s">
        <v>727</v>
      </c>
      <c r="G235" t="s">
        <v>743</v>
      </c>
      <c r="H235" t="s">
        <v>64</v>
      </c>
      <c r="I235" t="s">
        <v>508</v>
      </c>
      <c r="J235" t="s">
        <v>744</v>
      </c>
      <c r="K235" t="s">
        <v>745</v>
      </c>
      <c r="Q235" t="s">
        <v>731</v>
      </c>
      <c r="R235" t="s">
        <v>746</v>
      </c>
      <c r="S235" t="s">
        <v>747</v>
      </c>
      <c r="T235" t="s">
        <v>748</v>
      </c>
      <c r="U235" t="s">
        <v>749</v>
      </c>
      <c r="V235">
        <f>IF(AND(SUM(IF('Consulta de contratos'!$K$1="",0,1),IF('Consulta de contratos'!$K$2="",0,1),IF('Consulta de contratos'!$K$3="",0,1),IF('Consulta de contratos'!$K$4="",0,1),IF('Consulta de contratos'!$K$5="",0,1),IF('Consulta de contratos'!$K$6="",0,1))&gt;0,OR('Consulta de contratos'!$K$1="",A235='Consulta de contratos'!$K$1),OR('Consulta de contratos'!$K$2="",I235='Consulta de contratos'!$K$2),OR('Consulta de contratos'!$K$3="",C235='Consulta de contratos'!$K$3),OR('Consulta de contratos'!$K$4="",D235='Consulta de contratos'!$K$4),OR('Consulta de contratos'!$K$5="",E235='Consulta de contratos'!$K$5),OR('Consulta de contratos'!$K$6="",IFERROR(ISNUMBER(SEARCH("|"&amp;'Consulta de contratos'!$K$6&amp;"|",AF235)),FALSE))),1,0)</f>
        <v>0</v>
      </c>
      <c r="W235">
        <f>IF(V235=1,SUM($V$2:V235),0)</f>
        <v>0</v>
      </c>
      <c r="X235" t="s">
        <v>468</v>
      </c>
      <c r="Y235" t="s">
        <v>508</v>
      </c>
      <c r="Z235" t="s">
        <v>71</v>
      </c>
      <c r="AA235" t="s">
        <v>62</v>
      </c>
      <c r="AF235" t="s">
        <v>509</v>
      </c>
    </row>
    <row r="236" spans="1:32" x14ac:dyDescent="0.35">
      <c r="A236" t="s">
        <v>457</v>
      </c>
      <c r="B236" t="s">
        <v>750</v>
      </c>
      <c r="C236" t="s">
        <v>42</v>
      </c>
      <c r="D236" t="s">
        <v>472</v>
      </c>
      <c r="E236" t="s">
        <v>751</v>
      </c>
      <c r="F236" t="s">
        <v>752</v>
      </c>
      <c r="G236" t="s">
        <v>753</v>
      </c>
      <c r="H236" t="s">
        <v>47</v>
      </c>
      <c r="I236" t="s">
        <v>754</v>
      </c>
      <c r="J236" t="s">
        <v>755</v>
      </c>
      <c r="K236" t="s">
        <v>756</v>
      </c>
      <c r="L236" s="12">
        <v>44733</v>
      </c>
      <c r="M236" s="12">
        <v>46558</v>
      </c>
      <c r="N236" t="s">
        <v>757</v>
      </c>
      <c r="O236" t="s">
        <v>751</v>
      </c>
      <c r="Q236" t="s">
        <v>1994</v>
      </c>
      <c r="R236" t="s">
        <v>758</v>
      </c>
      <c r="S236" t="s">
        <v>759</v>
      </c>
      <c r="T236" t="s">
        <v>760</v>
      </c>
      <c r="U236" t="s">
        <v>761</v>
      </c>
      <c r="V236">
        <f>IF(AND(SUM(IF('Consulta de contratos'!$K$1="",0,1),IF('Consulta de contratos'!$K$2="",0,1),IF('Consulta de contratos'!$K$3="",0,1),IF('Consulta de contratos'!$K$4="",0,1),IF('Consulta de contratos'!$K$5="",0,1),IF('Consulta de contratos'!$K$6="",0,1))&gt;0,OR('Consulta de contratos'!$K$1="",A236='Consulta de contratos'!$K$1),OR('Consulta de contratos'!$K$2="",I236='Consulta de contratos'!$K$2),OR('Consulta de contratos'!$K$3="",C236='Consulta de contratos'!$K$3),OR('Consulta de contratos'!$K$4="",D236='Consulta de contratos'!$K$4),OR('Consulta de contratos'!$K$5="",E236='Consulta de contratos'!$K$5),OR('Consulta de contratos'!$K$6="",IFERROR(ISNUMBER(SEARCH("|"&amp;'Consulta de contratos'!$K$6&amp;"|",AF236)),FALSE))),1,0)</f>
        <v>0</v>
      </c>
      <c r="W236">
        <f>IF(V236=1,SUM($V$2:V236),0)</f>
        <v>0</v>
      </c>
      <c r="X236" t="s">
        <v>59</v>
      </c>
      <c r="Y236" t="s">
        <v>754</v>
      </c>
      <c r="Z236" t="s">
        <v>71</v>
      </c>
      <c r="AA236" t="s">
        <v>62</v>
      </c>
      <c r="AF236" t="s">
        <v>762</v>
      </c>
    </row>
    <row r="237" spans="1:32" x14ac:dyDescent="0.35">
      <c r="A237" t="s">
        <v>457</v>
      </c>
      <c r="B237" t="s">
        <v>750</v>
      </c>
      <c r="C237" t="s">
        <v>42</v>
      </c>
      <c r="D237" t="s">
        <v>472</v>
      </c>
      <c r="E237" t="s">
        <v>751</v>
      </c>
      <c r="F237" t="s">
        <v>763</v>
      </c>
      <c r="G237" t="s">
        <v>764</v>
      </c>
      <c r="H237" t="s">
        <v>84</v>
      </c>
      <c r="I237" t="s">
        <v>765</v>
      </c>
      <c r="J237" t="s">
        <v>766</v>
      </c>
      <c r="K237" t="s">
        <v>767</v>
      </c>
      <c r="L237" s="12">
        <v>46125</v>
      </c>
      <c r="M237" s="12">
        <v>46855</v>
      </c>
      <c r="N237" t="s">
        <v>757</v>
      </c>
      <c r="O237" t="s">
        <v>751</v>
      </c>
      <c r="Q237" t="s">
        <v>768</v>
      </c>
      <c r="R237" t="s">
        <v>769</v>
      </c>
      <c r="S237" t="s">
        <v>770</v>
      </c>
      <c r="T237" t="s">
        <v>771</v>
      </c>
      <c r="U237" t="s">
        <v>772</v>
      </c>
      <c r="V237">
        <f>IF(AND(SUM(IF('Consulta de contratos'!$K$1="",0,1),IF('Consulta de contratos'!$K$2="",0,1),IF('Consulta de contratos'!$K$3="",0,1),IF('Consulta de contratos'!$K$4="",0,1),IF('Consulta de contratos'!$K$5="",0,1),IF('Consulta de contratos'!$K$6="",0,1))&gt;0,OR('Consulta de contratos'!$K$1="",A237='Consulta de contratos'!$K$1),OR('Consulta de contratos'!$K$2="",I237='Consulta de contratos'!$K$2),OR('Consulta de contratos'!$K$3="",C237='Consulta de contratos'!$K$3),OR('Consulta de contratos'!$K$4="",D237='Consulta de contratos'!$K$4),OR('Consulta de contratos'!$K$5="",E237='Consulta de contratos'!$K$5),OR('Consulta de contratos'!$K$6="",IFERROR(ISNUMBER(SEARCH("|"&amp;'Consulta de contratos'!$K$6&amp;"|",AF237)),FALSE))),1,0)</f>
        <v>0</v>
      </c>
      <c r="W237">
        <f>IF(V237=1,SUM($V$2:V237),0)</f>
        <v>0</v>
      </c>
      <c r="X237" t="s">
        <v>59</v>
      </c>
      <c r="Y237" t="s">
        <v>765</v>
      </c>
      <c r="Z237" t="s">
        <v>71</v>
      </c>
      <c r="AA237" t="s">
        <v>62</v>
      </c>
      <c r="AF237" t="s">
        <v>773</v>
      </c>
    </row>
    <row r="238" spans="1:32" x14ac:dyDescent="0.35">
      <c r="A238" t="s">
        <v>40</v>
      </c>
      <c r="B238" t="s">
        <v>774</v>
      </c>
      <c r="C238" t="s">
        <v>42</v>
      </c>
      <c r="D238" t="s">
        <v>775</v>
      </c>
      <c r="E238" t="s">
        <v>776</v>
      </c>
      <c r="F238" t="s">
        <v>777</v>
      </c>
      <c r="G238" t="s">
        <v>778</v>
      </c>
      <c r="H238" t="s">
        <v>47</v>
      </c>
      <c r="I238" t="s">
        <v>779</v>
      </c>
      <c r="J238" t="s">
        <v>780</v>
      </c>
      <c r="K238" t="s">
        <v>781</v>
      </c>
      <c r="L238" s="12">
        <v>45323</v>
      </c>
      <c r="M238" s="12">
        <v>46783</v>
      </c>
      <c r="N238" t="s">
        <v>782</v>
      </c>
      <c r="O238" t="s">
        <v>783</v>
      </c>
      <c r="Q238" t="s">
        <v>784</v>
      </c>
      <c r="R238" t="s">
        <v>785</v>
      </c>
      <c r="S238" t="s">
        <v>786</v>
      </c>
      <c r="T238" t="s">
        <v>787</v>
      </c>
      <c r="U238" t="s">
        <v>788</v>
      </c>
      <c r="V238">
        <f>IF(AND(SUM(IF('Consulta de contratos'!$K$1="",0,1),IF('Consulta de contratos'!$K$2="",0,1),IF('Consulta de contratos'!$K$3="",0,1),IF('Consulta de contratos'!$K$4="",0,1),IF('Consulta de contratos'!$K$5="",0,1),IF('Consulta de contratos'!$K$6="",0,1))&gt;0,OR('Consulta de contratos'!$K$1="",A238='Consulta de contratos'!$K$1),OR('Consulta de contratos'!$K$2="",I238='Consulta de contratos'!$K$2),OR('Consulta de contratos'!$K$3="",C238='Consulta de contratos'!$K$3),OR('Consulta de contratos'!$K$4="",D238='Consulta de contratos'!$K$4),OR('Consulta de contratos'!$K$5="",E238='Consulta de contratos'!$K$5),OR('Consulta de contratos'!$K$6="",IFERROR(ISNUMBER(SEARCH("|"&amp;'Consulta de contratos'!$K$6&amp;"|",AF238)),FALSE))),1,0)</f>
        <v>0</v>
      </c>
      <c r="W238">
        <f>IF(V238=1,SUM($V$2:V238),0)</f>
        <v>0</v>
      </c>
      <c r="X238" t="s">
        <v>59</v>
      </c>
      <c r="Y238" t="s">
        <v>491</v>
      </c>
      <c r="Z238" t="s">
        <v>789</v>
      </c>
      <c r="AA238" t="s">
        <v>62</v>
      </c>
      <c r="AF238" t="s">
        <v>493</v>
      </c>
    </row>
    <row r="239" spans="1:32" x14ac:dyDescent="0.35">
      <c r="A239" t="s">
        <v>116</v>
      </c>
      <c r="B239" t="s">
        <v>774</v>
      </c>
      <c r="C239" t="s">
        <v>42</v>
      </c>
      <c r="D239" t="s">
        <v>775</v>
      </c>
      <c r="E239" t="s">
        <v>776</v>
      </c>
      <c r="F239" t="s">
        <v>777</v>
      </c>
      <c r="G239" t="s">
        <v>778</v>
      </c>
      <c r="H239" t="s">
        <v>47</v>
      </c>
      <c r="I239" t="s">
        <v>779</v>
      </c>
      <c r="J239" t="s">
        <v>780</v>
      </c>
      <c r="K239" t="s">
        <v>781</v>
      </c>
      <c r="L239" s="12">
        <v>45323</v>
      </c>
      <c r="M239" s="12">
        <v>46783</v>
      </c>
      <c r="N239" t="s">
        <v>782</v>
      </c>
      <c r="O239" t="s">
        <v>783</v>
      </c>
      <c r="Q239" t="s">
        <v>784</v>
      </c>
      <c r="R239" t="s">
        <v>785</v>
      </c>
      <c r="S239" t="s">
        <v>786</v>
      </c>
      <c r="T239" t="s">
        <v>790</v>
      </c>
      <c r="U239" t="s">
        <v>788</v>
      </c>
      <c r="V239">
        <f>IF(AND(SUM(IF('Consulta de contratos'!$K$1="",0,1),IF('Consulta de contratos'!$K$2="",0,1),IF('Consulta de contratos'!$K$3="",0,1),IF('Consulta de contratos'!$K$4="",0,1),IF('Consulta de contratos'!$K$5="",0,1),IF('Consulta de contratos'!$K$6="",0,1))&gt;0,OR('Consulta de contratos'!$K$1="",A239='Consulta de contratos'!$K$1),OR('Consulta de contratos'!$K$2="",I239='Consulta de contratos'!$K$2),OR('Consulta de contratos'!$K$3="",C239='Consulta de contratos'!$K$3),OR('Consulta de contratos'!$K$4="",D239='Consulta de contratos'!$K$4),OR('Consulta de contratos'!$K$5="",E239='Consulta de contratos'!$K$5),OR('Consulta de contratos'!$K$6="",IFERROR(ISNUMBER(SEARCH("|"&amp;'Consulta de contratos'!$K$6&amp;"|",AF239)),FALSE))),1,0)</f>
        <v>0</v>
      </c>
      <c r="W239">
        <f>IF(V239=1,SUM($V$2:V239),0)</f>
        <v>0</v>
      </c>
      <c r="X239" t="s">
        <v>59</v>
      </c>
      <c r="Y239" t="s">
        <v>491</v>
      </c>
      <c r="Z239" t="s">
        <v>789</v>
      </c>
      <c r="AA239" t="s">
        <v>62</v>
      </c>
      <c r="AF239" t="s">
        <v>493</v>
      </c>
    </row>
    <row r="240" spans="1:32" x14ac:dyDescent="0.35">
      <c r="A240" t="s">
        <v>123</v>
      </c>
      <c r="B240" t="s">
        <v>774</v>
      </c>
      <c r="C240" t="s">
        <v>42</v>
      </c>
      <c r="D240" t="s">
        <v>775</v>
      </c>
      <c r="E240" t="s">
        <v>776</v>
      </c>
      <c r="F240" t="s">
        <v>777</v>
      </c>
      <c r="G240" t="s">
        <v>778</v>
      </c>
      <c r="H240" t="s">
        <v>47</v>
      </c>
      <c r="I240" t="s">
        <v>779</v>
      </c>
      <c r="J240" t="s">
        <v>780</v>
      </c>
      <c r="K240" t="s">
        <v>781</v>
      </c>
      <c r="L240" s="12">
        <v>45323</v>
      </c>
      <c r="M240" s="12">
        <v>46783</v>
      </c>
      <c r="N240" t="s">
        <v>782</v>
      </c>
      <c r="O240" t="s">
        <v>783</v>
      </c>
      <c r="Q240" t="s">
        <v>784</v>
      </c>
      <c r="R240" t="s">
        <v>785</v>
      </c>
      <c r="S240" t="s">
        <v>786</v>
      </c>
      <c r="T240" t="s">
        <v>791</v>
      </c>
      <c r="U240" t="s">
        <v>788</v>
      </c>
      <c r="V240">
        <f>IF(AND(SUM(IF('Consulta de contratos'!$K$1="",0,1),IF('Consulta de contratos'!$K$2="",0,1),IF('Consulta de contratos'!$K$3="",0,1),IF('Consulta de contratos'!$K$4="",0,1),IF('Consulta de contratos'!$K$5="",0,1),IF('Consulta de contratos'!$K$6="",0,1))&gt;0,OR('Consulta de contratos'!$K$1="",A240='Consulta de contratos'!$K$1),OR('Consulta de contratos'!$K$2="",I240='Consulta de contratos'!$K$2),OR('Consulta de contratos'!$K$3="",C240='Consulta de contratos'!$K$3),OR('Consulta de contratos'!$K$4="",D240='Consulta de contratos'!$K$4),OR('Consulta de contratos'!$K$5="",E240='Consulta de contratos'!$K$5),OR('Consulta de contratos'!$K$6="",IFERROR(ISNUMBER(SEARCH("|"&amp;'Consulta de contratos'!$K$6&amp;"|",AF240)),FALSE))),1,0)</f>
        <v>0</v>
      </c>
      <c r="W240">
        <f>IF(V240=1,SUM($V$2:V240),0)</f>
        <v>0</v>
      </c>
      <c r="X240" t="s">
        <v>59</v>
      </c>
      <c r="Y240" t="s">
        <v>491</v>
      </c>
      <c r="Z240" t="s">
        <v>789</v>
      </c>
      <c r="AA240" t="s">
        <v>62</v>
      </c>
      <c r="AF240" t="s">
        <v>493</v>
      </c>
    </row>
    <row r="241" spans="1:32" x14ac:dyDescent="0.35">
      <c r="A241" t="s">
        <v>135</v>
      </c>
      <c r="B241" t="s">
        <v>774</v>
      </c>
      <c r="C241" t="s">
        <v>42</v>
      </c>
      <c r="D241" t="s">
        <v>775</v>
      </c>
      <c r="E241" t="s">
        <v>776</v>
      </c>
      <c r="F241" t="s">
        <v>777</v>
      </c>
      <c r="G241" t="s">
        <v>778</v>
      </c>
      <c r="H241" t="s">
        <v>47</v>
      </c>
      <c r="I241" t="s">
        <v>779</v>
      </c>
      <c r="J241" t="s">
        <v>780</v>
      </c>
      <c r="K241" t="s">
        <v>781</v>
      </c>
      <c r="L241" s="12">
        <v>45323</v>
      </c>
      <c r="M241" s="12">
        <v>46783</v>
      </c>
      <c r="N241" t="s">
        <v>782</v>
      </c>
      <c r="O241" t="s">
        <v>783</v>
      </c>
      <c r="Q241" t="s">
        <v>784</v>
      </c>
      <c r="R241" t="s">
        <v>785</v>
      </c>
      <c r="S241" t="s">
        <v>786</v>
      </c>
      <c r="T241" t="s">
        <v>792</v>
      </c>
      <c r="U241" t="s">
        <v>788</v>
      </c>
      <c r="V241">
        <f>IF(AND(SUM(IF('Consulta de contratos'!$K$1="",0,1),IF('Consulta de contratos'!$K$2="",0,1),IF('Consulta de contratos'!$K$3="",0,1),IF('Consulta de contratos'!$K$4="",0,1),IF('Consulta de contratos'!$K$5="",0,1),IF('Consulta de contratos'!$K$6="",0,1))&gt;0,OR('Consulta de contratos'!$K$1="",A241='Consulta de contratos'!$K$1),OR('Consulta de contratos'!$K$2="",I241='Consulta de contratos'!$K$2),OR('Consulta de contratos'!$K$3="",C241='Consulta de contratos'!$K$3),OR('Consulta de contratos'!$K$4="",D241='Consulta de contratos'!$K$4),OR('Consulta de contratos'!$K$5="",E241='Consulta de contratos'!$K$5),OR('Consulta de contratos'!$K$6="",IFERROR(ISNUMBER(SEARCH("|"&amp;'Consulta de contratos'!$K$6&amp;"|",AF241)),FALSE))),1,0)</f>
        <v>0</v>
      </c>
      <c r="W241">
        <f>IF(V241=1,SUM($V$2:V241),0)</f>
        <v>0</v>
      </c>
      <c r="X241" t="s">
        <v>59</v>
      </c>
      <c r="Y241" t="s">
        <v>491</v>
      </c>
      <c r="Z241" t="s">
        <v>789</v>
      </c>
      <c r="AA241" t="s">
        <v>62</v>
      </c>
      <c r="AF241" t="s">
        <v>493</v>
      </c>
    </row>
    <row r="242" spans="1:32" x14ac:dyDescent="0.35">
      <c r="A242" t="s">
        <v>142</v>
      </c>
      <c r="B242" t="s">
        <v>774</v>
      </c>
      <c r="C242" t="s">
        <v>42</v>
      </c>
      <c r="D242" t="s">
        <v>775</v>
      </c>
      <c r="E242" t="s">
        <v>776</v>
      </c>
      <c r="F242" t="s">
        <v>777</v>
      </c>
      <c r="G242" t="s">
        <v>778</v>
      </c>
      <c r="H242" t="s">
        <v>47</v>
      </c>
      <c r="I242" t="s">
        <v>779</v>
      </c>
      <c r="J242" t="s">
        <v>780</v>
      </c>
      <c r="K242" t="s">
        <v>781</v>
      </c>
      <c r="L242" s="12">
        <v>45323</v>
      </c>
      <c r="M242" s="12">
        <v>46783</v>
      </c>
      <c r="N242" t="s">
        <v>782</v>
      </c>
      <c r="O242" t="s">
        <v>783</v>
      </c>
      <c r="Q242" t="s">
        <v>784</v>
      </c>
      <c r="R242" t="s">
        <v>785</v>
      </c>
      <c r="S242" t="s">
        <v>786</v>
      </c>
      <c r="T242" t="s">
        <v>793</v>
      </c>
      <c r="U242" t="s">
        <v>788</v>
      </c>
      <c r="V242">
        <f>IF(AND(SUM(IF('Consulta de contratos'!$K$1="",0,1),IF('Consulta de contratos'!$K$2="",0,1),IF('Consulta de contratos'!$K$3="",0,1),IF('Consulta de contratos'!$K$4="",0,1),IF('Consulta de contratos'!$K$5="",0,1),IF('Consulta de contratos'!$K$6="",0,1))&gt;0,OR('Consulta de contratos'!$K$1="",A242='Consulta de contratos'!$K$1),OR('Consulta de contratos'!$K$2="",I242='Consulta de contratos'!$K$2),OR('Consulta de contratos'!$K$3="",C242='Consulta de contratos'!$K$3),OR('Consulta de contratos'!$K$4="",D242='Consulta de contratos'!$K$4),OR('Consulta de contratos'!$K$5="",E242='Consulta de contratos'!$K$5),OR('Consulta de contratos'!$K$6="",IFERROR(ISNUMBER(SEARCH("|"&amp;'Consulta de contratos'!$K$6&amp;"|",AF242)),FALSE))),1,0)</f>
        <v>0</v>
      </c>
      <c r="W242">
        <f>IF(V242=1,SUM($V$2:V242),0)</f>
        <v>0</v>
      </c>
      <c r="X242" t="s">
        <v>59</v>
      </c>
      <c r="Y242" t="s">
        <v>491</v>
      </c>
      <c r="Z242" t="s">
        <v>789</v>
      </c>
      <c r="AA242" t="s">
        <v>62</v>
      </c>
      <c r="AF242" t="s">
        <v>493</v>
      </c>
    </row>
    <row r="243" spans="1:32" x14ac:dyDescent="0.35">
      <c r="A243" t="s">
        <v>149</v>
      </c>
      <c r="B243" t="s">
        <v>774</v>
      </c>
      <c r="C243" t="s">
        <v>42</v>
      </c>
      <c r="D243" t="s">
        <v>775</v>
      </c>
      <c r="E243" t="s">
        <v>776</v>
      </c>
      <c r="F243" t="s">
        <v>777</v>
      </c>
      <c r="G243" t="s">
        <v>778</v>
      </c>
      <c r="H243" t="s">
        <v>47</v>
      </c>
      <c r="I243" t="s">
        <v>779</v>
      </c>
      <c r="J243" t="s">
        <v>780</v>
      </c>
      <c r="K243" t="s">
        <v>781</v>
      </c>
      <c r="L243" s="12">
        <v>45323</v>
      </c>
      <c r="M243" s="12">
        <v>46783</v>
      </c>
      <c r="N243" t="s">
        <v>782</v>
      </c>
      <c r="O243" t="s">
        <v>783</v>
      </c>
      <c r="Q243" t="s">
        <v>784</v>
      </c>
      <c r="R243" t="s">
        <v>785</v>
      </c>
      <c r="S243" t="s">
        <v>786</v>
      </c>
      <c r="T243" t="s">
        <v>794</v>
      </c>
      <c r="U243" t="s">
        <v>788</v>
      </c>
      <c r="V243">
        <f>IF(AND(SUM(IF('Consulta de contratos'!$K$1="",0,1),IF('Consulta de contratos'!$K$2="",0,1),IF('Consulta de contratos'!$K$3="",0,1),IF('Consulta de contratos'!$K$4="",0,1),IF('Consulta de contratos'!$K$5="",0,1),IF('Consulta de contratos'!$K$6="",0,1))&gt;0,OR('Consulta de contratos'!$K$1="",A243='Consulta de contratos'!$K$1),OR('Consulta de contratos'!$K$2="",I243='Consulta de contratos'!$K$2),OR('Consulta de contratos'!$K$3="",C243='Consulta de contratos'!$K$3),OR('Consulta de contratos'!$K$4="",D243='Consulta de contratos'!$K$4),OR('Consulta de contratos'!$K$5="",E243='Consulta de contratos'!$K$5),OR('Consulta de contratos'!$K$6="",IFERROR(ISNUMBER(SEARCH("|"&amp;'Consulta de contratos'!$K$6&amp;"|",AF243)),FALSE))),1,0)</f>
        <v>0</v>
      </c>
      <c r="W243">
        <f>IF(V243=1,SUM($V$2:V243),0)</f>
        <v>0</v>
      </c>
      <c r="X243" t="s">
        <v>59</v>
      </c>
      <c r="Y243" t="s">
        <v>491</v>
      </c>
      <c r="Z243" t="s">
        <v>789</v>
      </c>
      <c r="AA243" t="s">
        <v>62</v>
      </c>
      <c r="AF243" t="s">
        <v>493</v>
      </c>
    </row>
    <row r="244" spans="1:32" x14ac:dyDescent="0.35">
      <c r="A244" t="s">
        <v>156</v>
      </c>
      <c r="B244" t="s">
        <v>774</v>
      </c>
      <c r="C244" t="s">
        <v>42</v>
      </c>
      <c r="D244" t="s">
        <v>775</v>
      </c>
      <c r="E244" t="s">
        <v>776</v>
      </c>
      <c r="F244" t="s">
        <v>777</v>
      </c>
      <c r="G244" t="s">
        <v>778</v>
      </c>
      <c r="H244" t="s">
        <v>47</v>
      </c>
      <c r="I244" t="s">
        <v>779</v>
      </c>
      <c r="J244" t="s">
        <v>780</v>
      </c>
      <c r="K244" t="s">
        <v>781</v>
      </c>
      <c r="L244" s="12">
        <v>45323</v>
      </c>
      <c r="M244" s="12">
        <v>46783</v>
      </c>
      <c r="N244" t="s">
        <v>782</v>
      </c>
      <c r="O244" t="s">
        <v>783</v>
      </c>
      <c r="Q244" t="s">
        <v>784</v>
      </c>
      <c r="R244" t="s">
        <v>785</v>
      </c>
      <c r="S244" t="s">
        <v>786</v>
      </c>
      <c r="T244" t="s">
        <v>795</v>
      </c>
      <c r="U244" t="s">
        <v>788</v>
      </c>
      <c r="V244">
        <f>IF(AND(SUM(IF('Consulta de contratos'!$K$1="",0,1),IF('Consulta de contratos'!$K$2="",0,1),IF('Consulta de contratos'!$K$3="",0,1),IF('Consulta de contratos'!$K$4="",0,1),IF('Consulta de contratos'!$K$5="",0,1),IF('Consulta de contratos'!$K$6="",0,1))&gt;0,OR('Consulta de contratos'!$K$1="",A244='Consulta de contratos'!$K$1),OR('Consulta de contratos'!$K$2="",I244='Consulta de contratos'!$K$2),OR('Consulta de contratos'!$K$3="",C244='Consulta de contratos'!$K$3),OR('Consulta de contratos'!$K$4="",D244='Consulta de contratos'!$K$4),OR('Consulta de contratos'!$K$5="",E244='Consulta de contratos'!$K$5),OR('Consulta de contratos'!$K$6="",IFERROR(ISNUMBER(SEARCH("|"&amp;'Consulta de contratos'!$K$6&amp;"|",AF244)),FALSE))),1,0)</f>
        <v>0</v>
      </c>
      <c r="W244">
        <f>IF(V244=1,SUM($V$2:V244),0)</f>
        <v>0</v>
      </c>
      <c r="X244" t="s">
        <v>59</v>
      </c>
      <c r="Y244" t="s">
        <v>491</v>
      </c>
      <c r="Z244" t="s">
        <v>789</v>
      </c>
      <c r="AA244" t="s">
        <v>62</v>
      </c>
      <c r="AF244" t="s">
        <v>493</v>
      </c>
    </row>
    <row r="245" spans="1:32" x14ac:dyDescent="0.35">
      <c r="A245" t="s">
        <v>163</v>
      </c>
      <c r="B245" t="s">
        <v>774</v>
      </c>
      <c r="C245" t="s">
        <v>42</v>
      </c>
      <c r="D245" t="s">
        <v>775</v>
      </c>
      <c r="E245" t="s">
        <v>776</v>
      </c>
      <c r="F245" t="s">
        <v>777</v>
      </c>
      <c r="G245" t="s">
        <v>778</v>
      </c>
      <c r="H245" t="s">
        <v>47</v>
      </c>
      <c r="I245" t="s">
        <v>779</v>
      </c>
      <c r="J245" t="s">
        <v>780</v>
      </c>
      <c r="K245" t="s">
        <v>781</v>
      </c>
      <c r="L245" s="12">
        <v>45323</v>
      </c>
      <c r="M245" s="12">
        <v>46783</v>
      </c>
      <c r="N245" t="s">
        <v>782</v>
      </c>
      <c r="O245" t="s">
        <v>783</v>
      </c>
      <c r="Q245" t="s">
        <v>784</v>
      </c>
      <c r="R245" t="s">
        <v>785</v>
      </c>
      <c r="S245" t="s">
        <v>786</v>
      </c>
      <c r="T245" t="s">
        <v>796</v>
      </c>
      <c r="U245" t="s">
        <v>788</v>
      </c>
      <c r="V245">
        <f>IF(AND(SUM(IF('Consulta de contratos'!$K$1="",0,1),IF('Consulta de contratos'!$K$2="",0,1),IF('Consulta de contratos'!$K$3="",0,1),IF('Consulta de contratos'!$K$4="",0,1),IF('Consulta de contratos'!$K$5="",0,1),IF('Consulta de contratos'!$K$6="",0,1))&gt;0,OR('Consulta de contratos'!$K$1="",A245='Consulta de contratos'!$K$1),OR('Consulta de contratos'!$K$2="",I245='Consulta de contratos'!$K$2),OR('Consulta de contratos'!$K$3="",C245='Consulta de contratos'!$K$3),OR('Consulta de contratos'!$K$4="",D245='Consulta de contratos'!$K$4),OR('Consulta de contratos'!$K$5="",E245='Consulta de contratos'!$K$5),OR('Consulta de contratos'!$K$6="",IFERROR(ISNUMBER(SEARCH("|"&amp;'Consulta de contratos'!$K$6&amp;"|",AF245)),FALSE))),1,0)</f>
        <v>0</v>
      </c>
      <c r="W245">
        <f>IF(V245=1,SUM($V$2:V245),0)</f>
        <v>0</v>
      </c>
      <c r="X245" t="s">
        <v>59</v>
      </c>
      <c r="Y245" t="s">
        <v>491</v>
      </c>
      <c r="Z245" t="s">
        <v>789</v>
      </c>
      <c r="AA245" t="s">
        <v>62</v>
      </c>
      <c r="AF245" t="s">
        <v>493</v>
      </c>
    </row>
    <row r="246" spans="1:32" x14ac:dyDescent="0.35">
      <c r="A246" t="s">
        <v>170</v>
      </c>
      <c r="B246" t="s">
        <v>774</v>
      </c>
      <c r="C246" t="s">
        <v>42</v>
      </c>
      <c r="D246" t="s">
        <v>775</v>
      </c>
      <c r="E246" t="s">
        <v>776</v>
      </c>
      <c r="F246" t="s">
        <v>777</v>
      </c>
      <c r="G246" t="s">
        <v>778</v>
      </c>
      <c r="H246" t="s">
        <v>47</v>
      </c>
      <c r="I246" t="s">
        <v>779</v>
      </c>
      <c r="J246" t="s">
        <v>780</v>
      </c>
      <c r="K246" t="s">
        <v>781</v>
      </c>
      <c r="L246" s="12">
        <v>45323</v>
      </c>
      <c r="M246" s="12">
        <v>46783</v>
      </c>
      <c r="N246" t="s">
        <v>782</v>
      </c>
      <c r="O246" t="s">
        <v>783</v>
      </c>
      <c r="Q246" t="s">
        <v>784</v>
      </c>
      <c r="R246" t="s">
        <v>785</v>
      </c>
      <c r="S246" t="s">
        <v>786</v>
      </c>
      <c r="T246" t="s">
        <v>797</v>
      </c>
      <c r="U246" t="s">
        <v>788</v>
      </c>
      <c r="V246">
        <f>IF(AND(SUM(IF('Consulta de contratos'!$K$1="",0,1),IF('Consulta de contratos'!$K$2="",0,1),IF('Consulta de contratos'!$K$3="",0,1),IF('Consulta de contratos'!$K$4="",0,1),IF('Consulta de contratos'!$K$5="",0,1),IF('Consulta de contratos'!$K$6="",0,1))&gt;0,OR('Consulta de contratos'!$K$1="",A246='Consulta de contratos'!$K$1),OR('Consulta de contratos'!$K$2="",I246='Consulta de contratos'!$K$2),OR('Consulta de contratos'!$K$3="",C246='Consulta de contratos'!$K$3),OR('Consulta de contratos'!$K$4="",D246='Consulta de contratos'!$K$4),OR('Consulta de contratos'!$K$5="",E246='Consulta de contratos'!$K$5),OR('Consulta de contratos'!$K$6="",IFERROR(ISNUMBER(SEARCH("|"&amp;'Consulta de contratos'!$K$6&amp;"|",AF246)),FALSE))),1,0)</f>
        <v>0</v>
      </c>
      <c r="W246">
        <f>IF(V246=1,SUM($V$2:V246),0)</f>
        <v>0</v>
      </c>
      <c r="X246" t="s">
        <v>59</v>
      </c>
      <c r="Y246" t="s">
        <v>491</v>
      </c>
      <c r="Z246" t="s">
        <v>789</v>
      </c>
      <c r="AA246" t="s">
        <v>62</v>
      </c>
      <c r="AF246" t="s">
        <v>493</v>
      </c>
    </row>
    <row r="247" spans="1:32" x14ac:dyDescent="0.35">
      <c r="A247" t="s">
        <v>163</v>
      </c>
      <c r="B247" t="s">
        <v>774</v>
      </c>
      <c r="C247" t="s">
        <v>42</v>
      </c>
      <c r="D247" t="s">
        <v>775</v>
      </c>
      <c r="E247" t="s">
        <v>776</v>
      </c>
      <c r="F247" t="s">
        <v>777</v>
      </c>
      <c r="G247" t="s">
        <v>778</v>
      </c>
      <c r="H247" t="s">
        <v>124</v>
      </c>
      <c r="I247" t="s">
        <v>798</v>
      </c>
      <c r="J247" t="s">
        <v>799</v>
      </c>
      <c r="K247" t="s">
        <v>800</v>
      </c>
      <c r="L247" s="12">
        <v>45323</v>
      </c>
      <c r="M247" s="12">
        <v>46783</v>
      </c>
      <c r="N247" t="s">
        <v>782</v>
      </c>
      <c r="O247" t="s">
        <v>783</v>
      </c>
      <c r="Q247" t="s">
        <v>801</v>
      </c>
      <c r="R247" t="s">
        <v>785</v>
      </c>
      <c r="S247" t="s">
        <v>786</v>
      </c>
      <c r="T247" t="s">
        <v>802</v>
      </c>
      <c r="U247" t="s">
        <v>803</v>
      </c>
      <c r="V247">
        <f>IF(AND(SUM(IF('Consulta de contratos'!$K$1="",0,1),IF('Consulta de contratos'!$K$2="",0,1),IF('Consulta de contratos'!$K$3="",0,1),IF('Consulta de contratos'!$K$4="",0,1),IF('Consulta de contratos'!$K$5="",0,1),IF('Consulta de contratos'!$K$6="",0,1))&gt;0,OR('Consulta de contratos'!$K$1="",A247='Consulta de contratos'!$K$1),OR('Consulta de contratos'!$K$2="",I247='Consulta de contratos'!$K$2),OR('Consulta de contratos'!$K$3="",C247='Consulta de contratos'!$K$3),OR('Consulta de contratos'!$K$4="",D247='Consulta de contratos'!$K$4),OR('Consulta de contratos'!$K$5="",E247='Consulta de contratos'!$K$5),OR('Consulta de contratos'!$K$6="",IFERROR(ISNUMBER(SEARCH("|"&amp;'Consulta de contratos'!$K$6&amp;"|",AF247)),FALSE))),1,0)</f>
        <v>0</v>
      </c>
      <c r="W247">
        <f>IF(V247=1,SUM($V$2:V247),0)</f>
        <v>0</v>
      </c>
      <c r="X247" t="s">
        <v>59</v>
      </c>
      <c r="Y247" t="s">
        <v>804</v>
      </c>
      <c r="Z247" t="s">
        <v>61</v>
      </c>
      <c r="AA247" t="s">
        <v>62</v>
      </c>
      <c r="AF247" t="s">
        <v>805</v>
      </c>
    </row>
    <row r="248" spans="1:32" x14ac:dyDescent="0.35">
      <c r="A248" t="s">
        <v>170</v>
      </c>
      <c r="B248" t="s">
        <v>774</v>
      </c>
      <c r="C248" t="s">
        <v>42</v>
      </c>
      <c r="D248" t="s">
        <v>775</v>
      </c>
      <c r="E248" t="s">
        <v>776</v>
      </c>
      <c r="F248" t="s">
        <v>777</v>
      </c>
      <c r="G248" t="s">
        <v>778</v>
      </c>
      <c r="H248" t="s">
        <v>124</v>
      </c>
      <c r="I248" t="s">
        <v>798</v>
      </c>
      <c r="J248" t="s">
        <v>799</v>
      </c>
      <c r="K248" t="s">
        <v>800</v>
      </c>
      <c r="L248" s="12">
        <v>45323</v>
      </c>
      <c r="M248" s="12">
        <v>46783</v>
      </c>
      <c r="N248" t="s">
        <v>782</v>
      </c>
      <c r="O248" t="s">
        <v>783</v>
      </c>
      <c r="Q248" t="s">
        <v>801</v>
      </c>
      <c r="R248" t="s">
        <v>785</v>
      </c>
      <c r="S248" t="s">
        <v>786</v>
      </c>
      <c r="T248" t="s">
        <v>806</v>
      </c>
      <c r="U248" t="s">
        <v>803</v>
      </c>
      <c r="V248">
        <f>IF(AND(SUM(IF('Consulta de contratos'!$K$1="",0,1),IF('Consulta de contratos'!$K$2="",0,1),IF('Consulta de contratos'!$K$3="",0,1),IF('Consulta de contratos'!$K$4="",0,1),IF('Consulta de contratos'!$K$5="",0,1),IF('Consulta de contratos'!$K$6="",0,1))&gt;0,OR('Consulta de contratos'!$K$1="",A248='Consulta de contratos'!$K$1),OR('Consulta de contratos'!$K$2="",I248='Consulta de contratos'!$K$2),OR('Consulta de contratos'!$K$3="",C248='Consulta de contratos'!$K$3),OR('Consulta de contratos'!$K$4="",D248='Consulta de contratos'!$K$4),OR('Consulta de contratos'!$K$5="",E248='Consulta de contratos'!$K$5),OR('Consulta de contratos'!$K$6="",IFERROR(ISNUMBER(SEARCH("|"&amp;'Consulta de contratos'!$K$6&amp;"|",AF248)),FALSE))),1,0)</f>
        <v>0</v>
      </c>
      <c r="W248">
        <f>IF(V248=1,SUM($V$2:V248),0)</f>
        <v>0</v>
      </c>
      <c r="X248" t="s">
        <v>59</v>
      </c>
      <c r="Y248" t="s">
        <v>804</v>
      </c>
      <c r="Z248" t="s">
        <v>61</v>
      </c>
      <c r="AA248" t="s">
        <v>62</v>
      </c>
      <c r="AF248" t="s">
        <v>805</v>
      </c>
    </row>
    <row r="249" spans="1:32" x14ac:dyDescent="0.35">
      <c r="A249" t="s">
        <v>177</v>
      </c>
      <c r="B249" t="s">
        <v>774</v>
      </c>
      <c r="C249" t="s">
        <v>42</v>
      </c>
      <c r="D249" t="s">
        <v>775</v>
      </c>
      <c r="E249" t="s">
        <v>776</v>
      </c>
      <c r="F249" t="s">
        <v>777</v>
      </c>
      <c r="G249" t="s">
        <v>778</v>
      </c>
      <c r="H249" t="s">
        <v>124</v>
      </c>
      <c r="I249" t="s">
        <v>798</v>
      </c>
      <c r="J249" t="s">
        <v>799</v>
      </c>
      <c r="K249" t="s">
        <v>800</v>
      </c>
      <c r="L249" s="12">
        <v>45323</v>
      </c>
      <c r="M249" s="12">
        <v>46783</v>
      </c>
      <c r="N249" t="s">
        <v>782</v>
      </c>
      <c r="O249" t="s">
        <v>783</v>
      </c>
      <c r="Q249" t="s">
        <v>801</v>
      </c>
      <c r="R249" t="s">
        <v>785</v>
      </c>
      <c r="S249" t="s">
        <v>786</v>
      </c>
      <c r="T249" t="s">
        <v>807</v>
      </c>
      <c r="U249" t="s">
        <v>803</v>
      </c>
      <c r="V249">
        <f>IF(AND(SUM(IF('Consulta de contratos'!$K$1="",0,1),IF('Consulta de contratos'!$K$2="",0,1),IF('Consulta de contratos'!$K$3="",0,1),IF('Consulta de contratos'!$K$4="",0,1),IF('Consulta de contratos'!$K$5="",0,1),IF('Consulta de contratos'!$K$6="",0,1))&gt;0,OR('Consulta de contratos'!$K$1="",A249='Consulta de contratos'!$K$1),OR('Consulta de contratos'!$K$2="",I249='Consulta de contratos'!$K$2),OR('Consulta de contratos'!$K$3="",C249='Consulta de contratos'!$K$3),OR('Consulta de contratos'!$K$4="",D249='Consulta de contratos'!$K$4),OR('Consulta de contratos'!$K$5="",E249='Consulta de contratos'!$K$5),OR('Consulta de contratos'!$K$6="",IFERROR(ISNUMBER(SEARCH("|"&amp;'Consulta de contratos'!$K$6&amp;"|",AF249)),FALSE))),1,0)</f>
        <v>0</v>
      </c>
      <c r="W249">
        <f>IF(V249=1,SUM($V$2:V249),0)</f>
        <v>0</v>
      </c>
      <c r="X249" t="s">
        <v>59</v>
      </c>
      <c r="Y249" t="s">
        <v>804</v>
      </c>
      <c r="Z249" t="s">
        <v>61</v>
      </c>
      <c r="AA249" t="s">
        <v>62</v>
      </c>
      <c r="AF249" t="s">
        <v>805</v>
      </c>
    </row>
    <row r="250" spans="1:32" x14ac:dyDescent="0.35">
      <c r="A250" t="s">
        <v>184</v>
      </c>
      <c r="B250" t="s">
        <v>774</v>
      </c>
      <c r="C250" t="s">
        <v>42</v>
      </c>
      <c r="D250" t="s">
        <v>775</v>
      </c>
      <c r="E250" t="s">
        <v>776</v>
      </c>
      <c r="F250" t="s">
        <v>777</v>
      </c>
      <c r="G250" t="s">
        <v>778</v>
      </c>
      <c r="H250" t="s">
        <v>124</v>
      </c>
      <c r="I250" t="s">
        <v>798</v>
      </c>
      <c r="J250" t="s">
        <v>799</v>
      </c>
      <c r="K250" t="s">
        <v>800</v>
      </c>
      <c r="L250" s="12">
        <v>45323</v>
      </c>
      <c r="M250" s="12">
        <v>46783</v>
      </c>
      <c r="N250" t="s">
        <v>782</v>
      </c>
      <c r="O250" t="s">
        <v>783</v>
      </c>
      <c r="Q250" t="s">
        <v>801</v>
      </c>
      <c r="R250" t="s">
        <v>785</v>
      </c>
      <c r="S250" t="s">
        <v>786</v>
      </c>
      <c r="T250" t="s">
        <v>808</v>
      </c>
      <c r="U250" t="s">
        <v>803</v>
      </c>
      <c r="V250">
        <f>IF(AND(SUM(IF('Consulta de contratos'!$K$1="",0,1),IF('Consulta de contratos'!$K$2="",0,1),IF('Consulta de contratos'!$K$3="",0,1),IF('Consulta de contratos'!$K$4="",0,1),IF('Consulta de contratos'!$K$5="",0,1),IF('Consulta de contratos'!$K$6="",0,1))&gt;0,OR('Consulta de contratos'!$K$1="",A250='Consulta de contratos'!$K$1),OR('Consulta de contratos'!$K$2="",I250='Consulta de contratos'!$K$2),OR('Consulta de contratos'!$K$3="",C250='Consulta de contratos'!$K$3),OR('Consulta de contratos'!$K$4="",D250='Consulta de contratos'!$K$4),OR('Consulta de contratos'!$K$5="",E250='Consulta de contratos'!$K$5),OR('Consulta de contratos'!$K$6="",IFERROR(ISNUMBER(SEARCH("|"&amp;'Consulta de contratos'!$K$6&amp;"|",AF250)),FALSE))),1,0)</f>
        <v>0</v>
      </c>
      <c r="W250">
        <f>IF(V250=1,SUM($V$2:V250),0)</f>
        <v>0</v>
      </c>
      <c r="X250" t="s">
        <v>59</v>
      </c>
      <c r="Y250" t="s">
        <v>804</v>
      </c>
      <c r="Z250" t="s">
        <v>61</v>
      </c>
      <c r="AA250" t="s">
        <v>62</v>
      </c>
      <c r="AF250" t="s">
        <v>805</v>
      </c>
    </row>
    <row r="251" spans="1:32" x14ac:dyDescent="0.35">
      <c r="A251" t="s">
        <v>191</v>
      </c>
      <c r="B251" t="s">
        <v>774</v>
      </c>
      <c r="C251" t="s">
        <v>42</v>
      </c>
      <c r="D251" t="s">
        <v>775</v>
      </c>
      <c r="E251" t="s">
        <v>776</v>
      </c>
      <c r="F251" t="s">
        <v>777</v>
      </c>
      <c r="G251" t="s">
        <v>778</v>
      </c>
      <c r="H251" t="s">
        <v>124</v>
      </c>
      <c r="I251" t="s">
        <v>798</v>
      </c>
      <c r="J251" t="s">
        <v>799</v>
      </c>
      <c r="K251" t="s">
        <v>800</v>
      </c>
      <c r="L251" s="12">
        <v>45323</v>
      </c>
      <c r="M251" s="12">
        <v>46783</v>
      </c>
      <c r="N251" t="s">
        <v>782</v>
      </c>
      <c r="O251" t="s">
        <v>783</v>
      </c>
      <c r="Q251" t="s">
        <v>801</v>
      </c>
      <c r="R251" t="s">
        <v>785</v>
      </c>
      <c r="S251" t="s">
        <v>786</v>
      </c>
      <c r="T251" t="s">
        <v>809</v>
      </c>
      <c r="U251" t="s">
        <v>803</v>
      </c>
      <c r="V251">
        <f>IF(AND(SUM(IF('Consulta de contratos'!$K$1="",0,1),IF('Consulta de contratos'!$K$2="",0,1),IF('Consulta de contratos'!$K$3="",0,1),IF('Consulta de contratos'!$K$4="",0,1),IF('Consulta de contratos'!$K$5="",0,1),IF('Consulta de contratos'!$K$6="",0,1))&gt;0,OR('Consulta de contratos'!$K$1="",A251='Consulta de contratos'!$K$1),OR('Consulta de contratos'!$K$2="",I251='Consulta de contratos'!$K$2),OR('Consulta de contratos'!$K$3="",C251='Consulta de contratos'!$K$3),OR('Consulta de contratos'!$K$4="",D251='Consulta de contratos'!$K$4),OR('Consulta de contratos'!$K$5="",E251='Consulta de contratos'!$K$5),OR('Consulta de contratos'!$K$6="",IFERROR(ISNUMBER(SEARCH("|"&amp;'Consulta de contratos'!$K$6&amp;"|",AF251)),FALSE))),1,0)</f>
        <v>0</v>
      </c>
      <c r="W251">
        <f>IF(V251=1,SUM($V$2:V251),0)</f>
        <v>0</v>
      </c>
      <c r="X251" t="s">
        <v>59</v>
      </c>
      <c r="Y251" t="s">
        <v>804</v>
      </c>
      <c r="Z251" t="s">
        <v>61</v>
      </c>
      <c r="AA251" t="s">
        <v>62</v>
      </c>
      <c r="AF251" t="s">
        <v>805</v>
      </c>
    </row>
    <row r="252" spans="1:32" x14ac:dyDescent="0.35">
      <c r="A252" t="s">
        <v>226</v>
      </c>
      <c r="B252" t="s">
        <v>774</v>
      </c>
      <c r="C252" t="s">
        <v>42</v>
      </c>
      <c r="D252" t="s">
        <v>775</v>
      </c>
      <c r="E252" t="s">
        <v>776</v>
      </c>
      <c r="F252" t="s">
        <v>777</v>
      </c>
      <c r="G252" t="s">
        <v>778</v>
      </c>
      <c r="H252" t="s">
        <v>124</v>
      </c>
      <c r="I252" t="s">
        <v>798</v>
      </c>
      <c r="J252" t="s">
        <v>799</v>
      </c>
      <c r="K252" t="s">
        <v>800</v>
      </c>
      <c r="L252" s="12">
        <v>45323</v>
      </c>
      <c r="M252" s="12">
        <v>46783</v>
      </c>
      <c r="N252" t="s">
        <v>782</v>
      </c>
      <c r="O252" t="s">
        <v>783</v>
      </c>
      <c r="Q252" t="s">
        <v>801</v>
      </c>
      <c r="R252" t="s">
        <v>785</v>
      </c>
      <c r="S252" t="s">
        <v>786</v>
      </c>
      <c r="T252" t="s">
        <v>810</v>
      </c>
      <c r="U252" t="s">
        <v>803</v>
      </c>
      <c r="V252">
        <f>IF(AND(SUM(IF('Consulta de contratos'!$K$1="",0,1),IF('Consulta de contratos'!$K$2="",0,1),IF('Consulta de contratos'!$K$3="",0,1),IF('Consulta de contratos'!$K$4="",0,1),IF('Consulta de contratos'!$K$5="",0,1),IF('Consulta de contratos'!$K$6="",0,1))&gt;0,OR('Consulta de contratos'!$K$1="",A252='Consulta de contratos'!$K$1),OR('Consulta de contratos'!$K$2="",I252='Consulta de contratos'!$K$2),OR('Consulta de contratos'!$K$3="",C252='Consulta de contratos'!$K$3),OR('Consulta de contratos'!$K$4="",D252='Consulta de contratos'!$K$4),OR('Consulta de contratos'!$K$5="",E252='Consulta de contratos'!$K$5),OR('Consulta de contratos'!$K$6="",IFERROR(ISNUMBER(SEARCH("|"&amp;'Consulta de contratos'!$K$6&amp;"|",AF252)),FALSE))),1,0)</f>
        <v>0</v>
      </c>
      <c r="W252">
        <f>IF(V252=1,SUM($V$2:V252),0)</f>
        <v>0</v>
      </c>
      <c r="X252" t="s">
        <v>59</v>
      </c>
      <c r="Y252" t="s">
        <v>804</v>
      </c>
      <c r="Z252" t="s">
        <v>61</v>
      </c>
      <c r="AA252" t="s">
        <v>62</v>
      </c>
      <c r="AF252" t="s">
        <v>805</v>
      </c>
    </row>
    <row r="253" spans="1:32" x14ac:dyDescent="0.35">
      <c r="A253" t="s">
        <v>198</v>
      </c>
      <c r="B253" t="s">
        <v>774</v>
      </c>
      <c r="C253" t="s">
        <v>42</v>
      </c>
      <c r="D253" t="s">
        <v>775</v>
      </c>
      <c r="E253" t="s">
        <v>776</v>
      </c>
      <c r="F253" t="s">
        <v>777</v>
      </c>
      <c r="G253" t="s">
        <v>778</v>
      </c>
      <c r="H253" t="s">
        <v>73</v>
      </c>
      <c r="I253" t="s">
        <v>811</v>
      </c>
      <c r="J253" t="s">
        <v>812</v>
      </c>
      <c r="K253" t="s">
        <v>813</v>
      </c>
      <c r="L253" s="12">
        <v>45323</v>
      </c>
      <c r="M253" s="12">
        <v>46783</v>
      </c>
      <c r="N253" t="s">
        <v>782</v>
      </c>
      <c r="O253" t="s">
        <v>783</v>
      </c>
      <c r="Q253" t="s">
        <v>814</v>
      </c>
      <c r="R253" t="s">
        <v>785</v>
      </c>
      <c r="S253" t="s">
        <v>786</v>
      </c>
      <c r="T253" t="s">
        <v>815</v>
      </c>
      <c r="U253" t="s">
        <v>816</v>
      </c>
      <c r="V253">
        <f>IF(AND(SUM(IF('Consulta de contratos'!$K$1="",0,1),IF('Consulta de contratos'!$K$2="",0,1),IF('Consulta de contratos'!$K$3="",0,1),IF('Consulta de contratos'!$K$4="",0,1),IF('Consulta de contratos'!$K$5="",0,1),IF('Consulta de contratos'!$K$6="",0,1))&gt;0,OR('Consulta de contratos'!$K$1="",A253='Consulta de contratos'!$K$1),OR('Consulta de contratos'!$K$2="",I253='Consulta de contratos'!$K$2),OR('Consulta de contratos'!$K$3="",C253='Consulta de contratos'!$K$3),OR('Consulta de contratos'!$K$4="",D253='Consulta de contratos'!$K$4),OR('Consulta de contratos'!$K$5="",E253='Consulta de contratos'!$K$5),OR('Consulta de contratos'!$K$6="",IFERROR(ISNUMBER(SEARCH("|"&amp;'Consulta de contratos'!$K$6&amp;"|",AF253)),FALSE))),1,0)</f>
        <v>0</v>
      </c>
      <c r="W253">
        <f>IF(V253=1,SUM($V$2:V253),0)</f>
        <v>0</v>
      </c>
      <c r="X253" t="s">
        <v>59</v>
      </c>
      <c r="Y253" t="s">
        <v>817</v>
      </c>
      <c r="Z253" t="s">
        <v>818</v>
      </c>
      <c r="AA253" t="s">
        <v>62</v>
      </c>
      <c r="AF253" t="s">
        <v>819</v>
      </c>
    </row>
    <row r="254" spans="1:32" x14ac:dyDescent="0.35">
      <c r="A254" t="s">
        <v>205</v>
      </c>
      <c r="B254" t="s">
        <v>774</v>
      </c>
      <c r="C254" t="s">
        <v>42</v>
      </c>
      <c r="D254" t="s">
        <v>775</v>
      </c>
      <c r="E254" t="s">
        <v>776</v>
      </c>
      <c r="F254" t="s">
        <v>777</v>
      </c>
      <c r="G254" t="s">
        <v>778</v>
      </c>
      <c r="H254" t="s">
        <v>73</v>
      </c>
      <c r="I254" t="s">
        <v>811</v>
      </c>
      <c r="J254" t="s">
        <v>812</v>
      </c>
      <c r="K254" t="s">
        <v>813</v>
      </c>
      <c r="L254" s="12">
        <v>45323</v>
      </c>
      <c r="M254" s="12">
        <v>46783</v>
      </c>
      <c r="N254" t="s">
        <v>782</v>
      </c>
      <c r="O254" t="s">
        <v>783</v>
      </c>
      <c r="Q254" t="s">
        <v>814</v>
      </c>
      <c r="R254" t="s">
        <v>785</v>
      </c>
      <c r="S254" t="s">
        <v>786</v>
      </c>
      <c r="T254" t="s">
        <v>820</v>
      </c>
      <c r="U254" t="s">
        <v>816</v>
      </c>
      <c r="V254">
        <f>IF(AND(SUM(IF('Consulta de contratos'!$K$1="",0,1),IF('Consulta de contratos'!$K$2="",0,1),IF('Consulta de contratos'!$K$3="",0,1),IF('Consulta de contratos'!$K$4="",0,1),IF('Consulta de contratos'!$K$5="",0,1),IF('Consulta de contratos'!$K$6="",0,1))&gt;0,OR('Consulta de contratos'!$K$1="",A254='Consulta de contratos'!$K$1),OR('Consulta de contratos'!$K$2="",I254='Consulta de contratos'!$K$2),OR('Consulta de contratos'!$K$3="",C254='Consulta de contratos'!$K$3),OR('Consulta de contratos'!$K$4="",D254='Consulta de contratos'!$K$4),OR('Consulta de contratos'!$K$5="",E254='Consulta de contratos'!$K$5),OR('Consulta de contratos'!$K$6="",IFERROR(ISNUMBER(SEARCH("|"&amp;'Consulta de contratos'!$K$6&amp;"|",AF254)),FALSE))),1,0)</f>
        <v>0</v>
      </c>
      <c r="W254">
        <f>IF(V254=1,SUM($V$2:V254),0)</f>
        <v>0</v>
      </c>
      <c r="X254" t="s">
        <v>59</v>
      </c>
      <c r="Y254" t="s">
        <v>817</v>
      </c>
      <c r="Z254" t="s">
        <v>818</v>
      </c>
      <c r="AA254" t="s">
        <v>62</v>
      </c>
      <c r="AF254" t="s">
        <v>819</v>
      </c>
    </row>
    <row r="255" spans="1:32" x14ac:dyDescent="0.35">
      <c r="A255" t="s">
        <v>212</v>
      </c>
      <c r="B255" t="s">
        <v>774</v>
      </c>
      <c r="C255" t="s">
        <v>42</v>
      </c>
      <c r="D255" t="s">
        <v>775</v>
      </c>
      <c r="E255" t="s">
        <v>776</v>
      </c>
      <c r="F255" t="s">
        <v>777</v>
      </c>
      <c r="G255" t="s">
        <v>778</v>
      </c>
      <c r="H255" t="s">
        <v>73</v>
      </c>
      <c r="I255" t="s">
        <v>811</v>
      </c>
      <c r="J255" t="s">
        <v>812</v>
      </c>
      <c r="K255" t="s">
        <v>813</v>
      </c>
      <c r="L255" s="12">
        <v>45323</v>
      </c>
      <c r="M255" s="12">
        <v>46783</v>
      </c>
      <c r="N255" t="s">
        <v>782</v>
      </c>
      <c r="O255" t="s">
        <v>783</v>
      </c>
      <c r="Q255" t="s">
        <v>814</v>
      </c>
      <c r="R255" t="s">
        <v>785</v>
      </c>
      <c r="S255" t="s">
        <v>786</v>
      </c>
      <c r="T255" t="s">
        <v>821</v>
      </c>
      <c r="U255" t="s">
        <v>816</v>
      </c>
      <c r="V255">
        <f>IF(AND(SUM(IF('Consulta de contratos'!$K$1="",0,1),IF('Consulta de contratos'!$K$2="",0,1),IF('Consulta de contratos'!$K$3="",0,1),IF('Consulta de contratos'!$K$4="",0,1),IF('Consulta de contratos'!$K$5="",0,1),IF('Consulta de contratos'!$K$6="",0,1))&gt;0,OR('Consulta de contratos'!$K$1="",A255='Consulta de contratos'!$K$1),OR('Consulta de contratos'!$K$2="",I255='Consulta de contratos'!$K$2),OR('Consulta de contratos'!$K$3="",C255='Consulta de contratos'!$K$3),OR('Consulta de contratos'!$K$4="",D255='Consulta de contratos'!$K$4),OR('Consulta de contratos'!$K$5="",E255='Consulta de contratos'!$K$5),OR('Consulta de contratos'!$K$6="",IFERROR(ISNUMBER(SEARCH("|"&amp;'Consulta de contratos'!$K$6&amp;"|",AF255)),FALSE))),1,0)</f>
        <v>0</v>
      </c>
      <c r="W255">
        <f>IF(V255=1,SUM($V$2:V255),0)</f>
        <v>0</v>
      </c>
      <c r="X255" t="s">
        <v>59</v>
      </c>
      <c r="Y255" t="s">
        <v>817</v>
      </c>
      <c r="Z255" t="s">
        <v>818</v>
      </c>
      <c r="AA255" t="s">
        <v>62</v>
      </c>
      <c r="AF255" t="s">
        <v>819</v>
      </c>
    </row>
    <row r="256" spans="1:32" x14ac:dyDescent="0.35">
      <c r="A256" t="s">
        <v>219</v>
      </c>
      <c r="B256" t="s">
        <v>774</v>
      </c>
      <c r="C256" t="s">
        <v>42</v>
      </c>
      <c r="D256" t="s">
        <v>775</v>
      </c>
      <c r="E256" t="s">
        <v>776</v>
      </c>
      <c r="F256" t="s">
        <v>777</v>
      </c>
      <c r="G256" t="s">
        <v>778</v>
      </c>
      <c r="H256" t="s">
        <v>73</v>
      </c>
      <c r="I256" t="s">
        <v>811</v>
      </c>
      <c r="J256" t="s">
        <v>812</v>
      </c>
      <c r="K256" t="s">
        <v>813</v>
      </c>
      <c r="L256" s="12">
        <v>45323</v>
      </c>
      <c r="M256" s="12">
        <v>46783</v>
      </c>
      <c r="N256" t="s">
        <v>782</v>
      </c>
      <c r="O256" t="s">
        <v>783</v>
      </c>
      <c r="Q256" t="s">
        <v>814</v>
      </c>
      <c r="R256" t="s">
        <v>785</v>
      </c>
      <c r="S256" t="s">
        <v>786</v>
      </c>
      <c r="T256" t="s">
        <v>822</v>
      </c>
      <c r="U256" t="s">
        <v>816</v>
      </c>
      <c r="V256">
        <f>IF(AND(SUM(IF('Consulta de contratos'!$K$1="",0,1),IF('Consulta de contratos'!$K$2="",0,1),IF('Consulta de contratos'!$K$3="",0,1),IF('Consulta de contratos'!$K$4="",0,1),IF('Consulta de contratos'!$K$5="",0,1),IF('Consulta de contratos'!$K$6="",0,1))&gt;0,OR('Consulta de contratos'!$K$1="",A256='Consulta de contratos'!$K$1),OR('Consulta de contratos'!$K$2="",I256='Consulta de contratos'!$K$2),OR('Consulta de contratos'!$K$3="",C256='Consulta de contratos'!$K$3),OR('Consulta de contratos'!$K$4="",D256='Consulta de contratos'!$K$4),OR('Consulta de contratos'!$K$5="",E256='Consulta de contratos'!$K$5),OR('Consulta de contratos'!$K$6="",IFERROR(ISNUMBER(SEARCH("|"&amp;'Consulta de contratos'!$K$6&amp;"|",AF256)),FALSE))),1,0)</f>
        <v>0</v>
      </c>
      <c r="W256">
        <f>IF(V256=1,SUM($V$2:V256),0)</f>
        <v>0</v>
      </c>
      <c r="X256" t="s">
        <v>59</v>
      </c>
      <c r="Y256" t="s">
        <v>817</v>
      </c>
      <c r="Z256" t="s">
        <v>818</v>
      </c>
      <c r="AA256" t="s">
        <v>62</v>
      </c>
      <c r="AF256" t="s">
        <v>819</v>
      </c>
    </row>
    <row r="257" spans="1:32" x14ac:dyDescent="0.35">
      <c r="A257" t="s">
        <v>233</v>
      </c>
      <c r="B257" t="s">
        <v>774</v>
      </c>
      <c r="C257" t="s">
        <v>42</v>
      </c>
      <c r="D257" t="s">
        <v>775</v>
      </c>
      <c r="E257" t="s">
        <v>776</v>
      </c>
      <c r="F257" t="s">
        <v>777</v>
      </c>
      <c r="G257" t="s">
        <v>778</v>
      </c>
      <c r="H257" t="s">
        <v>73</v>
      </c>
      <c r="I257" t="s">
        <v>811</v>
      </c>
      <c r="J257" t="s">
        <v>812</v>
      </c>
      <c r="K257" t="s">
        <v>813</v>
      </c>
      <c r="L257" s="12">
        <v>45323</v>
      </c>
      <c r="M257" s="12">
        <v>46783</v>
      </c>
      <c r="N257" t="s">
        <v>782</v>
      </c>
      <c r="O257" t="s">
        <v>783</v>
      </c>
      <c r="Q257" t="s">
        <v>814</v>
      </c>
      <c r="R257" t="s">
        <v>785</v>
      </c>
      <c r="S257" t="s">
        <v>786</v>
      </c>
      <c r="T257" t="s">
        <v>823</v>
      </c>
      <c r="U257" t="s">
        <v>816</v>
      </c>
      <c r="V257">
        <f>IF(AND(SUM(IF('Consulta de contratos'!$K$1="",0,1),IF('Consulta de contratos'!$K$2="",0,1),IF('Consulta de contratos'!$K$3="",0,1),IF('Consulta de contratos'!$K$4="",0,1),IF('Consulta de contratos'!$K$5="",0,1),IF('Consulta de contratos'!$K$6="",0,1))&gt;0,OR('Consulta de contratos'!$K$1="",A257='Consulta de contratos'!$K$1),OR('Consulta de contratos'!$K$2="",I257='Consulta de contratos'!$K$2),OR('Consulta de contratos'!$K$3="",C257='Consulta de contratos'!$K$3),OR('Consulta de contratos'!$K$4="",D257='Consulta de contratos'!$K$4),OR('Consulta de contratos'!$K$5="",E257='Consulta de contratos'!$K$5),OR('Consulta de contratos'!$K$6="",IFERROR(ISNUMBER(SEARCH("|"&amp;'Consulta de contratos'!$K$6&amp;"|",AF257)),FALSE))),1,0)</f>
        <v>0</v>
      </c>
      <c r="W257">
        <f>IF(V257=1,SUM($V$2:V257),0)</f>
        <v>0</v>
      </c>
      <c r="X257" t="s">
        <v>59</v>
      </c>
      <c r="Y257" t="s">
        <v>817</v>
      </c>
      <c r="Z257" t="s">
        <v>818</v>
      </c>
      <c r="AA257" t="s">
        <v>62</v>
      </c>
      <c r="AF257" t="s">
        <v>819</v>
      </c>
    </row>
    <row r="258" spans="1:32" x14ac:dyDescent="0.35">
      <c r="A258" t="s">
        <v>240</v>
      </c>
      <c r="B258" t="s">
        <v>774</v>
      </c>
      <c r="C258" t="s">
        <v>42</v>
      </c>
      <c r="D258" t="s">
        <v>775</v>
      </c>
      <c r="E258" t="s">
        <v>776</v>
      </c>
      <c r="F258" t="s">
        <v>777</v>
      </c>
      <c r="G258" t="s">
        <v>778</v>
      </c>
      <c r="H258" t="s">
        <v>73</v>
      </c>
      <c r="I258" t="s">
        <v>811</v>
      </c>
      <c r="J258" t="s">
        <v>812</v>
      </c>
      <c r="K258" t="s">
        <v>813</v>
      </c>
      <c r="L258" s="12">
        <v>45323</v>
      </c>
      <c r="M258" s="12">
        <v>46783</v>
      </c>
      <c r="N258" t="s">
        <v>782</v>
      </c>
      <c r="O258" t="s">
        <v>783</v>
      </c>
      <c r="Q258" t="s">
        <v>814</v>
      </c>
      <c r="R258" t="s">
        <v>785</v>
      </c>
      <c r="S258" t="s">
        <v>786</v>
      </c>
      <c r="T258" t="s">
        <v>824</v>
      </c>
      <c r="U258" t="s">
        <v>816</v>
      </c>
      <c r="V258">
        <f>IF(AND(SUM(IF('Consulta de contratos'!$K$1="",0,1),IF('Consulta de contratos'!$K$2="",0,1),IF('Consulta de contratos'!$K$3="",0,1),IF('Consulta de contratos'!$K$4="",0,1),IF('Consulta de contratos'!$K$5="",0,1),IF('Consulta de contratos'!$K$6="",0,1))&gt;0,OR('Consulta de contratos'!$K$1="",A258='Consulta de contratos'!$K$1),OR('Consulta de contratos'!$K$2="",I258='Consulta de contratos'!$K$2),OR('Consulta de contratos'!$K$3="",C258='Consulta de contratos'!$K$3),OR('Consulta de contratos'!$K$4="",D258='Consulta de contratos'!$K$4),OR('Consulta de contratos'!$K$5="",E258='Consulta de contratos'!$K$5),OR('Consulta de contratos'!$K$6="",IFERROR(ISNUMBER(SEARCH("|"&amp;'Consulta de contratos'!$K$6&amp;"|",AF258)),FALSE))),1,0)</f>
        <v>0</v>
      </c>
      <c r="W258">
        <f>IF(V258=1,SUM($V$2:V258),0)</f>
        <v>0</v>
      </c>
      <c r="X258" t="s">
        <v>59</v>
      </c>
      <c r="Y258" t="s">
        <v>817</v>
      </c>
      <c r="Z258" t="s">
        <v>818</v>
      </c>
      <c r="AA258" t="s">
        <v>62</v>
      </c>
      <c r="AF258" t="s">
        <v>819</v>
      </c>
    </row>
    <row r="259" spans="1:32" x14ac:dyDescent="0.35">
      <c r="A259" t="s">
        <v>247</v>
      </c>
      <c r="B259" t="s">
        <v>774</v>
      </c>
      <c r="C259" t="s">
        <v>42</v>
      </c>
      <c r="D259" t="s">
        <v>775</v>
      </c>
      <c r="E259" t="s">
        <v>776</v>
      </c>
      <c r="F259" t="s">
        <v>777</v>
      </c>
      <c r="G259" t="s">
        <v>778</v>
      </c>
      <c r="H259" t="s">
        <v>73</v>
      </c>
      <c r="I259" t="s">
        <v>811</v>
      </c>
      <c r="J259" t="s">
        <v>812</v>
      </c>
      <c r="K259" t="s">
        <v>813</v>
      </c>
      <c r="L259" s="12">
        <v>45323</v>
      </c>
      <c r="M259" s="12">
        <v>46783</v>
      </c>
      <c r="N259" t="s">
        <v>782</v>
      </c>
      <c r="O259" t="s">
        <v>783</v>
      </c>
      <c r="Q259" t="s">
        <v>814</v>
      </c>
      <c r="R259" t="s">
        <v>785</v>
      </c>
      <c r="S259" t="s">
        <v>786</v>
      </c>
      <c r="T259" t="s">
        <v>825</v>
      </c>
      <c r="U259" t="s">
        <v>816</v>
      </c>
      <c r="V259">
        <f>IF(AND(SUM(IF('Consulta de contratos'!$K$1="",0,1),IF('Consulta de contratos'!$K$2="",0,1),IF('Consulta de contratos'!$K$3="",0,1),IF('Consulta de contratos'!$K$4="",0,1),IF('Consulta de contratos'!$K$5="",0,1),IF('Consulta de contratos'!$K$6="",0,1))&gt;0,OR('Consulta de contratos'!$K$1="",A259='Consulta de contratos'!$K$1),OR('Consulta de contratos'!$K$2="",I259='Consulta de contratos'!$K$2),OR('Consulta de contratos'!$K$3="",C259='Consulta de contratos'!$K$3),OR('Consulta de contratos'!$K$4="",D259='Consulta de contratos'!$K$4),OR('Consulta de contratos'!$K$5="",E259='Consulta de contratos'!$K$5),OR('Consulta de contratos'!$K$6="",IFERROR(ISNUMBER(SEARCH("|"&amp;'Consulta de contratos'!$K$6&amp;"|",AF259)),FALSE))),1,0)</f>
        <v>0</v>
      </c>
      <c r="W259">
        <f>IF(V259=1,SUM($V$2:V259),0)</f>
        <v>0</v>
      </c>
      <c r="X259" t="s">
        <v>59</v>
      </c>
      <c r="Y259" t="s">
        <v>817</v>
      </c>
      <c r="Z259" t="s">
        <v>818</v>
      </c>
      <c r="AA259" t="s">
        <v>62</v>
      </c>
      <c r="AF259" t="s">
        <v>819</v>
      </c>
    </row>
    <row r="260" spans="1:32" x14ac:dyDescent="0.35">
      <c r="A260" t="s">
        <v>254</v>
      </c>
      <c r="B260" t="s">
        <v>774</v>
      </c>
      <c r="C260" t="s">
        <v>42</v>
      </c>
      <c r="D260" t="s">
        <v>775</v>
      </c>
      <c r="E260" t="s">
        <v>776</v>
      </c>
      <c r="F260" t="s">
        <v>777</v>
      </c>
      <c r="G260" t="s">
        <v>778</v>
      </c>
      <c r="H260" t="s">
        <v>73</v>
      </c>
      <c r="I260" t="s">
        <v>811</v>
      </c>
      <c r="J260" t="s">
        <v>812</v>
      </c>
      <c r="K260" t="s">
        <v>813</v>
      </c>
      <c r="L260" s="12">
        <v>45323</v>
      </c>
      <c r="M260" s="12">
        <v>46783</v>
      </c>
      <c r="N260" t="s">
        <v>782</v>
      </c>
      <c r="O260" t="s">
        <v>783</v>
      </c>
      <c r="Q260" t="s">
        <v>814</v>
      </c>
      <c r="R260" t="s">
        <v>785</v>
      </c>
      <c r="S260" t="s">
        <v>786</v>
      </c>
      <c r="T260" t="s">
        <v>826</v>
      </c>
      <c r="U260" t="s">
        <v>816</v>
      </c>
      <c r="V260">
        <f>IF(AND(SUM(IF('Consulta de contratos'!$K$1="",0,1),IF('Consulta de contratos'!$K$2="",0,1),IF('Consulta de contratos'!$K$3="",0,1),IF('Consulta de contratos'!$K$4="",0,1),IF('Consulta de contratos'!$K$5="",0,1),IF('Consulta de contratos'!$K$6="",0,1))&gt;0,OR('Consulta de contratos'!$K$1="",A260='Consulta de contratos'!$K$1),OR('Consulta de contratos'!$K$2="",I260='Consulta de contratos'!$K$2),OR('Consulta de contratos'!$K$3="",C260='Consulta de contratos'!$K$3),OR('Consulta de contratos'!$K$4="",D260='Consulta de contratos'!$K$4),OR('Consulta de contratos'!$K$5="",E260='Consulta de contratos'!$K$5),OR('Consulta de contratos'!$K$6="",IFERROR(ISNUMBER(SEARCH("|"&amp;'Consulta de contratos'!$K$6&amp;"|",AF260)),FALSE))),1,0)</f>
        <v>0</v>
      </c>
      <c r="W260">
        <f>IF(V260=1,SUM($V$2:V260),0)</f>
        <v>0</v>
      </c>
      <c r="X260" t="s">
        <v>59</v>
      </c>
      <c r="Y260" t="s">
        <v>817</v>
      </c>
      <c r="Z260" t="s">
        <v>818</v>
      </c>
      <c r="AA260" t="s">
        <v>62</v>
      </c>
      <c r="AF260" t="s">
        <v>819</v>
      </c>
    </row>
    <row r="261" spans="1:32" x14ac:dyDescent="0.35">
      <c r="A261" t="s">
        <v>457</v>
      </c>
      <c r="B261" t="s">
        <v>774</v>
      </c>
      <c r="C261" t="s">
        <v>42</v>
      </c>
      <c r="D261" t="s">
        <v>775</v>
      </c>
      <c r="E261" t="s">
        <v>776</v>
      </c>
      <c r="F261" t="s">
        <v>777</v>
      </c>
      <c r="G261" t="s">
        <v>778</v>
      </c>
      <c r="H261" t="s">
        <v>64</v>
      </c>
      <c r="I261" t="s">
        <v>827</v>
      </c>
      <c r="J261" t="s">
        <v>828</v>
      </c>
      <c r="K261" t="s">
        <v>829</v>
      </c>
      <c r="L261" s="12">
        <v>45323</v>
      </c>
      <c r="M261" s="12">
        <v>46783</v>
      </c>
      <c r="N261" t="s">
        <v>782</v>
      </c>
      <c r="O261" t="s">
        <v>783</v>
      </c>
      <c r="Q261" t="s">
        <v>830</v>
      </c>
      <c r="R261" t="s">
        <v>831</v>
      </c>
      <c r="S261" t="s">
        <v>786</v>
      </c>
      <c r="T261" t="s">
        <v>832</v>
      </c>
      <c r="U261" t="s">
        <v>833</v>
      </c>
      <c r="V261">
        <f>IF(AND(SUM(IF('Consulta de contratos'!$K$1="",0,1),IF('Consulta de contratos'!$K$2="",0,1),IF('Consulta de contratos'!$K$3="",0,1),IF('Consulta de contratos'!$K$4="",0,1),IF('Consulta de contratos'!$K$5="",0,1),IF('Consulta de contratos'!$K$6="",0,1))&gt;0,OR('Consulta de contratos'!$K$1="",A261='Consulta de contratos'!$K$1),OR('Consulta de contratos'!$K$2="",I261='Consulta de contratos'!$K$2),OR('Consulta de contratos'!$K$3="",C261='Consulta de contratos'!$K$3),OR('Consulta de contratos'!$K$4="",D261='Consulta de contratos'!$K$4),OR('Consulta de contratos'!$K$5="",E261='Consulta de contratos'!$K$5),OR('Consulta de contratos'!$K$6="",IFERROR(ISNUMBER(SEARCH("|"&amp;'Consulta de contratos'!$K$6&amp;"|",AF261)),FALSE))),1,0)</f>
        <v>0</v>
      </c>
      <c r="W261">
        <f>IF(V261=1,SUM($V$2:V261),0)</f>
        <v>0</v>
      </c>
      <c r="X261" t="s">
        <v>59</v>
      </c>
      <c r="Y261" t="s">
        <v>834</v>
      </c>
      <c r="Z261" t="s">
        <v>346</v>
      </c>
      <c r="AA261" t="s">
        <v>62</v>
      </c>
      <c r="AF261" t="s">
        <v>835</v>
      </c>
    </row>
    <row r="262" spans="1:32" x14ac:dyDescent="0.35">
      <c r="A262" t="s">
        <v>457</v>
      </c>
      <c r="B262" t="s">
        <v>774</v>
      </c>
      <c r="C262" t="s">
        <v>42</v>
      </c>
      <c r="D262" t="s">
        <v>775</v>
      </c>
      <c r="E262" t="s">
        <v>776</v>
      </c>
      <c r="F262" t="s">
        <v>777</v>
      </c>
      <c r="G262" t="s">
        <v>778</v>
      </c>
      <c r="H262" t="s">
        <v>305</v>
      </c>
      <c r="I262" t="s">
        <v>811</v>
      </c>
      <c r="J262" t="s">
        <v>836</v>
      </c>
      <c r="K262" t="s">
        <v>829</v>
      </c>
      <c r="L262" s="12">
        <v>45323</v>
      </c>
      <c r="M262" s="12">
        <v>46783</v>
      </c>
      <c r="N262" t="s">
        <v>782</v>
      </c>
      <c r="O262" t="s">
        <v>783</v>
      </c>
      <c r="Q262" t="s">
        <v>837</v>
      </c>
      <c r="R262" t="s">
        <v>831</v>
      </c>
      <c r="S262" t="s">
        <v>786</v>
      </c>
      <c r="T262" t="s">
        <v>838</v>
      </c>
      <c r="U262" t="s">
        <v>839</v>
      </c>
      <c r="V262">
        <f>IF(AND(SUM(IF('Consulta de contratos'!$K$1="",0,1),IF('Consulta de contratos'!$K$2="",0,1),IF('Consulta de contratos'!$K$3="",0,1),IF('Consulta de contratos'!$K$4="",0,1),IF('Consulta de contratos'!$K$5="",0,1),IF('Consulta de contratos'!$K$6="",0,1))&gt;0,OR('Consulta de contratos'!$K$1="",A262='Consulta de contratos'!$K$1),OR('Consulta de contratos'!$K$2="",I262='Consulta de contratos'!$K$2),OR('Consulta de contratos'!$K$3="",C262='Consulta de contratos'!$K$3),OR('Consulta de contratos'!$K$4="",D262='Consulta de contratos'!$K$4),OR('Consulta de contratos'!$K$5="",E262='Consulta de contratos'!$K$5),OR('Consulta de contratos'!$K$6="",IFERROR(ISNUMBER(SEARCH("|"&amp;'Consulta de contratos'!$K$6&amp;"|",AF262)),FALSE))),1,0)</f>
        <v>0</v>
      </c>
      <c r="W262">
        <f>IF(V262=1,SUM($V$2:V262),0)</f>
        <v>0</v>
      </c>
      <c r="X262" t="s">
        <v>59</v>
      </c>
      <c r="Y262" t="s">
        <v>817</v>
      </c>
      <c r="Z262" t="s">
        <v>818</v>
      </c>
      <c r="AA262" t="s">
        <v>62</v>
      </c>
      <c r="AF262" t="s">
        <v>819</v>
      </c>
    </row>
    <row r="263" spans="1:32" x14ac:dyDescent="0.35">
      <c r="A263" t="s">
        <v>457</v>
      </c>
      <c r="B263" t="s">
        <v>774</v>
      </c>
      <c r="C263" t="s">
        <v>42</v>
      </c>
      <c r="D263" t="s">
        <v>775</v>
      </c>
      <c r="E263" t="s">
        <v>776</v>
      </c>
      <c r="F263" t="s">
        <v>777</v>
      </c>
      <c r="G263" t="s">
        <v>778</v>
      </c>
      <c r="H263" t="s">
        <v>312</v>
      </c>
      <c r="I263" t="s">
        <v>840</v>
      </c>
      <c r="J263" t="s">
        <v>841</v>
      </c>
      <c r="K263" t="s">
        <v>829</v>
      </c>
      <c r="L263" s="12">
        <v>45323</v>
      </c>
      <c r="M263" s="12">
        <v>46418</v>
      </c>
      <c r="N263" t="s">
        <v>782</v>
      </c>
      <c r="O263" t="s">
        <v>783</v>
      </c>
      <c r="Q263" t="s">
        <v>842</v>
      </c>
      <c r="R263" t="s">
        <v>843</v>
      </c>
      <c r="S263" t="s">
        <v>844</v>
      </c>
      <c r="T263" t="s">
        <v>845</v>
      </c>
      <c r="U263" t="s">
        <v>846</v>
      </c>
      <c r="V263">
        <f>IF(AND(SUM(IF('Consulta de contratos'!$K$1="",0,1),IF('Consulta de contratos'!$K$2="",0,1),IF('Consulta de contratos'!$K$3="",0,1),IF('Consulta de contratos'!$K$4="",0,1),IF('Consulta de contratos'!$K$5="",0,1),IF('Consulta de contratos'!$K$6="",0,1))&gt;0,OR('Consulta de contratos'!$K$1="",A263='Consulta de contratos'!$K$1),OR('Consulta de contratos'!$K$2="",I263='Consulta de contratos'!$K$2),OR('Consulta de contratos'!$K$3="",C263='Consulta de contratos'!$K$3),OR('Consulta de contratos'!$K$4="",D263='Consulta de contratos'!$K$4),OR('Consulta de contratos'!$K$5="",E263='Consulta de contratos'!$K$5),OR('Consulta de contratos'!$K$6="",IFERROR(ISNUMBER(SEARCH("|"&amp;'Consulta de contratos'!$K$6&amp;"|",AF263)),FALSE))),1,0)</f>
        <v>0</v>
      </c>
      <c r="W263">
        <f>IF(V263=1,SUM($V$2:V263),0)</f>
        <v>0</v>
      </c>
      <c r="X263" t="s">
        <v>59</v>
      </c>
      <c r="Y263" t="s">
        <v>840</v>
      </c>
      <c r="Z263" t="s">
        <v>71</v>
      </c>
      <c r="AA263" t="s">
        <v>62</v>
      </c>
      <c r="AF263" t="s">
        <v>847</v>
      </c>
    </row>
    <row r="264" spans="1:32" x14ac:dyDescent="0.35">
      <c r="A264" t="s">
        <v>457</v>
      </c>
      <c r="B264" t="s">
        <v>774</v>
      </c>
      <c r="C264" t="s">
        <v>42</v>
      </c>
      <c r="D264" t="s">
        <v>775</v>
      </c>
      <c r="E264" t="s">
        <v>776</v>
      </c>
      <c r="F264" t="s">
        <v>777</v>
      </c>
      <c r="G264" t="s">
        <v>778</v>
      </c>
      <c r="H264" t="s">
        <v>322</v>
      </c>
      <c r="I264" t="s">
        <v>848</v>
      </c>
      <c r="J264" t="s">
        <v>849</v>
      </c>
      <c r="K264" t="s">
        <v>829</v>
      </c>
      <c r="L264" s="12">
        <v>45323</v>
      </c>
      <c r="M264" s="12">
        <v>46418</v>
      </c>
      <c r="N264" t="s">
        <v>782</v>
      </c>
      <c r="O264" t="s">
        <v>783</v>
      </c>
      <c r="Q264" t="s">
        <v>850</v>
      </c>
      <c r="R264" t="s">
        <v>843</v>
      </c>
      <c r="S264" t="s">
        <v>851</v>
      </c>
      <c r="T264" t="s">
        <v>852</v>
      </c>
      <c r="U264" t="s">
        <v>853</v>
      </c>
      <c r="V264">
        <f>IF(AND(SUM(IF('Consulta de contratos'!$K$1="",0,1),IF('Consulta de contratos'!$K$2="",0,1),IF('Consulta de contratos'!$K$3="",0,1),IF('Consulta de contratos'!$K$4="",0,1),IF('Consulta de contratos'!$K$5="",0,1),IF('Consulta de contratos'!$K$6="",0,1))&gt;0,OR('Consulta de contratos'!$K$1="",A264='Consulta de contratos'!$K$1),OR('Consulta de contratos'!$K$2="",I264='Consulta de contratos'!$K$2),OR('Consulta de contratos'!$K$3="",C264='Consulta de contratos'!$K$3),OR('Consulta de contratos'!$K$4="",D264='Consulta de contratos'!$K$4),OR('Consulta de contratos'!$K$5="",E264='Consulta de contratos'!$K$5),OR('Consulta de contratos'!$K$6="",IFERROR(ISNUMBER(SEARCH("|"&amp;'Consulta de contratos'!$K$6&amp;"|",AF264)),FALSE))),1,0)</f>
        <v>0</v>
      </c>
      <c r="W264">
        <f>IF(V264=1,SUM($V$2:V264),0)</f>
        <v>0</v>
      </c>
      <c r="X264" t="s">
        <v>59</v>
      </c>
      <c r="Y264" t="s">
        <v>848</v>
      </c>
      <c r="Z264" t="s">
        <v>346</v>
      </c>
      <c r="AA264" t="s">
        <v>62</v>
      </c>
      <c r="AF264" t="s">
        <v>854</v>
      </c>
    </row>
    <row r="265" spans="1:32" x14ac:dyDescent="0.35">
      <c r="A265" t="s">
        <v>457</v>
      </c>
      <c r="B265" t="s">
        <v>774</v>
      </c>
      <c r="C265" t="s">
        <v>42</v>
      </c>
      <c r="D265" t="s">
        <v>775</v>
      </c>
      <c r="E265" t="s">
        <v>776</v>
      </c>
      <c r="F265" t="s">
        <v>855</v>
      </c>
      <c r="G265" t="s">
        <v>856</v>
      </c>
      <c r="H265" t="s">
        <v>84</v>
      </c>
      <c r="I265" t="s">
        <v>857</v>
      </c>
      <c r="J265" t="s">
        <v>858</v>
      </c>
      <c r="K265" t="s">
        <v>859</v>
      </c>
      <c r="L265" s="12"/>
      <c r="M265" s="12"/>
      <c r="N265" t="s">
        <v>782</v>
      </c>
      <c r="O265" t="s">
        <v>860</v>
      </c>
      <c r="Q265" t="s">
        <v>861</v>
      </c>
      <c r="R265" t="s">
        <v>862</v>
      </c>
      <c r="S265" t="s">
        <v>863</v>
      </c>
      <c r="T265" t="s">
        <v>864</v>
      </c>
      <c r="U265" t="s">
        <v>865</v>
      </c>
      <c r="V265">
        <f>IF(AND(SUM(IF('Consulta de contratos'!$K$1="",0,1),IF('Consulta de contratos'!$K$2="",0,1),IF('Consulta de contratos'!$K$3="",0,1),IF('Consulta de contratos'!$K$4="",0,1),IF('Consulta de contratos'!$K$5="",0,1),IF('Consulta de contratos'!$K$6="",0,1))&gt;0,OR('Consulta de contratos'!$K$1="",A265='Consulta de contratos'!$K$1),OR('Consulta de contratos'!$K$2="",I265='Consulta de contratos'!$K$2),OR('Consulta de contratos'!$K$3="",C265='Consulta de contratos'!$K$3),OR('Consulta de contratos'!$K$4="",D265='Consulta de contratos'!$K$4),OR('Consulta de contratos'!$K$5="",E265='Consulta de contratos'!$K$5),OR('Consulta de contratos'!$K$6="",IFERROR(ISNUMBER(SEARCH("|"&amp;'Consulta de contratos'!$K$6&amp;"|",AF265)),FALSE))),1,0)</f>
        <v>0</v>
      </c>
      <c r="W265">
        <f>IF(V265=1,SUM($V$2:V265),0)</f>
        <v>0</v>
      </c>
      <c r="X265" t="s">
        <v>1650</v>
      </c>
      <c r="Y265" t="s">
        <v>866</v>
      </c>
      <c r="Z265" t="s">
        <v>867</v>
      </c>
      <c r="AA265" t="s">
        <v>62</v>
      </c>
      <c r="AB265" t="s">
        <v>1995</v>
      </c>
      <c r="AF265" t="s">
        <v>868</v>
      </c>
    </row>
    <row r="266" spans="1:32" x14ac:dyDescent="0.35">
      <c r="A266" t="s">
        <v>457</v>
      </c>
      <c r="B266" t="s">
        <v>869</v>
      </c>
      <c r="C266" t="s">
        <v>42</v>
      </c>
      <c r="D266" t="s">
        <v>472</v>
      </c>
      <c r="E266" t="s">
        <v>870</v>
      </c>
      <c r="F266" t="s">
        <v>871</v>
      </c>
      <c r="G266" t="s">
        <v>872</v>
      </c>
      <c r="H266" t="s">
        <v>84</v>
      </c>
      <c r="I266" t="s">
        <v>873</v>
      </c>
      <c r="J266" t="s">
        <v>874</v>
      </c>
      <c r="K266" t="s">
        <v>875</v>
      </c>
      <c r="M266">
        <v>47514</v>
      </c>
      <c r="N266" t="s">
        <v>757</v>
      </c>
      <c r="O266" t="s">
        <v>876</v>
      </c>
      <c r="Q266" t="s">
        <v>877</v>
      </c>
      <c r="R266" t="s">
        <v>878</v>
      </c>
      <c r="S266" t="s">
        <v>879</v>
      </c>
      <c r="T266" t="s">
        <v>880</v>
      </c>
      <c r="U266" t="s">
        <v>881</v>
      </c>
      <c r="V266">
        <f>IF(AND(SUM(IF('Consulta de contratos'!$K$1="",0,1),IF('Consulta de contratos'!$K$2="",0,1),IF('Consulta de contratos'!$K$3="",0,1),IF('Consulta de contratos'!$K$4="",0,1),IF('Consulta de contratos'!$K$5="",0,1),IF('Consulta de contratos'!$K$6="",0,1))&gt;0,OR('Consulta de contratos'!$K$1="",A266='Consulta de contratos'!$K$1),OR('Consulta de contratos'!$K$2="",I266='Consulta de contratos'!$K$2),OR('Consulta de contratos'!$K$3="",C266='Consulta de contratos'!$K$3),OR('Consulta de contratos'!$K$4="",D266='Consulta de contratos'!$K$4),OR('Consulta de contratos'!$K$5="",E266='Consulta de contratos'!$K$5),OR('Consulta de contratos'!$K$6="",IFERROR(ISNUMBER(SEARCH("|"&amp;'Consulta de contratos'!$K$6&amp;"|",AF266)),FALSE))),1,0)</f>
        <v>0</v>
      </c>
      <c r="W266">
        <f>IF(V266=1,SUM($V$2:V266),0)</f>
        <v>0</v>
      </c>
      <c r="X266" t="s">
        <v>59</v>
      </c>
      <c r="Y266" t="s">
        <v>873</v>
      </c>
      <c r="Z266" t="s">
        <v>71</v>
      </c>
      <c r="AA266" t="s">
        <v>62</v>
      </c>
      <c r="AF266" t="s">
        <v>882</v>
      </c>
    </row>
    <row r="267" spans="1:32" x14ac:dyDescent="0.35">
      <c r="A267" t="s">
        <v>457</v>
      </c>
      <c r="B267" t="s">
        <v>869</v>
      </c>
      <c r="C267" t="s">
        <v>42</v>
      </c>
      <c r="D267" t="s">
        <v>472</v>
      </c>
      <c r="E267" t="s">
        <v>870</v>
      </c>
      <c r="F267" t="s">
        <v>883</v>
      </c>
      <c r="G267" t="s">
        <v>884</v>
      </c>
      <c r="H267" t="s">
        <v>84</v>
      </c>
      <c r="I267" t="s">
        <v>885</v>
      </c>
      <c r="J267" t="s">
        <v>886</v>
      </c>
      <c r="K267" t="s">
        <v>887</v>
      </c>
      <c r="L267">
        <v>46281</v>
      </c>
      <c r="N267" t="s">
        <v>757</v>
      </c>
      <c r="O267" t="s">
        <v>888</v>
      </c>
      <c r="Q267" t="s">
        <v>889</v>
      </c>
      <c r="R267" t="s">
        <v>890</v>
      </c>
      <c r="S267" t="s">
        <v>891</v>
      </c>
      <c r="T267" t="s">
        <v>892</v>
      </c>
      <c r="U267" t="s">
        <v>893</v>
      </c>
      <c r="V267">
        <f>IF(AND(SUM(IF('Consulta de contratos'!$K$1="",0,1),IF('Consulta de contratos'!$K$2="",0,1),IF('Consulta de contratos'!$K$3="",0,1),IF('Consulta de contratos'!$K$4="",0,1),IF('Consulta de contratos'!$K$5="",0,1),IF('Consulta de contratos'!$K$6="",0,1))&gt;0,OR('Consulta de contratos'!$K$1="",A267='Consulta de contratos'!$K$1),OR('Consulta de contratos'!$K$2="",I267='Consulta de contratos'!$K$2),OR('Consulta de contratos'!$K$3="",C267='Consulta de contratos'!$K$3),OR('Consulta de contratos'!$K$4="",D267='Consulta de contratos'!$K$4),OR('Consulta de contratos'!$K$5="",E267='Consulta de contratos'!$K$5),OR('Consulta de contratos'!$K$6="",IFERROR(ISNUMBER(SEARCH("|"&amp;'Consulta de contratos'!$K$6&amp;"|",AF267)),FALSE))),1,0)</f>
        <v>0</v>
      </c>
      <c r="W267">
        <f>IF(V267=1,SUM($V$2:V267),0)</f>
        <v>0</v>
      </c>
      <c r="X267" t="s">
        <v>468</v>
      </c>
      <c r="Y267" t="s">
        <v>885</v>
      </c>
      <c r="Z267" t="s">
        <v>71</v>
      </c>
      <c r="AA267" t="s">
        <v>62</v>
      </c>
      <c r="AF267" t="s">
        <v>894</v>
      </c>
    </row>
    <row r="268" spans="1:32" x14ac:dyDescent="0.35">
      <c r="A268" t="s">
        <v>40</v>
      </c>
      <c r="B268" t="s">
        <v>895</v>
      </c>
      <c r="C268" t="s">
        <v>896</v>
      </c>
      <c r="D268" t="s">
        <v>897</v>
      </c>
      <c r="E268" t="s">
        <v>898</v>
      </c>
      <c r="F268" t="s">
        <v>899</v>
      </c>
      <c r="G268" t="s">
        <v>900</v>
      </c>
      <c r="H268" t="s">
        <v>47</v>
      </c>
      <c r="I268" t="s">
        <v>901</v>
      </c>
      <c r="J268" t="s">
        <v>902</v>
      </c>
      <c r="K268" t="s">
        <v>903</v>
      </c>
      <c r="L268">
        <v>45931</v>
      </c>
      <c r="M268">
        <v>46660</v>
      </c>
      <c r="N268" t="s">
        <v>897</v>
      </c>
      <c r="O268" t="s">
        <v>904</v>
      </c>
      <c r="Q268" t="s">
        <v>905</v>
      </c>
      <c r="R268" t="s">
        <v>906</v>
      </c>
      <c r="S268" t="s">
        <v>907</v>
      </c>
      <c r="T268" t="s">
        <v>908</v>
      </c>
      <c r="U268" t="s">
        <v>909</v>
      </c>
      <c r="V268">
        <f>IF(AND(SUM(IF('Consulta de contratos'!$K$1="",0,1),IF('Consulta de contratos'!$K$2="",0,1),IF('Consulta de contratos'!$K$3="",0,1),IF('Consulta de contratos'!$K$4="",0,1),IF('Consulta de contratos'!$K$5="",0,1),IF('Consulta de contratos'!$K$6="",0,1))&gt;0,OR('Consulta de contratos'!$K$1="",A268='Consulta de contratos'!$K$1),OR('Consulta de contratos'!$K$2="",I268='Consulta de contratos'!$K$2),OR('Consulta de contratos'!$K$3="",C268='Consulta de contratos'!$K$3),OR('Consulta de contratos'!$K$4="",D268='Consulta de contratos'!$K$4),OR('Consulta de contratos'!$K$5="",E268='Consulta de contratos'!$K$5),OR('Consulta de contratos'!$K$6="",IFERROR(ISNUMBER(SEARCH("|"&amp;'Consulta de contratos'!$K$6&amp;"|",AF268)),FALSE))),1,0)</f>
        <v>0</v>
      </c>
      <c r="W268">
        <f>IF(V268=1,SUM($V$2:V268),0)</f>
        <v>0</v>
      </c>
      <c r="X268" t="s">
        <v>59</v>
      </c>
      <c r="Y268" t="s">
        <v>910</v>
      </c>
      <c r="Z268" t="s">
        <v>80</v>
      </c>
      <c r="AA268" t="s">
        <v>62</v>
      </c>
      <c r="AF268" t="s">
        <v>911</v>
      </c>
    </row>
    <row r="269" spans="1:32" x14ac:dyDescent="0.35">
      <c r="A269" t="s">
        <v>116</v>
      </c>
      <c r="B269" t="s">
        <v>895</v>
      </c>
      <c r="C269" t="s">
        <v>896</v>
      </c>
      <c r="D269" t="s">
        <v>897</v>
      </c>
      <c r="E269" t="s">
        <v>898</v>
      </c>
      <c r="F269" t="s">
        <v>899</v>
      </c>
      <c r="G269" t="s">
        <v>900</v>
      </c>
      <c r="H269" t="s">
        <v>47</v>
      </c>
      <c r="I269" t="s">
        <v>901</v>
      </c>
      <c r="J269" t="s">
        <v>902</v>
      </c>
      <c r="K269" t="s">
        <v>903</v>
      </c>
      <c r="L269">
        <v>45931</v>
      </c>
      <c r="M269">
        <v>46660</v>
      </c>
      <c r="N269" t="s">
        <v>897</v>
      </c>
      <c r="O269" t="s">
        <v>904</v>
      </c>
      <c r="Q269" t="s">
        <v>905</v>
      </c>
      <c r="R269" t="s">
        <v>906</v>
      </c>
      <c r="S269" t="s">
        <v>907</v>
      </c>
      <c r="T269" t="s">
        <v>912</v>
      </c>
      <c r="U269" t="s">
        <v>909</v>
      </c>
      <c r="V269">
        <f>IF(AND(SUM(IF('Consulta de contratos'!$K$1="",0,1),IF('Consulta de contratos'!$K$2="",0,1),IF('Consulta de contratos'!$K$3="",0,1),IF('Consulta de contratos'!$K$4="",0,1),IF('Consulta de contratos'!$K$5="",0,1),IF('Consulta de contratos'!$K$6="",0,1))&gt;0,OR('Consulta de contratos'!$K$1="",A269='Consulta de contratos'!$K$1),OR('Consulta de contratos'!$K$2="",I269='Consulta de contratos'!$K$2),OR('Consulta de contratos'!$K$3="",C269='Consulta de contratos'!$K$3),OR('Consulta de contratos'!$K$4="",D269='Consulta de contratos'!$K$4),OR('Consulta de contratos'!$K$5="",E269='Consulta de contratos'!$K$5),OR('Consulta de contratos'!$K$6="",IFERROR(ISNUMBER(SEARCH("|"&amp;'Consulta de contratos'!$K$6&amp;"|",AF269)),FALSE))),1,0)</f>
        <v>0</v>
      </c>
      <c r="W269">
        <f>IF(V269=1,SUM($V$2:V269),0)</f>
        <v>0</v>
      </c>
      <c r="X269" t="s">
        <v>59</v>
      </c>
      <c r="Y269" t="s">
        <v>910</v>
      </c>
      <c r="Z269" t="s">
        <v>80</v>
      </c>
      <c r="AA269" t="s">
        <v>62</v>
      </c>
      <c r="AF269" t="s">
        <v>911</v>
      </c>
    </row>
    <row r="270" spans="1:32" x14ac:dyDescent="0.35">
      <c r="A270" t="s">
        <v>123</v>
      </c>
      <c r="B270" t="s">
        <v>895</v>
      </c>
      <c r="C270" t="s">
        <v>896</v>
      </c>
      <c r="D270" t="s">
        <v>897</v>
      </c>
      <c r="E270" t="s">
        <v>898</v>
      </c>
      <c r="F270" t="s">
        <v>899</v>
      </c>
      <c r="G270" t="s">
        <v>900</v>
      </c>
      <c r="H270" t="s">
        <v>47</v>
      </c>
      <c r="I270" t="s">
        <v>901</v>
      </c>
      <c r="J270" t="s">
        <v>902</v>
      </c>
      <c r="K270" t="s">
        <v>903</v>
      </c>
      <c r="L270">
        <v>45931</v>
      </c>
      <c r="M270">
        <v>46660</v>
      </c>
      <c r="N270" t="s">
        <v>897</v>
      </c>
      <c r="O270" t="s">
        <v>904</v>
      </c>
      <c r="Q270" t="s">
        <v>905</v>
      </c>
      <c r="R270" t="s">
        <v>906</v>
      </c>
      <c r="S270" t="s">
        <v>907</v>
      </c>
      <c r="T270" t="s">
        <v>913</v>
      </c>
      <c r="U270" t="s">
        <v>909</v>
      </c>
      <c r="V270">
        <f>IF(AND(SUM(IF('Consulta de contratos'!$K$1="",0,1),IF('Consulta de contratos'!$K$2="",0,1),IF('Consulta de contratos'!$K$3="",0,1),IF('Consulta de contratos'!$K$4="",0,1),IF('Consulta de contratos'!$K$5="",0,1),IF('Consulta de contratos'!$K$6="",0,1))&gt;0,OR('Consulta de contratos'!$K$1="",A270='Consulta de contratos'!$K$1),OR('Consulta de contratos'!$K$2="",I270='Consulta de contratos'!$K$2),OR('Consulta de contratos'!$K$3="",C270='Consulta de contratos'!$K$3),OR('Consulta de contratos'!$K$4="",D270='Consulta de contratos'!$K$4),OR('Consulta de contratos'!$K$5="",E270='Consulta de contratos'!$K$5),OR('Consulta de contratos'!$K$6="",IFERROR(ISNUMBER(SEARCH("|"&amp;'Consulta de contratos'!$K$6&amp;"|",AF270)),FALSE))),1,0)</f>
        <v>0</v>
      </c>
      <c r="W270">
        <f>IF(V270=1,SUM($V$2:V270),0)</f>
        <v>0</v>
      </c>
      <c r="X270" t="s">
        <v>59</v>
      </c>
      <c r="Y270" t="s">
        <v>910</v>
      </c>
      <c r="Z270" t="s">
        <v>80</v>
      </c>
      <c r="AA270" t="s">
        <v>62</v>
      </c>
      <c r="AF270" t="s">
        <v>911</v>
      </c>
    </row>
    <row r="271" spans="1:32" x14ac:dyDescent="0.35">
      <c r="A271" t="s">
        <v>135</v>
      </c>
      <c r="B271" t="s">
        <v>895</v>
      </c>
      <c r="C271" t="s">
        <v>896</v>
      </c>
      <c r="D271" t="s">
        <v>897</v>
      </c>
      <c r="E271" t="s">
        <v>898</v>
      </c>
      <c r="F271" t="s">
        <v>899</v>
      </c>
      <c r="G271" t="s">
        <v>900</v>
      </c>
      <c r="H271" t="s">
        <v>47</v>
      </c>
      <c r="I271" t="s">
        <v>901</v>
      </c>
      <c r="J271" t="s">
        <v>902</v>
      </c>
      <c r="K271" t="s">
        <v>903</v>
      </c>
      <c r="L271">
        <v>45931</v>
      </c>
      <c r="M271">
        <v>46660</v>
      </c>
      <c r="N271" t="s">
        <v>897</v>
      </c>
      <c r="O271" t="s">
        <v>904</v>
      </c>
      <c r="Q271" t="s">
        <v>905</v>
      </c>
      <c r="R271" t="s">
        <v>906</v>
      </c>
      <c r="S271" t="s">
        <v>907</v>
      </c>
      <c r="T271" t="s">
        <v>914</v>
      </c>
      <c r="U271" t="s">
        <v>909</v>
      </c>
      <c r="V271">
        <f>IF(AND(SUM(IF('Consulta de contratos'!$K$1="",0,1),IF('Consulta de contratos'!$K$2="",0,1),IF('Consulta de contratos'!$K$3="",0,1),IF('Consulta de contratos'!$K$4="",0,1),IF('Consulta de contratos'!$K$5="",0,1),IF('Consulta de contratos'!$K$6="",0,1))&gt;0,OR('Consulta de contratos'!$K$1="",A271='Consulta de contratos'!$K$1),OR('Consulta de contratos'!$K$2="",I271='Consulta de contratos'!$K$2),OR('Consulta de contratos'!$K$3="",C271='Consulta de contratos'!$K$3),OR('Consulta de contratos'!$K$4="",D271='Consulta de contratos'!$K$4),OR('Consulta de contratos'!$K$5="",E271='Consulta de contratos'!$K$5),OR('Consulta de contratos'!$K$6="",IFERROR(ISNUMBER(SEARCH("|"&amp;'Consulta de contratos'!$K$6&amp;"|",AF271)),FALSE))),1,0)</f>
        <v>0</v>
      </c>
      <c r="W271">
        <f>IF(V271=1,SUM($V$2:V271),0)</f>
        <v>0</v>
      </c>
      <c r="X271" t="s">
        <v>59</v>
      </c>
      <c r="Y271" t="s">
        <v>910</v>
      </c>
      <c r="Z271" t="s">
        <v>80</v>
      </c>
      <c r="AA271" t="s">
        <v>62</v>
      </c>
      <c r="AF271" t="s">
        <v>911</v>
      </c>
    </row>
    <row r="272" spans="1:32" x14ac:dyDescent="0.35">
      <c r="A272" t="s">
        <v>142</v>
      </c>
      <c r="B272" t="s">
        <v>895</v>
      </c>
      <c r="C272" t="s">
        <v>896</v>
      </c>
      <c r="D272" t="s">
        <v>897</v>
      </c>
      <c r="E272" t="s">
        <v>898</v>
      </c>
      <c r="F272" t="s">
        <v>899</v>
      </c>
      <c r="G272" t="s">
        <v>900</v>
      </c>
      <c r="H272" t="s">
        <v>47</v>
      </c>
      <c r="I272" t="s">
        <v>901</v>
      </c>
      <c r="J272" t="s">
        <v>902</v>
      </c>
      <c r="K272" t="s">
        <v>903</v>
      </c>
      <c r="L272">
        <v>45931</v>
      </c>
      <c r="M272">
        <v>46660</v>
      </c>
      <c r="N272" t="s">
        <v>897</v>
      </c>
      <c r="O272" t="s">
        <v>904</v>
      </c>
      <c r="Q272" t="s">
        <v>905</v>
      </c>
      <c r="R272" t="s">
        <v>906</v>
      </c>
      <c r="S272" t="s">
        <v>907</v>
      </c>
      <c r="T272" t="s">
        <v>915</v>
      </c>
      <c r="U272" t="s">
        <v>909</v>
      </c>
      <c r="V272">
        <f>IF(AND(SUM(IF('Consulta de contratos'!$K$1="",0,1),IF('Consulta de contratos'!$K$2="",0,1),IF('Consulta de contratos'!$K$3="",0,1),IF('Consulta de contratos'!$K$4="",0,1),IF('Consulta de contratos'!$K$5="",0,1),IF('Consulta de contratos'!$K$6="",0,1))&gt;0,OR('Consulta de contratos'!$K$1="",A272='Consulta de contratos'!$K$1),OR('Consulta de contratos'!$K$2="",I272='Consulta de contratos'!$K$2),OR('Consulta de contratos'!$K$3="",C272='Consulta de contratos'!$K$3),OR('Consulta de contratos'!$K$4="",D272='Consulta de contratos'!$K$4),OR('Consulta de contratos'!$K$5="",E272='Consulta de contratos'!$K$5),OR('Consulta de contratos'!$K$6="",IFERROR(ISNUMBER(SEARCH("|"&amp;'Consulta de contratos'!$K$6&amp;"|",AF272)),FALSE))),1,0)</f>
        <v>0</v>
      </c>
      <c r="W272">
        <f>IF(V272=1,SUM($V$2:V272),0)</f>
        <v>0</v>
      </c>
      <c r="X272" t="s">
        <v>59</v>
      </c>
      <c r="Y272" t="s">
        <v>910</v>
      </c>
      <c r="Z272" t="s">
        <v>80</v>
      </c>
      <c r="AA272" t="s">
        <v>62</v>
      </c>
      <c r="AF272" t="s">
        <v>911</v>
      </c>
    </row>
    <row r="273" spans="1:32" x14ac:dyDescent="0.35">
      <c r="A273" t="s">
        <v>149</v>
      </c>
      <c r="B273" t="s">
        <v>895</v>
      </c>
      <c r="C273" t="s">
        <v>896</v>
      </c>
      <c r="D273" t="s">
        <v>897</v>
      </c>
      <c r="E273" t="s">
        <v>898</v>
      </c>
      <c r="F273" t="s">
        <v>899</v>
      </c>
      <c r="G273" t="s">
        <v>900</v>
      </c>
      <c r="H273" t="s">
        <v>47</v>
      </c>
      <c r="I273" t="s">
        <v>901</v>
      </c>
      <c r="J273" t="s">
        <v>902</v>
      </c>
      <c r="K273" t="s">
        <v>903</v>
      </c>
      <c r="L273">
        <v>45931</v>
      </c>
      <c r="M273">
        <v>46660</v>
      </c>
      <c r="N273" t="s">
        <v>897</v>
      </c>
      <c r="O273" t="s">
        <v>904</v>
      </c>
      <c r="Q273" t="s">
        <v>905</v>
      </c>
      <c r="R273" t="s">
        <v>906</v>
      </c>
      <c r="S273" t="s">
        <v>907</v>
      </c>
      <c r="T273" t="s">
        <v>916</v>
      </c>
      <c r="U273" t="s">
        <v>909</v>
      </c>
      <c r="V273">
        <f>IF(AND(SUM(IF('Consulta de contratos'!$K$1="",0,1),IF('Consulta de contratos'!$K$2="",0,1),IF('Consulta de contratos'!$K$3="",0,1),IF('Consulta de contratos'!$K$4="",0,1),IF('Consulta de contratos'!$K$5="",0,1),IF('Consulta de contratos'!$K$6="",0,1))&gt;0,OR('Consulta de contratos'!$K$1="",A273='Consulta de contratos'!$K$1),OR('Consulta de contratos'!$K$2="",I273='Consulta de contratos'!$K$2),OR('Consulta de contratos'!$K$3="",C273='Consulta de contratos'!$K$3),OR('Consulta de contratos'!$K$4="",D273='Consulta de contratos'!$K$4),OR('Consulta de contratos'!$K$5="",E273='Consulta de contratos'!$K$5),OR('Consulta de contratos'!$K$6="",IFERROR(ISNUMBER(SEARCH("|"&amp;'Consulta de contratos'!$K$6&amp;"|",AF273)),FALSE))),1,0)</f>
        <v>0</v>
      </c>
      <c r="W273">
        <f>IF(V273=1,SUM($V$2:V273),0)</f>
        <v>0</v>
      </c>
      <c r="X273" t="s">
        <v>59</v>
      </c>
      <c r="Y273" t="s">
        <v>910</v>
      </c>
      <c r="Z273" t="s">
        <v>80</v>
      </c>
      <c r="AA273" t="s">
        <v>62</v>
      </c>
      <c r="AF273" t="s">
        <v>911</v>
      </c>
    </row>
    <row r="274" spans="1:32" x14ac:dyDescent="0.35">
      <c r="A274" t="s">
        <v>156</v>
      </c>
      <c r="B274" t="s">
        <v>895</v>
      </c>
      <c r="C274" t="s">
        <v>896</v>
      </c>
      <c r="D274" t="s">
        <v>897</v>
      </c>
      <c r="E274" t="s">
        <v>898</v>
      </c>
      <c r="F274" t="s">
        <v>899</v>
      </c>
      <c r="G274" t="s">
        <v>900</v>
      </c>
      <c r="H274" t="s">
        <v>47</v>
      </c>
      <c r="I274" t="s">
        <v>901</v>
      </c>
      <c r="J274" t="s">
        <v>902</v>
      </c>
      <c r="K274" t="s">
        <v>903</v>
      </c>
      <c r="L274">
        <v>45931</v>
      </c>
      <c r="M274">
        <v>46660</v>
      </c>
      <c r="N274" t="s">
        <v>897</v>
      </c>
      <c r="O274" t="s">
        <v>904</v>
      </c>
      <c r="Q274" t="s">
        <v>905</v>
      </c>
      <c r="R274" t="s">
        <v>906</v>
      </c>
      <c r="S274" t="s">
        <v>907</v>
      </c>
      <c r="T274" t="s">
        <v>917</v>
      </c>
      <c r="U274" t="s">
        <v>909</v>
      </c>
      <c r="V274">
        <f>IF(AND(SUM(IF('Consulta de contratos'!$K$1="",0,1),IF('Consulta de contratos'!$K$2="",0,1),IF('Consulta de contratos'!$K$3="",0,1),IF('Consulta de contratos'!$K$4="",0,1),IF('Consulta de contratos'!$K$5="",0,1),IF('Consulta de contratos'!$K$6="",0,1))&gt;0,OR('Consulta de contratos'!$K$1="",A274='Consulta de contratos'!$K$1),OR('Consulta de contratos'!$K$2="",I274='Consulta de contratos'!$K$2),OR('Consulta de contratos'!$K$3="",C274='Consulta de contratos'!$K$3),OR('Consulta de contratos'!$K$4="",D274='Consulta de contratos'!$K$4),OR('Consulta de contratos'!$K$5="",E274='Consulta de contratos'!$K$5),OR('Consulta de contratos'!$K$6="",IFERROR(ISNUMBER(SEARCH("|"&amp;'Consulta de contratos'!$K$6&amp;"|",AF274)),FALSE))),1,0)</f>
        <v>0</v>
      </c>
      <c r="W274">
        <f>IF(V274=1,SUM($V$2:V274),0)</f>
        <v>0</v>
      </c>
      <c r="X274" t="s">
        <v>59</v>
      </c>
      <c r="Y274" t="s">
        <v>910</v>
      </c>
      <c r="Z274" t="s">
        <v>80</v>
      </c>
      <c r="AA274" t="s">
        <v>62</v>
      </c>
      <c r="AF274" t="s">
        <v>911</v>
      </c>
    </row>
    <row r="275" spans="1:32" x14ac:dyDescent="0.35">
      <c r="A275" t="s">
        <v>163</v>
      </c>
      <c r="B275" t="s">
        <v>895</v>
      </c>
      <c r="C275" t="s">
        <v>896</v>
      </c>
      <c r="D275" t="s">
        <v>897</v>
      </c>
      <c r="E275" t="s">
        <v>898</v>
      </c>
      <c r="F275" t="s">
        <v>899</v>
      </c>
      <c r="G275" t="s">
        <v>900</v>
      </c>
      <c r="H275" t="s">
        <v>47</v>
      </c>
      <c r="I275" t="s">
        <v>901</v>
      </c>
      <c r="J275" t="s">
        <v>902</v>
      </c>
      <c r="K275" t="s">
        <v>903</v>
      </c>
      <c r="L275">
        <v>45931</v>
      </c>
      <c r="M275">
        <v>46660</v>
      </c>
      <c r="N275" t="s">
        <v>897</v>
      </c>
      <c r="O275" t="s">
        <v>904</v>
      </c>
      <c r="Q275" t="s">
        <v>905</v>
      </c>
      <c r="R275" t="s">
        <v>906</v>
      </c>
      <c r="S275" t="s">
        <v>907</v>
      </c>
      <c r="T275" t="s">
        <v>918</v>
      </c>
      <c r="U275" t="s">
        <v>909</v>
      </c>
      <c r="V275">
        <f>IF(AND(SUM(IF('Consulta de contratos'!$K$1="",0,1),IF('Consulta de contratos'!$K$2="",0,1),IF('Consulta de contratos'!$K$3="",0,1),IF('Consulta de contratos'!$K$4="",0,1),IF('Consulta de contratos'!$K$5="",0,1),IF('Consulta de contratos'!$K$6="",0,1))&gt;0,OR('Consulta de contratos'!$K$1="",A275='Consulta de contratos'!$K$1),OR('Consulta de contratos'!$K$2="",I275='Consulta de contratos'!$K$2),OR('Consulta de contratos'!$K$3="",C275='Consulta de contratos'!$K$3),OR('Consulta de contratos'!$K$4="",D275='Consulta de contratos'!$K$4),OR('Consulta de contratos'!$K$5="",E275='Consulta de contratos'!$K$5),OR('Consulta de contratos'!$K$6="",IFERROR(ISNUMBER(SEARCH("|"&amp;'Consulta de contratos'!$K$6&amp;"|",AF275)),FALSE))),1,0)</f>
        <v>0</v>
      </c>
      <c r="W275">
        <f>IF(V275=1,SUM($V$2:V275),0)</f>
        <v>0</v>
      </c>
      <c r="X275" t="s">
        <v>59</v>
      </c>
      <c r="Y275" t="s">
        <v>910</v>
      </c>
      <c r="Z275" t="s">
        <v>80</v>
      </c>
      <c r="AA275" t="s">
        <v>62</v>
      </c>
      <c r="AF275" t="s">
        <v>911</v>
      </c>
    </row>
    <row r="276" spans="1:32" x14ac:dyDescent="0.35">
      <c r="A276" t="s">
        <v>170</v>
      </c>
      <c r="B276" t="s">
        <v>895</v>
      </c>
      <c r="C276" t="s">
        <v>896</v>
      </c>
      <c r="D276" t="s">
        <v>897</v>
      </c>
      <c r="E276" t="s">
        <v>898</v>
      </c>
      <c r="F276" t="s">
        <v>899</v>
      </c>
      <c r="G276" t="s">
        <v>900</v>
      </c>
      <c r="H276" t="s">
        <v>47</v>
      </c>
      <c r="I276" t="s">
        <v>901</v>
      </c>
      <c r="J276" t="s">
        <v>902</v>
      </c>
      <c r="K276" t="s">
        <v>903</v>
      </c>
      <c r="L276">
        <v>45931</v>
      </c>
      <c r="M276">
        <v>46660</v>
      </c>
      <c r="N276" t="s">
        <v>897</v>
      </c>
      <c r="O276" t="s">
        <v>904</v>
      </c>
      <c r="Q276" t="s">
        <v>905</v>
      </c>
      <c r="R276" t="s">
        <v>906</v>
      </c>
      <c r="S276" t="s">
        <v>907</v>
      </c>
      <c r="T276" t="s">
        <v>919</v>
      </c>
      <c r="U276" t="s">
        <v>909</v>
      </c>
      <c r="V276">
        <f>IF(AND(SUM(IF('Consulta de contratos'!$K$1="",0,1),IF('Consulta de contratos'!$K$2="",0,1),IF('Consulta de contratos'!$K$3="",0,1),IF('Consulta de contratos'!$K$4="",0,1),IF('Consulta de contratos'!$K$5="",0,1),IF('Consulta de contratos'!$K$6="",0,1))&gt;0,OR('Consulta de contratos'!$K$1="",A276='Consulta de contratos'!$K$1),OR('Consulta de contratos'!$K$2="",I276='Consulta de contratos'!$K$2),OR('Consulta de contratos'!$K$3="",C276='Consulta de contratos'!$K$3),OR('Consulta de contratos'!$K$4="",D276='Consulta de contratos'!$K$4),OR('Consulta de contratos'!$K$5="",E276='Consulta de contratos'!$K$5),OR('Consulta de contratos'!$K$6="",IFERROR(ISNUMBER(SEARCH("|"&amp;'Consulta de contratos'!$K$6&amp;"|",AF276)),FALSE))),1,0)</f>
        <v>0</v>
      </c>
      <c r="W276">
        <f>IF(V276=1,SUM($V$2:V276),0)</f>
        <v>0</v>
      </c>
      <c r="X276" t="s">
        <v>59</v>
      </c>
      <c r="Y276" t="s">
        <v>910</v>
      </c>
      <c r="Z276" t="s">
        <v>80</v>
      </c>
      <c r="AA276" t="s">
        <v>62</v>
      </c>
      <c r="AF276" t="s">
        <v>911</v>
      </c>
    </row>
    <row r="277" spans="1:32" x14ac:dyDescent="0.35">
      <c r="A277" t="s">
        <v>163</v>
      </c>
      <c r="B277" t="s">
        <v>895</v>
      </c>
      <c r="C277" t="s">
        <v>896</v>
      </c>
      <c r="D277" t="s">
        <v>897</v>
      </c>
      <c r="E277" t="s">
        <v>898</v>
      </c>
      <c r="F277" t="s">
        <v>899</v>
      </c>
      <c r="G277" t="s">
        <v>900</v>
      </c>
      <c r="H277" t="s">
        <v>124</v>
      </c>
      <c r="I277" t="s">
        <v>920</v>
      </c>
      <c r="J277" t="s">
        <v>902</v>
      </c>
      <c r="K277" t="s">
        <v>921</v>
      </c>
      <c r="L277">
        <v>45931</v>
      </c>
      <c r="M277">
        <v>46660</v>
      </c>
      <c r="N277" t="s">
        <v>897</v>
      </c>
      <c r="O277" t="s">
        <v>904</v>
      </c>
      <c r="Q277" t="s">
        <v>922</v>
      </c>
      <c r="R277" t="s">
        <v>923</v>
      </c>
      <c r="S277" t="s">
        <v>907</v>
      </c>
      <c r="T277" t="s">
        <v>924</v>
      </c>
      <c r="U277" t="s">
        <v>925</v>
      </c>
      <c r="V277">
        <f>IF(AND(SUM(IF('Consulta de contratos'!$K$1="",0,1),IF('Consulta de contratos'!$K$2="",0,1),IF('Consulta de contratos'!$K$3="",0,1),IF('Consulta de contratos'!$K$4="",0,1),IF('Consulta de contratos'!$K$5="",0,1),IF('Consulta de contratos'!$K$6="",0,1))&gt;0,OR('Consulta de contratos'!$K$1="",A277='Consulta de contratos'!$K$1),OR('Consulta de contratos'!$K$2="",I277='Consulta de contratos'!$K$2),OR('Consulta de contratos'!$K$3="",C277='Consulta de contratos'!$K$3),OR('Consulta de contratos'!$K$4="",D277='Consulta de contratos'!$K$4),OR('Consulta de contratos'!$K$5="",E277='Consulta de contratos'!$K$5),OR('Consulta de contratos'!$K$6="",IFERROR(ISNUMBER(SEARCH("|"&amp;'Consulta de contratos'!$K$6&amp;"|",AF277)),FALSE))),1,0)</f>
        <v>0</v>
      </c>
      <c r="W277">
        <f>IF(V277=1,SUM($V$2:V277),0)</f>
        <v>0</v>
      </c>
      <c r="X277" t="s">
        <v>59</v>
      </c>
      <c r="Y277" t="s">
        <v>926</v>
      </c>
      <c r="Z277" t="s">
        <v>927</v>
      </c>
      <c r="AA277" t="s">
        <v>62</v>
      </c>
      <c r="AF277" t="s">
        <v>928</v>
      </c>
    </row>
    <row r="278" spans="1:32" x14ac:dyDescent="0.35">
      <c r="A278" t="s">
        <v>170</v>
      </c>
      <c r="B278" t="s">
        <v>895</v>
      </c>
      <c r="C278" t="s">
        <v>896</v>
      </c>
      <c r="D278" t="s">
        <v>897</v>
      </c>
      <c r="E278" t="s">
        <v>898</v>
      </c>
      <c r="F278" t="s">
        <v>899</v>
      </c>
      <c r="G278" t="s">
        <v>900</v>
      </c>
      <c r="H278" t="s">
        <v>124</v>
      </c>
      <c r="I278" t="s">
        <v>920</v>
      </c>
      <c r="J278" t="s">
        <v>902</v>
      </c>
      <c r="K278" t="s">
        <v>921</v>
      </c>
      <c r="L278">
        <v>45931</v>
      </c>
      <c r="M278">
        <v>46660</v>
      </c>
      <c r="N278" t="s">
        <v>897</v>
      </c>
      <c r="O278" t="s">
        <v>904</v>
      </c>
      <c r="Q278" t="s">
        <v>922</v>
      </c>
      <c r="R278" t="s">
        <v>923</v>
      </c>
      <c r="S278" t="s">
        <v>907</v>
      </c>
      <c r="T278" t="s">
        <v>929</v>
      </c>
      <c r="U278" t="s">
        <v>925</v>
      </c>
      <c r="V278">
        <f>IF(AND(SUM(IF('Consulta de contratos'!$K$1="",0,1),IF('Consulta de contratos'!$K$2="",0,1),IF('Consulta de contratos'!$K$3="",0,1),IF('Consulta de contratos'!$K$4="",0,1),IF('Consulta de contratos'!$K$5="",0,1),IF('Consulta de contratos'!$K$6="",0,1))&gt;0,OR('Consulta de contratos'!$K$1="",A278='Consulta de contratos'!$K$1),OR('Consulta de contratos'!$K$2="",I278='Consulta de contratos'!$K$2),OR('Consulta de contratos'!$K$3="",C278='Consulta de contratos'!$K$3),OR('Consulta de contratos'!$K$4="",D278='Consulta de contratos'!$K$4),OR('Consulta de contratos'!$K$5="",E278='Consulta de contratos'!$K$5),OR('Consulta de contratos'!$K$6="",IFERROR(ISNUMBER(SEARCH("|"&amp;'Consulta de contratos'!$K$6&amp;"|",AF278)),FALSE))),1,0)</f>
        <v>0</v>
      </c>
      <c r="W278">
        <f>IF(V278=1,SUM($V$2:V278),0)</f>
        <v>0</v>
      </c>
      <c r="X278" t="s">
        <v>59</v>
      </c>
      <c r="Y278" t="s">
        <v>926</v>
      </c>
      <c r="Z278" t="s">
        <v>927</v>
      </c>
      <c r="AA278" t="s">
        <v>62</v>
      </c>
      <c r="AF278" t="s">
        <v>928</v>
      </c>
    </row>
    <row r="279" spans="1:32" x14ac:dyDescent="0.35">
      <c r="A279" t="s">
        <v>177</v>
      </c>
      <c r="B279" t="s">
        <v>895</v>
      </c>
      <c r="C279" t="s">
        <v>896</v>
      </c>
      <c r="D279" t="s">
        <v>897</v>
      </c>
      <c r="E279" t="s">
        <v>898</v>
      </c>
      <c r="F279" t="s">
        <v>899</v>
      </c>
      <c r="G279" t="s">
        <v>900</v>
      </c>
      <c r="H279" t="s">
        <v>124</v>
      </c>
      <c r="I279" t="s">
        <v>920</v>
      </c>
      <c r="J279" t="s">
        <v>902</v>
      </c>
      <c r="K279" t="s">
        <v>921</v>
      </c>
      <c r="L279">
        <v>45931</v>
      </c>
      <c r="M279">
        <v>46660</v>
      </c>
      <c r="N279" t="s">
        <v>897</v>
      </c>
      <c r="O279" t="s">
        <v>904</v>
      </c>
      <c r="Q279" t="s">
        <v>922</v>
      </c>
      <c r="R279" t="s">
        <v>923</v>
      </c>
      <c r="S279" t="s">
        <v>907</v>
      </c>
      <c r="T279" t="s">
        <v>930</v>
      </c>
      <c r="U279" t="s">
        <v>925</v>
      </c>
      <c r="V279">
        <f>IF(AND(SUM(IF('Consulta de contratos'!$K$1="",0,1),IF('Consulta de contratos'!$K$2="",0,1),IF('Consulta de contratos'!$K$3="",0,1),IF('Consulta de contratos'!$K$4="",0,1),IF('Consulta de contratos'!$K$5="",0,1),IF('Consulta de contratos'!$K$6="",0,1))&gt;0,OR('Consulta de contratos'!$K$1="",A279='Consulta de contratos'!$K$1),OR('Consulta de contratos'!$K$2="",I279='Consulta de contratos'!$K$2),OR('Consulta de contratos'!$K$3="",C279='Consulta de contratos'!$K$3),OR('Consulta de contratos'!$K$4="",D279='Consulta de contratos'!$K$4),OR('Consulta de contratos'!$K$5="",E279='Consulta de contratos'!$K$5),OR('Consulta de contratos'!$K$6="",IFERROR(ISNUMBER(SEARCH("|"&amp;'Consulta de contratos'!$K$6&amp;"|",AF279)),FALSE))),1,0)</f>
        <v>0</v>
      </c>
      <c r="W279">
        <f>IF(V279=1,SUM($V$2:V279),0)</f>
        <v>0</v>
      </c>
      <c r="X279" t="s">
        <v>59</v>
      </c>
      <c r="Y279" t="s">
        <v>926</v>
      </c>
      <c r="Z279" t="s">
        <v>927</v>
      </c>
      <c r="AA279" t="s">
        <v>62</v>
      </c>
      <c r="AF279" t="s">
        <v>928</v>
      </c>
    </row>
    <row r="280" spans="1:32" x14ac:dyDescent="0.35">
      <c r="A280" t="s">
        <v>184</v>
      </c>
      <c r="B280" t="s">
        <v>895</v>
      </c>
      <c r="C280" t="s">
        <v>896</v>
      </c>
      <c r="D280" t="s">
        <v>897</v>
      </c>
      <c r="E280" t="s">
        <v>898</v>
      </c>
      <c r="F280" t="s">
        <v>899</v>
      </c>
      <c r="G280" t="s">
        <v>900</v>
      </c>
      <c r="H280" t="s">
        <v>124</v>
      </c>
      <c r="I280" t="s">
        <v>920</v>
      </c>
      <c r="J280" t="s">
        <v>902</v>
      </c>
      <c r="K280" t="s">
        <v>921</v>
      </c>
      <c r="L280">
        <v>45931</v>
      </c>
      <c r="M280">
        <v>46660</v>
      </c>
      <c r="N280" t="s">
        <v>897</v>
      </c>
      <c r="O280" t="s">
        <v>904</v>
      </c>
      <c r="Q280" t="s">
        <v>922</v>
      </c>
      <c r="R280" t="s">
        <v>923</v>
      </c>
      <c r="S280" t="s">
        <v>907</v>
      </c>
      <c r="T280" t="s">
        <v>931</v>
      </c>
      <c r="U280" t="s">
        <v>925</v>
      </c>
      <c r="V280">
        <f>IF(AND(SUM(IF('Consulta de contratos'!$K$1="",0,1),IF('Consulta de contratos'!$K$2="",0,1),IF('Consulta de contratos'!$K$3="",0,1),IF('Consulta de contratos'!$K$4="",0,1),IF('Consulta de contratos'!$K$5="",0,1),IF('Consulta de contratos'!$K$6="",0,1))&gt;0,OR('Consulta de contratos'!$K$1="",A280='Consulta de contratos'!$K$1),OR('Consulta de contratos'!$K$2="",I280='Consulta de contratos'!$K$2),OR('Consulta de contratos'!$K$3="",C280='Consulta de contratos'!$K$3),OR('Consulta de contratos'!$K$4="",D280='Consulta de contratos'!$K$4),OR('Consulta de contratos'!$K$5="",E280='Consulta de contratos'!$K$5),OR('Consulta de contratos'!$K$6="",IFERROR(ISNUMBER(SEARCH("|"&amp;'Consulta de contratos'!$K$6&amp;"|",AF280)),FALSE))),1,0)</f>
        <v>0</v>
      </c>
      <c r="W280">
        <f>IF(V280=1,SUM($V$2:V280),0)</f>
        <v>0</v>
      </c>
      <c r="X280" t="s">
        <v>59</v>
      </c>
      <c r="Y280" t="s">
        <v>926</v>
      </c>
      <c r="Z280" t="s">
        <v>927</v>
      </c>
      <c r="AA280" t="s">
        <v>62</v>
      </c>
      <c r="AF280" t="s">
        <v>928</v>
      </c>
    </row>
    <row r="281" spans="1:32" x14ac:dyDescent="0.35">
      <c r="A281" t="s">
        <v>191</v>
      </c>
      <c r="B281" t="s">
        <v>895</v>
      </c>
      <c r="C281" t="s">
        <v>896</v>
      </c>
      <c r="D281" t="s">
        <v>897</v>
      </c>
      <c r="E281" t="s">
        <v>898</v>
      </c>
      <c r="F281" t="s">
        <v>899</v>
      </c>
      <c r="G281" t="s">
        <v>900</v>
      </c>
      <c r="H281" t="s">
        <v>124</v>
      </c>
      <c r="I281" t="s">
        <v>920</v>
      </c>
      <c r="J281" t="s">
        <v>902</v>
      </c>
      <c r="K281" t="s">
        <v>921</v>
      </c>
      <c r="L281">
        <v>45931</v>
      </c>
      <c r="M281">
        <v>46660</v>
      </c>
      <c r="N281" t="s">
        <v>897</v>
      </c>
      <c r="O281" t="s">
        <v>904</v>
      </c>
      <c r="Q281" t="s">
        <v>922</v>
      </c>
      <c r="R281" t="s">
        <v>923</v>
      </c>
      <c r="S281" t="s">
        <v>907</v>
      </c>
      <c r="T281" t="s">
        <v>932</v>
      </c>
      <c r="U281" t="s">
        <v>925</v>
      </c>
      <c r="V281">
        <f>IF(AND(SUM(IF('Consulta de contratos'!$K$1="",0,1),IF('Consulta de contratos'!$K$2="",0,1),IF('Consulta de contratos'!$K$3="",0,1),IF('Consulta de contratos'!$K$4="",0,1),IF('Consulta de contratos'!$K$5="",0,1),IF('Consulta de contratos'!$K$6="",0,1))&gt;0,OR('Consulta de contratos'!$K$1="",A281='Consulta de contratos'!$K$1),OR('Consulta de contratos'!$K$2="",I281='Consulta de contratos'!$K$2),OR('Consulta de contratos'!$K$3="",C281='Consulta de contratos'!$K$3),OR('Consulta de contratos'!$K$4="",D281='Consulta de contratos'!$K$4),OR('Consulta de contratos'!$K$5="",E281='Consulta de contratos'!$K$5),OR('Consulta de contratos'!$K$6="",IFERROR(ISNUMBER(SEARCH("|"&amp;'Consulta de contratos'!$K$6&amp;"|",AF281)),FALSE))),1,0)</f>
        <v>0</v>
      </c>
      <c r="W281">
        <f>IF(V281=1,SUM($V$2:V281),0)</f>
        <v>0</v>
      </c>
      <c r="X281" t="s">
        <v>59</v>
      </c>
      <c r="Y281" t="s">
        <v>926</v>
      </c>
      <c r="Z281" t="s">
        <v>927</v>
      </c>
      <c r="AA281" t="s">
        <v>62</v>
      </c>
      <c r="AF281" t="s">
        <v>928</v>
      </c>
    </row>
    <row r="282" spans="1:32" x14ac:dyDescent="0.35">
      <c r="A282" t="s">
        <v>226</v>
      </c>
      <c r="B282" t="s">
        <v>895</v>
      </c>
      <c r="C282" t="s">
        <v>896</v>
      </c>
      <c r="D282" t="s">
        <v>897</v>
      </c>
      <c r="E282" t="s">
        <v>898</v>
      </c>
      <c r="F282" t="s">
        <v>899</v>
      </c>
      <c r="G282" t="s">
        <v>900</v>
      </c>
      <c r="H282" t="s">
        <v>124</v>
      </c>
      <c r="I282" t="s">
        <v>920</v>
      </c>
      <c r="J282" t="s">
        <v>902</v>
      </c>
      <c r="K282" t="s">
        <v>921</v>
      </c>
      <c r="L282">
        <v>45931</v>
      </c>
      <c r="M282">
        <v>46660</v>
      </c>
      <c r="N282" t="s">
        <v>897</v>
      </c>
      <c r="O282" t="s">
        <v>904</v>
      </c>
      <c r="Q282" t="s">
        <v>922</v>
      </c>
      <c r="R282" t="s">
        <v>923</v>
      </c>
      <c r="S282" t="s">
        <v>907</v>
      </c>
      <c r="T282" t="s">
        <v>933</v>
      </c>
      <c r="U282" t="s">
        <v>925</v>
      </c>
      <c r="V282">
        <f>IF(AND(SUM(IF('Consulta de contratos'!$K$1="",0,1),IF('Consulta de contratos'!$K$2="",0,1),IF('Consulta de contratos'!$K$3="",0,1),IF('Consulta de contratos'!$K$4="",0,1),IF('Consulta de contratos'!$K$5="",0,1),IF('Consulta de contratos'!$K$6="",0,1))&gt;0,OR('Consulta de contratos'!$K$1="",A282='Consulta de contratos'!$K$1),OR('Consulta de contratos'!$K$2="",I282='Consulta de contratos'!$K$2),OR('Consulta de contratos'!$K$3="",C282='Consulta de contratos'!$K$3),OR('Consulta de contratos'!$K$4="",D282='Consulta de contratos'!$K$4),OR('Consulta de contratos'!$K$5="",E282='Consulta de contratos'!$K$5),OR('Consulta de contratos'!$K$6="",IFERROR(ISNUMBER(SEARCH("|"&amp;'Consulta de contratos'!$K$6&amp;"|",AF282)),FALSE))),1,0)</f>
        <v>0</v>
      </c>
      <c r="W282">
        <f>IF(V282=1,SUM($V$2:V282),0)</f>
        <v>0</v>
      </c>
      <c r="X282" t="s">
        <v>59</v>
      </c>
      <c r="Y282" t="s">
        <v>926</v>
      </c>
      <c r="Z282" t="s">
        <v>927</v>
      </c>
      <c r="AA282" t="s">
        <v>62</v>
      </c>
      <c r="AF282" t="s">
        <v>928</v>
      </c>
    </row>
    <row r="283" spans="1:32" x14ac:dyDescent="0.35">
      <c r="A283" t="s">
        <v>198</v>
      </c>
      <c r="B283" t="s">
        <v>895</v>
      </c>
      <c r="C283" t="s">
        <v>896</v>
      </c>
      <c r="D283" t="s">
        <v>897</v>
      </c>
      <c r="E283" t="s">
        <v>898</v>
      </c>
      <c r="F283" t="s">
        <v>899</v>
      </c>
      <c r="G283" t="s">
        <v>900</v>
      </c>
      <c r="H283" t="s">
        <v>73</v>
      </c>
      <c r="I283" t="s">
        <v>934</v>
      </c>
      <c r="J283" t="s">
        <v>902</v>
      </c>
      <c r="K283" t="s">
        <v>935</v>
      </c>
      <c r="L283">
        <v>45931</v>
      </c>
      <c r="M283">
        <v>46660</v>
      </c>
      <c r="N283" t="s">
        <v>897</v>
      </c>
      <c r="O283" t="s">
        <v>904</v>
      </c>
      <c r="Q283" t="s">
        <v>936</v>
      </c>
      <c r="R283" t="s">
        <v>937</v>
      </c>
      <c r="S283" t="s">
        <v>907</v>
      </c>
      <c r="T283" t="s">
        <v>938</v>
      </c>
      <c r="U283" t="s">
        <v>939</v>
      </c>
      <c r="V283">
        <f>IF(AND(SUM(IF('Consulta de contratos'!$K$1="",0,1),IF('Consulta de contratos'!$K$2="",0,1),IF('Consulta de contratos'!$K$3="",0,1),IF('Consulta de contratos'!$K$4="",0,1),IF('Consulta de contratos'!$K$5="",0,1),IF('Consulta de contratos'!$K$6="",0,1))&gt;0,OR('Consulta de contratos'!$K$1="",A283='Consulta de contratos'!$K$1),OR('Consulta de contratos'!$K$2="",I283='Consulta de contratos'!$K$2),OR('Consulta de contratos'!$K$3="",C283='Consulta de contratos'!$K$3),OR('Consulta de contratos'!$K$4="",D283='Consulta de contratos'!$K$4),OR('Consulta de contratos'!$K$5="",E283='Consulta de contratos'!$K$5),OR('Consulta de contratos'!$K$6="",IFERROR(ISNUMBER(SEARCH("|"&amp;'Consulta de contratos'!$K$6&amp;"|",AF283)),FALSE))),1,0)</f>
        <v>0</v>
      </c>
      <c r="W283">
        <f>IF(V283=1,SUM($V$2:V283),0)</f>
        <v>0</v>
      </c>
      <c r="X283" t="s">
        <v>59</v>
      </c>
      <c r="Y283" t="s">
        <v>940</v>
      </c>
      <c r="Z283" t="s">
        <v>80</v>
      </c>
      <c r="AA283" t="s">
        <v>62</v>
      </c>
      <c r="AF283" t="s">
        <v>941</v>
      </c>
    </row>
    <row r="284" spans="1:32" x14ac:dyDescent="0.35">
      <c r="A284" t="s">
        <v>205</v>
      </c>
      <c r="B284" t="s">
        <v>895</v>
      </c>
      <c r="C284" t="s">
        <v>896</v>
      </c>
      <c r="D284" t="s">
        <v>897</v>
      </c>
      <c r="E284" t="s">
        <v>898</v>
      </c>
      <c r="F284" t="s">
        <v>899</v>
      </c>
      <c r="G284" t="s">
        <v>900</v>
      </c>
      <c r="H284" t="s">
        <v>73</v>
      </c>
      <c r="I284" t="s">
        <v>934</v>
      </c>
      <c r="J284" t="s">
        <v>902</v>
      </c>
      <c r="K284" t="s">
        <v>935</v>
      </c>
      <c r="L284">
        <v>45931</v>
      </c>
      <c r="M284">
        <v>46660</v>
      </c>
      <c r="N284" t="s">
        <v>897</v>
      </c>
      <c r="O284" t="s">
        <v>904</v>
      </c>
      <c r="Q284" t="s">
        <v>936</v>
      </c>
      <c r="R284" t="s">
        <v>937</v>
      </c>
      <c r="S284" t="s">
        <v>907</v>
      </c>
      <c r="T284" t="s">
        <v>942</v>
      </c>
      <c r="U284" t="s">
        <v>939</v>
      </c>
      <c r="V284">
        <f>IF(AND(SUM(IF('Consulta de contratos'!$K$1="",0,1),IF('Consulta de contratos'!$K$2="",0,1),IF('Consulta de contratos'!$K$3="",0,1),IF('Consulta de contratos'!$K$4="",0,1),IF('Consulta de contratos'!$K$5="",0,1),IF('Consulta de contratos'!$K$6="",0,1))&gt;0,OR('Consulta de contratos'!$K$1="",A284='Consulta de contratos'!$K$1),OR('Consulta de contratos'!$K$2="",I284='Consulta de contratos'!$K$2),OR('Consulta de contratos'!$K$3="",C284='Consulta de contratos'!$K$3),OR('Consulta de contratos'!$K$4="",D284='Consulta de contratos'!$K$4),OR('Consulta de contratos'!$K$5="",E284='Consulta de contratos'!$K$5),OR('Consulta de contratos'!$K$6="",IFERROR(ISNUMBER(SEARCH("|"&amp;'Consulta de contratos'!$K$6&amp;"|",AF284)),FALSE))),1,0)</f>
        <v>0</v>
      </c>
      <c r="W284">
        <f>IF(V284=1,SUM($V$2:V284),0)</f>
        <v>0</v>
      </c>
      <c r="X284" t="s">
        <v>59</v>
      </c>
      <c r="Y284" t="s">
        <v>940</v>
      </c>
      <c r="Z284" t="s">
        <v>80</v>
      </c>
      <c r="AA284" t="s">
        <v>62</v>
      </c>
      <c r="AF284" t="s">
        <v>941</v>
      </c>
    </row>
    <row r="285" spans="1:32" x14ac:dyDescent="0.35">
      <c r="A285" t="s">
        <v>212</v>
      </c>
      <c r="B285" t="s">
        <v>895</v>
      </c>
      <c r="C285" t="s">
        <v>896</v>
      </c>
      <c r="D285" t="s">
        <v>897</v>
      </c>
      <c r="E285" t="s">
        <v>898</v>
      </c>
      <c r="F285" t="s">
        <v>899</v>
      </c>
      <c r="G285" t="s">
        <v>900</v>
      </c>
      <c r="H285" t="s">
        <v>73</v>
      </c>
      <c r="I285" t="s">
        <v>934</v>
      </c>
      <c r="J285" t="s">
        <v>902</v>
      </c>
      <c r="K285" t="s">
        <v>935</v>
      </c>
      <c r="L285">
        <v>45931</v>
      </c>
      <c r="M285">
        <v>46660</v>
      </c>
      <c r="N285" t="s">
        <v>897</v>
      </c>
      <c r="O285" t="s">
        <v>904</v>
      </c>
      <c r="Q285" t="s">
        <v>936</v>
      </c>
      <c r="R285" t="s">
        <v>937</v>
      </c>
      <c r="S285" t="s">
        <v>907</v>
      </c>
      <c r="T285" t="s">
        <v>943</v>
      </c>
      <c r="U285" t="s">
        <v>939</v>
      </c>
      <c r="V285">
        <f>IF(AND(SUM(IF('Consulta de contratos'!$K$1="",0,1),IF('Consulta de contratos'!$K$2="",0,1),IF('Consulta de contratos'!$K$3="",0,1),IF('Consulta de contratos'!$K$4="",0,1),IF('Consulta de contratos'!$K$5="",0,1),IF('Consulta de contratos'!$K$6="",0,1))&gt;0,OR('Consulta de contratos'!$K$1="",A285='Consulta de contratos'!$K$1),OR('Consulta de contratos'!$K$2="",I285='Consulta de contratos'!$K$2),OR('Consulta de contratos'!$K$3="",C285='Consulta de contratos'!$K$3),OR('Consulta de contratos'!$K$4="",D285='Consulta de contratos'!$K$4),OR('Consulta de contratos'!$K$5="",E285='Consulta de contratos'!$K$5),OR('Consulta de contratos'!$K$6="",IFERROR(ISNUMBER(SEARCH("|"&amp;'Consulta de contratos'!$K$6&amp;"|",AF285)),FALSE))),1,0)</f>
        <v>0</v>
      </c>
      <c r="W285">
        <f>IF(V285=1,SUM($V$2:V285),0)</f>
        <v>0</v>
      </c>
      <c r="X285" t="s">
        <v>59</v>
      </c>
      <c r="Y285" t="s">
        <v>940</v>
      </c>
      <c r="Z285" t="s">
        <v>80</v>
      </c>
      <c r="AA285" t="s">
        <v>62</v>
      </c>
      <c r="AF285" t="s">
        <v>941</v>
      </c>
    </row>
    <row r="286" spans="1:32" x14ac:dyDescent="0.35">
      <c r="A286" t="s">
        <v>219</v>
      </c>
      <c r="B286" t="s">
        <v>895</v>
      </c>
      <c r="C286" t="s">
        <v>896</v>
      </c>
      <c r="D286" t="s">
        <v>897</v>
      </c>
      <c r="E286" t="s">
        <v>898</v>
      </c>
      <c r="F286" t="s">
        <v>899</v>
      </c>
      <c r="G286" t="s">
        <v>900</v>
      </c>
      <c r="H286" t="s">
        <v>73</v>
      </c>
      <c r="I286" t="s">
        <v>934</v>
      </c>
      <c r="J286" t="s">
        <v>902</v>
      </c>
      <c r="K286" t="s">
        <v>935</v>
      </c>
      <c r="L286">
        <v>45931</v>
      </c>
      <c r="M286">
        <v>46660</v>
      </c>
      <c r="N286" t="s">
        <v>897</v>
      </c>
      <c r="O286" t="s">
        <v>904</v>
      </c>
      <c r="Q286" t="s">
        <v>936</v>
      </c>
      <c r="R286" t="s">
        <v>937</v>
      </c>
      <c r="S286" t="s">
        <v>907</v>
      </c>
      <c r="T286" t="s">
        <v>944</v>
      </c>
      <c r="U286" t="s">
        <v>939</v>
      </c>
      <c r="V286">
        <f>IF(AND(SUM(IF('Consulta de contratos'!$K$1="",0,1),IF('Consulta de contratos'!$K$2="",0,1),IF('Consulta de contratos'!$K$3="",0,1),IF('Consulta de contratos'!$K$4="",0,1),IF('Consulta de contratos'!$K$5="",0,1),IF('Consulta de contratos'!$K$6="",0,1))&gt;0,OR('Consulta de contratos'!$K$1="",A286='Consulta de contratos'!$K$1),OR('Consulta de contratos'!$K$2="",I286='Consulta de contratos'!$K$2),OR('Consulta de contratos'!$K$3="",C286='Consulta de contratos'!$K$3),OR('Consulta de contratos'!$K$4="",D286='Consulta de contratos'!$K$4),OR('Consulta de contratos'!$K$5="",E286='Consulta de contratos'!$K$5),OR('Consulta de contratos'!$K$6="",IFERROR(ISNUMBER(SEARCH("|"&amp;'Consulta de contratos'!$K$6&amp;"|",AF286)),FALSE))),1,0)</f>
        <v>0</v>
      </c>
      <c r="W286">
        <f>IF(V286=1,SUM($V$2:V286),0)</f>
        <v>0</v>
      </c>
      <c r="X286" t="s">
        <v>59</v>
      </c>
      <c r="Y286" t="s">
        <v>940</v>
      </c>
      <c r="Z286" t="s">
        <v>80</v>
      </c>
      <c r="AA286" t="s">
        <v>62</v>
      </c>
      <c r="AF286" t="s">
        <v>941</v>
      </c>
    </row>
    <row r="287" spans="1:32" x14ac:dyDescent="0.35">
      <c r="A287" t="s">
        <v>233</v>
      </c>
      <c r="B287" t="s">
        <v>895</v>
      </c>
      <c r="C287" t="s">
        <v>896</v>
      </c>
      <c r="D287" t="s">
        <v>897</v>
      </c>
      <c r="E287" t="s">
        <v>898</v>
      </c>
      <c r="F287" t="s">
        <v>899</v>
      </c>
      <c r="G287" t="s">
        <v>900</v>
      </c>
      <c r="H287" t="s">
        <v>73</v>
      </c>
      <c r="I287" t="s">
        <v>934</v>
      </c>
      <c r="J287" t="s">
        <v>902</v>
      </c>
      <c r="K287" t="s">
        <v>935</v>
      </c>
      <c r="L287">
        <v>45931</v>
      </c>
      <c r="M287">
        <v>46660</v>
      </c>
      <c r="N287" t="s">
        <v>897</v>
      </c>
      <c r="O287" t="s">
        <v>904</v>
      </c>
      <c r="Q287" t="s">
        <v>936</v>
      </c>
      <c r="R287" t="s">
        <v>937</v>
      </c>
      <c r="S287" t="s">
        <v>907</v>
      </c>
      <c r="T287" t="s">
        <v>945</v>
      </c>
      <c r="U287" t="s">
        <v>939</v>
      </c>
      <c r="V287">
        <f>IF(AND(SUM(IF('Consulta de contratos'!$K$1="",0,1),IF('Consulta de contratos'!$K$2="",0,1),IF('Consulta de contratos'!$K$3="",0,1),IF('Consulta de contratos'!$K$4="",0,1),IF('Consulta de contratos'!$K$5="",0,1),IF('Consulta de contratos'!$K$6="",0,1))&gt;0,OR('Consulta de contratos'!$K$1="",A287='Consulta de contratos'!$K$1),OR('Consulta de contratos'!$K$2="",I287='Consulta de contratos'!$K$2),OR('Consulta de contratos'!$K$3="",C287='Consulta de contratos'!$K$3),OR('Consulta de contratos'!$K$4="",D287='Consulta de contratos'!$K$4),OR('Consulta de contratos'!$K$5="",E287='Consulta de contratos'!$K$5),OR('Consulta de contratos'!$K$6="",IFERROR(ISNUMBER(SEARCH("|"&amp;'Consulta de contratos'!$K$6&amp;"|",AF287)),FALSE))),1,0)</f>
        <v>0</v>
      </c>
      <c r="W287">
        <f>IF(V287=1,SUM($V$2:V287),0)</f>
        <v>0</v>
      </c>
      <c r="X287" t="s">
        <v>59</v>
      </c>
      <c r="Y287" t="s">
        <v>940</v>
      </c>
      <c r="Z287" t="s">
        <v>80</v>
      </c>
      <c r="AA287" t="s">
        <v>62</v>
      </c>
      <c r="AF287" t="s">
        <v>941</v>
      </c>
    </row>
    <row r="288" spans="1:32" x14ac:dyDescent="0.35">
      <c r="A288" t="s">
        <v>240</v>
      </c>
      <c r="B288" t="s">
        <v>895</v>
      </c>
      <c r="C288" t="s">
        <v>896</v>
      </c>
      <c r="D288" t="s">
        <v>897</v>
      </c>
      <c r="E288" t="s">
        <v>898</v>
      </c>
      <c r="F288" t="s">
        <v>899</v>
      </c>
      <c r="G288" t="s">
        <v>900</v>
      </c>
      <c r="H288" t="s">
        <v>73</v>
      </c>
      <c r="I288" t="s">
        <v>934</v>
      </c>
      <c r="J288" t="s">
        <v>902</v>
      </c>
      <c r="K288" t="s">
        <v>935</v>
      </c>
      <c r="L288">
        <v>45931</v>
      </c>
      <c r="M288">
        <v>46660</v>
      </c>
      <c r="N288" t="s">
        <v>897</v>
      </c>
      <c r="O288" t="s">
        <v>904</v>
      </c>
      <c r="Q288" t="s">
        <v>936</v>
      </c>
      <c r="R288" t="s">
        <v>937</v>
      </c>
      <c r="S288" t="s">
        <v>907</v>
      </c>
      <c r="T288" t="s">
        <v>946</v>
      </c>
      <c r="U288" t="s">
        <v>939</v>
      </c>
      <c r="V288">
        <f>IF(AND(SUM(IF('Consulta de contratos'!$K$1="",0,1),IF('Consulta de contratos'!$K$2="",0,1),IF('Consulta de contratos'!$K$3="",0,1),IF('Consulta de contratos'!$K$4="",0,1),IF('Consulta de contratos'!$K$5="",0,1),IF('Consulta de contratos'!$K$6="",0,1))&gt;0,OR('Consulta de contratos'!$K$1="",A288='Consulta de contratos'!$K$1),OR('Consulta de contratos'!$K$2="",I288='Consulta de contratos'!$K$2),OR('Consulta de contratos'!$K$3="",C288='Consulta de contratos'!$K$3),OR('Consulta de contratos'!$K$4="",D288='Consulta de contratos'!$K$4),OR('Consulta de contratos'!$K$5="",E288='Consulta de contratos'!$K$5),OR('Consulta de contratos'!$K$6="",IFERROR(ISNUMBER(SEARCH("|"&amp;'Consulta de contratos'!$K$6&amp;"|",AF288)),FALSE))),1,0)</f>
        <v>0</v>
      </c>
      <c r="W288">
        <f>IF(V288=1,SUM($V$2:V288),0)</f>
        <v>0</v>
      </c>
      <c r="X288" t="s">
        <v>59</v>
      </c>
      <c r="Y288" t="s">
        <v>940</v>
      </c>
      <c r="Z288" t="s">
        <v>80</v>
      </c>
      <c r="AA288" t="s">
        <v>62</v>
      </c>
      <c r="AF288" t="s">
        <v>941</v>
      </c>
    </row>
    <row r="289" spans="1:32" x14ac:dyDescent="0.35">
      <c r="A289" t="s">
        <v>247</v>
      </c>
      <c r="B289" t="s">
        <v>895</v>
      </c>
      <c r="C289" t="s">
        <v>896</v>
      </c>
      <c r="D289" t="s">
        <v>897</v>
      </c>
      <c r="E289" t="s">
        <v>898</v>
      </c>
      <c r="F289" t="s">
        <v>899</v>
      </c>
      <c r="G289" t="s">
        <v>900</v>
      </c>
      <c r="H289" t="s">
        <v>73</v>
      </c>
      <c r="I289" t="s">
        <v>934</v>
      </c>
      <c r="J289" t="s">
        <v>902</v>
      </c>
      <c r="K289" t="s">
        <v>935</v>
      </c>
      <c r="L289">
        <v>45931</v>
      </c>
      <c r="M289">
        <v>46660</v>
      </c>
      <c r="N289" t="s">
        <v>897</v>
      </c>
      <c r="O289" t="s">
        <v>904</v>
      </c>
      <c r="Q289" t="s">
        <v>936</v>
      </c>
      <c r="R289" t="s">
        <v>937</v>
      </c>
      <c r="S289" t="s">
        <v>907</v>
      </c>
      <c r="T289" t="s">
        <v>947</v>
      </c>
      <c r="U289" t="s">
        <v>939</v>
      </c>
      <c r="V289">
        <f>IF(AND(SUM(IF('Consulta de contratos'!$K$1="",0,1),IF('Consulta de contratos'!$K$2="",0,1),IF('Consulta de contratos'!$K$3="",0,1),IF('Consulta de contratos'!$K$4="",0,1),IF('Consulta de contratos'!$K$5="",0,1),IF('Consulta de contratos'!$K$6="",0,1))&gt;0,OR('Consulta de contratos'!$K$1="",A289='Consulta de contratos'!$K$1),OR('Consulta de contratos'!$K$2="",I289='Consulta de contratos'!$K$2),OR('Consulta de contratos'!$K$3="",C289='Consulta de contratos'!$K$3),OR('Consulta de contratos'!$K$4="",D289='Consulta de contratos'!$K$4),OR('Consulta de contratos'!$K$5="",E289='Consulta de contratos'!$K$5),OR('Consulta de contratos'!$K$6="",IFERROR(ISNUMBER(SEARCH("|"&amp;'Consulta de contratos'!$K$6&amp;"|",AF289)),FALSE))),1,0)</f>
        <v>0</v>
      </c>
      <c r="W289">
        <f>IF(V289=1,SUM($V$2:V289),0)</f>
        <v>0</v>
      </c>
      <c r="X289" t="s">
        <v>59</v>
      </c>
      <c r="Y289" t="s">
        <v>940</v>
      </c>
      <c r="Z289" t="s">
        <v>80</v>
      </c>
      <c r="AA289" t="s">
        <v>62</v>
      </c>
      <c r="AF289" t="s">
        <v>941</v>
      </c>
    </row>
    <row r="290" spans="1:32" x14ac:dyDescent="0.35">
      <c r="A290" t="s">
        <v>254</v>
      </c>
      <c r="B290" t="s">
        <v>895</v>
      </c>
      <c r="C290" t="s">
        <v>896</v>
      </c>
      <c r="D290" t="s">
        <v>897</v>
      </c>
      <c r="E290" t="s">
        <v>898</v>
      </c>
      <c r="F290" t="s">
        <v>899</v>
      </c>
      <c r="G290" t="s">
        <v>900</v>
      </c>
      <c r="H290" t="s">
        <v>73</v>
      </c>
      <c r="I290" t="s">
        <v>934</v>
      </c>
      <c r="J290" t="s">
        <v>902</v>
      </c>
      <c r="K290" t="s">
        <v>935</v>
      </c>
      <c r="L290">
        <v>45931</v>
      </c>
      <c r="M290">
        <v>46660</v>
      </c>
      <c r="N290" t="s">
        <v>897</v>
      </c>
      <c r="O290" t="s">
        <v>904</v>
      </c>
      <c r="Q290" t="s">
        <v>936</v>
      </c>
      <c r="R290" t="s">
        <v>937</v>
      </c>
      <c r="S290" t="s">
        <v>907</v>
      </c>
      <c r="T290" t="s">
        <v>948</v>
      </c>
      <c r="U290" t="s">
        <v>939</v>
      </c>
      <c r="V290">
        <f>IF(AND(SUM(IF('Consulta de contratos'!$K$1="",0,1),IF('Consulta de contratos'!$K$2="",0,1),IF('Consulta de contratos'!$K$3="",0,1),IF('Consulta de contratos'!$K$4="",0,1),IF('Consulta de contratos'!$K$5="",0,1),IF('Consulta de contratos'!$K$6="",0,1))&gt;0,OR('Consulta de contratos'!$K$1="",A290='Consulta de contratos'!$K$1),OR('Consulta de contratos'!$K$2="",I290='Consulta de contratos'!$K$2),OR('Consulta de contratos'!$K$3="",C290='Consulta de contratos'!$K$3),OR('Consulta de contratos'!$K$4="",D290='Consulta de contratos'!$K$4),OR('Consulta de contratos'!$K$5="",E290='Consulta de contratos'!$K$5),OR('Consulta de contratos'!$K$6="",IFERROR(ISNUMBER(SEARCH("|"&amp;'Consulta de contratos'!$K$6&amp;"|",AF290)),FALSE))),1,0)</f>
        <v>0</v>
      </c>
      <c r="W290">
        <f>IF(V290=1,SUM($V$2:V290),0)</f>
        <v>0</v>
      </c>
      <c r="X290" t="s">
        <v>59</v>
      </c>
      <c r="Y290" t="s">
        <v>940</v>
      </c>
      <c r="Z290" t="s">
        <v>80</v>
      </c>
      <c r="AA290" t="s">
        <v>62</v>
      </c>
      <c r="AF290" t="s">
        <v>941</v>
      </c>
    </row>
    <row r="291" spans="1:32" x14ac:dyDescent="0.35">
      <c r="A291" t="s">
        <v>40</v>
      </c>
      <c r="B291" t="s">
        <v>895</v>
      </c>
      <c r="C291" t="s">
        <v>896</v>
      </c>
      <c r="D291" t="s">
        <v>897</v>
      </c>
      <c r="E291" t="s">
        <v>898</v>
      </c>
      <c r="F291" t="s">
        <v>949</v>
      </c>
      <c r="G291" t="s">
        <v>950</v>
      </c>
      <c r="H291" t="s">
        <v>47</v>
      </c>
      <c r="I291" t="s">
        <v>951</v>
      </c>
      <c r="J291" t="s">
        <v>952</v>
      </c>
      <c r="K291" t="s">
        <v>953</v>
      </c>
      <c r="N291" t="s">
        <v>897</v>
      </c>
      <c r="O291" t="s">
        <v>904</v>
      </c>
      <c r="Q291" t="s">
        <v>954</v>
      </c>
      <c r="R291" t="s">
        <v>955</v>
      </c>
      <c r="S291" t="s">
        <v>956</v>
      </c>
      <c r="T291" t="s">
        <v>957</v>
      </c>
      <c r="U291" t="s">
        <v>958</v>
      </c>
      <c r="V291">
        <f>IF(AND(SUM(IF('Consulta de contratos'!$K$1="",0,1),IF('Consulta de contratos'!$K$2="",0,1),IF('Consulta de contratos'!$K$3="",0,1),IF('Consulta de contratos'!$K$4="",0,1),IF('Consulta de contratos'!$K$5="",0,1),IF('Consulta de contratos'!$K$6="",0,1))&gt;0,OR('Consulta de contratos'!$K$1="",A291='Consulta de contratos'!$K$1),OR('Consulta de contratos'!$K$2="",I291='Consulta de contratos'!$K$2),OR('Consulta de contratos'!$K$3="",C291='Consulta de contratos'!$K$3),OR('Consulta de contratos'!$K$4="",D291='Consulta de contratos'!$K$4),OR('Consulta de contratos'!$K$5="",E291='Consulta de contratos'!$K$5),OR('Consulta de contratos'!$K$6="",IFERROR(ISNUMBER(SEARCH("|"&amp;'Consulta de contratos'!$K$6&amp;"|",AF291)),FALSE))),1,0)</f>
        <v>0</v>
      </c>
      <c r="W291">
        <f>IF(V291=1,SUM($V$2:V291),0)</f>
        <v>0</v>
      </c>
      <c r="X291" t="s">
        <v>959</v>
      </c>
      <c r="Y291" t="s">
        <v>960</v>
      </c>
      <c r="Z291" t="s">
        <v>927</v>
      </c>
      <c r="AA291" t="s">
        <v>62</v>
      </c>
      <c r="AF291" t="s">
        <v>961</v>
      </c>
    </row>
    <row r="292" spans="1:32" x14ac:dyDescent="0.35">
      <c r="A292" t="s">
        <v>116</v>
      </c>
      <c r="B292" t="s">
        <v>895</v>
      </c>
      <c r="C292" t="s">
        <v>896</v>
      </c>
      <c r="D292" t="s">
        <v>897</v>
      </c>
      <c r="E292" t="s">
        <v>898</v>
      </c>
      <c r="F292" t="s">
        <v>949</v>
      </c>
      <c r="G292" t="s">
        <v>950</v>
      </c>
      <c r="H292" t="s">
        <v>47</v>
      </c>
      <c r="I292" t="s">
        <v>951</v>
      </c>
      <c r="J292" t="s">
        <v>952</v>
      </c>
      <c r="K292" t="s">
        <v>953</v>
      </c>
      <c r="N292" t="s">
        <v>897</v>
      </c>
      <c r="O292" t="s">
        <v>904</v>
      </c>
      <c r="Q292" t="s">
        <v>954</v>
      </c>
      <c r="R292" t="s">
        <v>955</v>
      </c>
      <c r="S292" t="s">
        <v>956</v>
      </c>
      <c r="T292" t="s">
        <v>962</v>
      </c>
      <c r="U292" t="s">
        <v>958</v>
      </c>
      <c r="V292">
        <f>IF(AND(SUM(IF('Consulta de contratos'!$K$1="",0,1),IF('Consulta de contratos'!$K$2="",0,1),IF('Consulta de contratos'!$K$3="",0,1),IF('Consulta de contratos'!$K$4="",0,1),IF('Consulta de contratos'!$K$5="",0,1),IF('Consulta de contratos'!$K$6="",0,1))&gt;0,OR('Consulta de contratos'!$K$1="",A292='Consulta de contratos'!$K$1),OR('Consulta de contratos'!$K$2="",I292='Consulta de contratos'!$K$2),OR('Consulta de contratos'!$K$3="",C292='Consulta de contratos'!$K$3),OR('Consulta de contratos'!$K$4="",D292='Consulta de contratos'!$K$4),OR('Consulta de contratos'!$K$5="",E292='Consulta de contratos'!$K$5),OR('Consulta de contratos'!$K$6="",IFERROR(ISNUMBER(SEARCH("|"&amp;'Consulta de contratos'!$K$6&amp;"|",AF292)),FALSE))),1,0)</f>
        <v>0</v>
      </c>
      <c r="W292">
        <f>IF(V292=1,SUM($V$2:V292),0)</f>
        <v>0</v>
      </c>
      <c r="X292" t="s">
        <v>959</v>
      </c>
      <c r="Y292" t="s">
        <v>960</v>
      </c>
      <c r="Z292" t="s">
        <v>927</v>
      </c>
      <c r="AA292" t="s">
        <v>62</v>
      </c>
      <c r="AF292" t="s">
        <v>961</v>
      </c>
    </row>
    <row r="293" spans="1:32" x14ac:dyDescent="0.35">
      <c r="A293" t="s">
        <v>123</v>
      </c>
      <c r="B293" t="s">
        <v>895</v>
      </c>
      <c r="C293" t="s">
        <v>896</v>
      </c>
      <c r="D293" t="s">
        <v>897</v>
      </c>
      <c r="E293" t="s">
        <v>898</v>
      </c>
      <c r="F293" t="s">
        <v>949</v>
      </c>
      <c r="G293" t="s">
        <v>950</v>
      </c>
      <c r="H293" t="s">
        <v>47</v>
      </c>
      <c r="I293" t="s">
        <v>951</v>
      </c>
      <c r="J293" t="s">
        <v>952</v>
      </c>
      <c r="K293" t="s">
        <v>953</v>
      </c>
      <c r="N293" t="s">
        <v>897</v>
      </c>
      <c r="O293" t="s">
        <v>904</v>
      </c>
      <c r="Q293" t="s">
        <v>954</v>
      </c>
      <c r="R293" t="s">
        <v>955</v>
      </c>
      <c r="S293" t="s">
        <v>956</v>
      </c>
      <c r="T293" t="s">
        <v>963</v>
      </c>
      <c r="U293" t="s">
        <v>958</v>
      </c>
      <c r="V293">
        <f>IF(AND(SUM(IF('Consulta de contratos'!$K$1="",0,1),IF('Consulta de contratos'!$K$2="",0,1),IF('Consulta de contratos'!$K$3="",0,1),IF('Consulta de contratos'!$K$4="",0,1),IF('Consulta de contratos'!$K$5="",0,1),IF('Consulta de contratos'!$K$6="",0,1))&gt;0,OR('Consulta de contratos'!$K$1="",A293='Consulta de contratos'!$K$1),OR('Consulta de contratos'!$K$2="",I293='Consulta de contratos'!$K$2),OR('Consulta de contratos'!$K$3="",C293='Consulta de contratos'!$K$3),OR('Consulta de contratos'!$K$4="",D293='Consulta de contratos'!$K$4),OR('Consulta de contratos'!$K$5="",E293='Consulta de contratos'!$K$5),OR('Consulta de contratos'!$K$6="",IFERROR(ISNUMBER(SEARCH("|"&amp;'Consulta de contratos'!$K$6&amp;"|",AF293)),FALSE))),1,0)</f>
        <v>0</v>
      </c>
      <c r="W293">
        <f>IF(V293=1,SUM($V$2:V293),0)</f>
        <v>0</v>
      </c>
      <c r="X293" t="s">
        <v>959</v>
      </c>
      <c r="Y293" t="s">
        <v>960</v>
      </c>
      <c r="Z293" t="s">
        <v>927</v>
      </c>
      <c r="AA293" t="s">
        <v>62</v>
      </c>
      <c r="AF293" t="s">
        <v>961</v>
      </c>
    </row>
    <row r="294" spans="1:32" x14ac:dyDescent="0.35">
      <c r="A294" t="s">
        <v>135</v>
      </c>
      <c r="B294" t="s">
        <v>895</v>
      </c>
      <c r="C294" t="s">
        <v>896</v>
      </c>
      <c r="D294" t="s">
        <v>897</v>
      </c>
      <c r="E294" t="s">
        <v>898</v>
      </c>
      <c r="F294" t="s">
        <v>949</v>
      </c>
      <c r="G294" t="s">
        <v>950</v>
      </c>
      <c r="H294" t="s">
        <v>47</v>
      </c>
      <c r="I294" t="s">
        <v>951</v>
      </c>
      <c r="J294" t="s">
        <v>952</v>
      </c>
      <c r="K294" t="s">
        <v>953</v>
      </c>
      <c r="N294" t="s">
        <v>897</v>
      </c>
      <c r="O294" t="s">
        <v>904</v>
      </c>
      <c r="Q294" t="s">
        <v>954</v>
      </c>
      <c r="R294" t="s">
        <v>955</v>
      </c>
      <c r="S294" t="s">
        <v>956</v>
      </c>
      <c r="T294" t="s">
        <v>964</v>
      </c>
      <c r="U294" t="s">
        <v>958</v>
      </c>
      <c r="V294">
        <f>IF(AND(SUM(IF('Consulta de contratos'!$K$1="",0,1),IF('Consulta de contratos'!$K$2="",0,1),IF('Consulta de contratos'!$K$3="",0,1),IF('Consulta de contratos'!$K$4="",0,1),IF('Consulta de contratos'!$K$5="",0,1),IF('Consulta de contratos'!$K$6="",0,1))&gt;0,OR('Consulta de contratos'!$K$1="",A294='Consulta de contratos'!$K$1),OR('Consulta de contratos'!$K$2="",I294='Consulta de contratos'!$K$2),OR('Consulta de contratos'!$K$3="",C294='Consulta de contratos'!$K$3),OR('Consulta de contratos'!$K$4="",D294='Consulta de contratos'!$K$4),OR('Consulta de contratos'!$K$5="",E294='Consulta de contratos'!$K$5),OR('Consulta de contratos'!$K$6="",IFERROR(ISNUMBER(SEARCH("|"&amp;'Consulta de contratos'!$K$6&amp;"|",AF294)),FALSE))),1,0)</f>
        <v>0</v>
      </c>
      <c r="W294">
        <f>IF(V294=1,SUM($V$2:V294),0)</f>
        <v>0</v>
      </c>
      <c r="X294" t="s">
        <v>959</v>
      </c>
      <c r="Y294" t="s">
        <v>960</v>
      </c>
      <c r="Z294" t="s">
        <v>927</v>
      </c>
      <c r="AA294" t="s">
        <v>62</v>
      </c>
      <c r="AF294" t="s">
        <v>961</v>
      </c>
    </row>
    <row r="295" spans="1:32" x14ac:dyDescent="0.35">
      <c r="A295" t="s">
        <v>142</v>
      </c>
      <c r="B295" t="s">
        <v>895</v>
      </c>
      <c r="C295" t="s">
        <v>896</v>
      </c>
      <c r="D295" t="s">
        <v>897</v>
      </c>
      <c r="E295" t="s">
        <v>898</v>
      </c>
      <c r="F295" t="s">
        <v>949</v>
      </c>
      <c r="G295" t="s">
        <v>950</v>
      </c>
      <c r="H295" t="s">
        <v>47</v>
      </c>
      <c r="I295" t="s">
        <v>951</v>
      </c>
      <c r="J295" t="s">
        <v>952</v>
      </c>
      <c r="K295" t="s">
        <v>953</v>
      </c>
      <c r="N295" t="s">
        <v>897</v>
      </c>
      <c r="O295" t="s">
        <v>904</v>
      </c>
      <c r="Q295" t="s">
        <v>954</v>
      </c>
      <c r="R295" t="s">
        <v>955</v>
      </c>
      <c r="S295" t="s">
        <v>956</v>
      </c>
      <c r="T295" t="s">
        <v>965</v>
      </c>
      <c r="U295" t="s">
        <v>958</v>
      </c>
      <c r="V295">
        <f>IF(AND(SUM(IF('Consulta de contratos'!$K$1="",0,1),IF('Consulta de contratos'!$K$2="",0,1),IF('Consulta de contratos'!$K$3="",0,1),IF('Consulta de contratos'!$K$4="",0,1),IF('Consulta de contratos'!$K$5="",0,1),IF('Consulta de contratos'!$K$6="",0,1))&gt;0,OR('Consulta de contratos'!$K$1="",A295='Consulta de contratos'!$K$1),OR('Consulta de contratos'!$K$2="",I295='Consulta de contratos'!$K$2),OR('Consulta de contratos'!$K$3="",C295='Consulta de contratos'!$K$3),OR('Consulta de contratos'!$K$4="",D295='Consulta de contratos'!$K$4),OR('Consulta de contratos'!$K$5="",E295='Consulta de contratos'!$K$5),OR('Consulta de contratos'!$K$6="",IFERROR(ISNUMBER(SEARCH("|"&amp;'Consulta de contratos'!$K$6&amp;"|",AF295)),FALSE))),1,0)</f>
        <v>0</v>
      </c>
      <c r="W295">
        <f>IF(V295=1,SUM($V$2:V295),0)</f>
        <v>0</v>
      </c>
      <c r="X295" t="s">
        <v>959</v>
      </c>
      <c r="Y295" t="s">
        <v>960</v>
      </c>
      <c r="Z295" t="s">
        <v>927</v>
      </c>
      <c r="AA295" t="s">
        <v>62</v>
      </c>
      <c r="AF295" t="s">
        <v>961</v>
      </c>
    </row>
    <row r="296" spans="1:32" x14ac:dyDescent="0.35">
      <c r="A296" t="s">
        <v>149</v>
      </c>
      <c r="B296" t="s">
        <v>895</v>
      </c>
      <c r="C296" t="s">
        <v>896</v>
      </c>
      <c r="D296" t="s">
        <v>897</v>
      </c>
      <c r="E296" t="s">
        <v>898</v>
      </c>
      <c r="F296" t="s">
        <v>949</v>
      </c>
      <c r="G296" t="s">
        <v>950</v>
      </c>
      <c r="H296" t="s">
        <v>47</v>
      </c>
      <c r="I296" t="s">
        <v>951</v>
      </c>
      <c r="J296" t="s">
        <v>952</v>
      </c>
      <c r="K296" t="s">
        <v>953</v>
      </c>
      <c r="N296" t="s">
        <v>897</v>
      </c>
      <c r="O296" t="s">
        <v>904</v>
      </c>
      <c r="Q296" t="s">
        <v>954</v>
      </c>
      <c r="R296" t="s">
        <v>955</v>
      </c>
      <c r="S296" t="s">
        <v>956</v>
      </c>
      <c r="T296" t="s">
        <v>966</v>
      </c>
      <c r="U296" t="s">
        <v>958</v>
      </c>
      <c r="V296">
        <f>IF(AND(SUM(IF('Consulta de contratos'!$K$1="",0,1),IF('Consulta de contratos'!$K$2="",0,1),IF('Consulta de contratos'!$K$3="",0,1),IF('Consulta de contratos'!$K$4="",0,1),IF('Consulta de contratos'!$K$5="",0,1),IF('Consulta de contratos'!$K$6="",0,1))&gt;0,OR('Consulta de contratos'!$K$1="",A296='Consulta de contratos'!$K$1),OR('Consulta de contratos'!$K$2="",I296='Consulta de contratos'!$K$2),OR('Consulta de contratos'!$K$3="",C296='Consulta de contratos'!$K$3),OR('Consulta de contratos'!$K$4="",D296='Consulta de contratos'!$K$4),OR('Consulta de contratos'!$K$5="",E296='Consulta de contratos'!$K$5),OR('Consulta de contratos'!$K$6="",IFERROR(ISNUMBER(SEARCH("|"&amp;'Consulta de contratos'!$K$6&amp;"|",AF296)),FALSE))),1,0)</f>
        <v>0</v>
      </c>
      <c r="W296">
        <f>IF(V296=1,SUM($V$2:V296),0)</f>
        <v>0</v>
      </c>
      <c r="X296" t="s">
        <v>959</v>
      </c>
      <c r="Y296" t="s">
        <v>960</v>
      </c>
      <c r="Z296" t="s">
        <v>927</v>
      </c>
      <c r="AA296" t="s">
        <v>62</v>
      </c>
      <c r="AF296" t="s">
        <v>961</v>
      </c>
    </row>
    <row r="297" spans="1:32" x14ac:dyDescent="0.35">
      <c r="A297" t="s">
        <v>156</v>
      </c>
      <c r="B297" t="s">
        <v>895</v>
      </c>
      <c r="C297" t="s">
        <v>896</v>
      </c>
      <c r="D297" t="s">
        <v>897</v>
      </c>
      <c r="E297" t="s">
        <v>898</v>
      </c>
      <c r="F297" t="s">
        <v>949</v>
      </c>
      <c r="G297" t="s">
        <v>950</v>
      </c>
      <c r="H297" t="s">
        <v>47</v>
      </c>
      <c r="I297" t="s">
        <v>951</v>
      </c>
      <c r="J297" t="s">
        <v>952</v>
      </c>
      <c r="K297" t="s">
        <v>953</v>
      </c>
      <c r="N297" t="s">
        <v>897</v>
      </c>
      <c r="O297" t="s">
        <v>904</v>
      </c>
      <c r="Q297" t="s">
        <v>954</v>
      </c>
      <c r="R297" t="s">
        <v>955</v>
      </c>
      <c r="S297" t="s">
        <v>956</v>
      </c>
      <c r="T297" t="s">
        <v>967</v>
      </c>
      <c r="U297" t="s">
        <v>958</v>
      </c>
      <c r="V297">
        <f>IF(AND(SUM(IF('Consulta de contratos'!$K$1="",0,1),IF('Consulta de contratos'!$K$2="",0,1),IF('Consulta de contratos'!$K$3="",0,1),IF('Consulta de contratos'!$K$4="",0,1),IF('Consulta de contratos'!$K$5="",0,1),IF('Consulta de contratos'!$K$6="",0,1))&gt;0,OR('Consulta de contratos'!$K$1="",A297='Consulta de contratos'!$K$1),OR('Consulta de contratos'!$K$2="",I297='Consulta de contratos'!$K$2),OR('Consulta de contratos'!$K$3="",C297='Consulta de contratos'!$K$3),OR('Consulta de contratos'!$K$4="",D297='Consulta de contratos'!$K$4),OR('Consulta de contratos'!$K$5="",E297='Consulta de contratos'!$K$5),OR('Consulta de contratos'!$K$6="",IFERROR(ISNUMBER(SEARCH("|"&amp;'Consulta de contratos'!$K$6&amp;"|",AF297)),FALSE))),1,0)</f>
        <v>0</v>
      </c>
      <c r="W297">
        <f>IF(V297=1,SUM($V$2:V297),0)</f>
        <v>0</v>
      </c>
      <c r="X297" t="s">
        <v>959</v>
      </c>
      <c r="Y297" t="s">
        <v>960</v>
      </c>
      <c r="Z297" t="s">
        <v>927</v>
      </c>
      <c r="AA297" t="s">
        <v>62</v>
      </c>
      <c r="AF297" t="s">
        <v>961</v>
      </c>
    </row>
    <row r="298" spans="1:32" x14ac:dyDescent="0.35">
      <c r="A298" t="s">
        <v>163</v>
      </c>
      <c r="B298" t="s">
        <v>895</v>
      </c>
      <c r="C298" t="s">
        <v>896</v>
      </c>
      <c r="D298" t="s">
        <v>897</v>
      </c>
      <c r="E298" t="s">
        <v>898</v>
      </c>
      <c r="F298" t="s">
        <v>949</v>
      </c>
      <c r="G298" t="s">
        <v>950</v>
      </c>
      <c r="H298" t="s">
        <v>47</v>
      </c>
      <c r="I298" t="s">
        <v>951</v>
      </c>
      <c r="J298" t="s">
        <v>952</v>
      </c>
      <c r="K298" t="s">
        <v>953</v>
      </c>
      <c r="N298" t="s">
        <v>897</v>
      </c>
      <c r="O298" t="s">
        <v>904</v>
      </c>
      <c r="Q298" t="s">
        <v>954</v>
      </c>
      <c r="R298" t="s">
        <v>955</v>
      </c>
      <c r="S298" t="s">
        <v>956</v>
      </c>
      <c r="T298" t="s">
        <v>968</v>
      </c>
      <c r="U298" t="s">
        <v>958</v>
      </c>
      <c r="V298">
        <f>IF(AND(SUM(IF('Consulta de contratos'!$K$1="",0,1),IF('Consulta de contratos'!$K$2="",0,1),IF('Consulta de contratos'!$K$3="",0,1),IF('Consulta de contratos'!$K$4="",0,1),IF('Consulta de contratos'!$K$5="",0,1),IF('Consulta de contratos'!$K$6="",0,1))&gt;0,OR('Consulta de contratos'!$K$1="",A298='Consulta de contratos'!$K$1),OR('Consulta de contratos'!$K$2="",I298='Consulta de contratos'!$K$2),OR('Consulta de contratos'!$K$3="",C298='Consulta de contratos'!$K$3),OR('Consulta de contratos'!$K$4="",D298='Consulta de contratos'!$K$4),OR('Consulta de contratos'!$K$5="",E298='Consulta de contratos'!$K$5),OR('Consulta de contratos'!$K$6="",IFERROR(ISNUMBER(SEARCH("|"&amp;'Consulta de contratos'!$K$6&amp;"|",AF298)),FALSE))),1,0)</f>
        <v>0</v>
      </c>
      <c r="W298">
        <f>IF(V298=1,SUM($V$2:V298),0)</f>
        <v>0</v>
      </c>
      <c r="X298" t="s">
        <v>959</v>
      </c>
      <c r="Y298" t="s">
        <v>960</v>
      </c>
      <c r="Z298" t="s">
        <v>927</v>
      </c>
      <c r="AA298" t="s">
        <v>62</v>
      </c>
      <c r="AF298" t="s">
        <v>961</v>
      </c>
    </row>
    <row r="299" spans="1:32" x14ac:dyDescent="0.35">
      <c r="A299" t="s">
        <v>170</v>
      </c>
      <c r="B299" t="s">
        <v>895</v>
      </c>
      <c r="C299" t="s">
        <v>896</v>
      </c>
      <c r="D299" t="s">
        <v>897</v>
      </c>
      <c r="E299" t="s">
        <v>898</v>
      </c>
      <c r="F299" t="s">
        <v>949</v>
      </c>
      <c r="G299" t="s">
        <v>950</v>
      </c>
      <c r="H299" t="s">
        <v>47</v>
      </c>
      <c r="I299" t="s">
        <v>951</v>
      </c>
      <c r="J299" t="s">
        <v>952</v>
      </c>
      <c r="K299" t="s">
        <v>953</v>
      </c>
      <c r="N299" t="s">
        <v>897</v>
      </c>
      <c r="O299" t="s">
        <v>904</v>
      </c>
      <c r="Q299" t="s">
        <v>954</v>
      </c>
      <c r="R299" t="s">
        <v>955</v>
      </c>
      <c r="S299" t="s">
        <v>956</v>
      </c>
      <c r="T299" t="s">
        <v>969</v>
      </c>
      <c r="U299" t="s">
        <v>958</v>
      </c>
      <c r="V299">
        <f>IF(AND(SUM(IF('Consulta de contratos'!$K$1="",0,1),IF('Consulta de contratos'!$K$2="",0,1),IF('Consulta de contratos'!$K$3="",0,1),IF('Consulta de contratos'!$K$4="",0,1),IF('Consulta de contratos'!$K$5="",0,1),IF('Consulta de contratos'!$K$6="",0,1))&gt;0,OR('Consulta de contratos'!$K$1="",A299='Consulta de contratos'!$K$1),OR('Consulta de contratos'!$K$2="",I299='Consulta de contratos'!$K$2),OR('Consulta de contratos'!$K$3="",C299='Consulta de contratos'!$K$3),OR('Consulta de contratos'!$K$4="",D299='Consulta de contratos'!$K$4),OR('Consulta de contratos'!$K$5="",E299='Consulta de contratos'!$K$5),OR('Consulta de contratos'!$K$6="",IFERROR(ISNUMBER(SEARCH("|"&amp;'Consulta de contratos'!$K$6&amp;"|",AF299)),FALSE))),1,0)</f>
        <v>0</v>
      </c>
      <c r="W299">
        <f>IF(V299=1,SUM($V$2:V299),0)</f>
        <v>0</v>
      </c>
      <c r="X299" t="s">
        <v>959</v>
      </c>
      <c r="Y299" t="s">
        <v>960</v>
      </c>
      <c r="Z299" t="s">
        <v>927</v>
      </c>
      <c r="AA299" t="s">
        <v>62</v>
      </c>
      <c r="AF299" t="s">
        <v>961</v>
      </c>
    </row>
    <row r="300" spans="1:32" x14ac:dyDescent="0.35">
      <c r="A300" t="s">
        <v>163</v>
      </c>
      <c r="B300" t="s">
        <v>895</v>
      </c>
      <c r="C300" t="s">
        <v>896</v>
      </c>
      <c r="D300" t="s">
        <v>897</v>
      </c>
      <c r="E300" t="s">
        <v>898</v>
      </c>
      <c r="F300" t="s">
        <v>949</v>
      </c>
      <c r="G300" t="s">
        <v>950</v>
      </c>
      <c r="H300" t="s">
        <v>124</v>
      </c>
      <c r="I300" t="s">
        <v>970</v>
      </c>
      <c r="J300" t="s">
        <v>971</v>
      </c>
      <c r="K300" t="s">
        <v>972</v>
      </c>
      <c r="N300" t="s">
        <v>897</v>
      </c>
      <c r="O300" t="s">
        <v>904</v>
      </c>
      <c r="Q300" t="s">
        <v>973</v>
      </c>
      <c r="R300" t="s">
        <v>955</v>
      </c>
      <c r="S300" t="s">
        <v>956</v>
      </c>
      <c r="T300" t="s">
        <v>974</v>
      </c>
      <c r="U300" t="s">
        <v>975</v>
      </c>
      <c r="V300">
        <f>IF(AND(SUM(IF('Consulta de contratos'!$K$1="",0,1),IF('Consulta de contratos'!$K$2="",0,1),IF('Consulta de contratos'!$K$3="",0,1),IF('Consulta de contratos'!$K$4="",0,1),IF('Consulta de contratos'!$K$5="",0,1),IF('Consulta de contratos'!$K$6="",0,1))&gt;0,OR('Consulta de contratos'!$K$1="",A300='Consulta de contratos'!$K$1),OR('Consulta de contratos'!$K$2="",I300='Consulta de contratos'!$K$2),OR('Consulta de contratos'!$K$3="",C300='Consulta de contratos'!$K$3),OR('Consulta de contratos'!$K$4="",D300='Consulta de contratos'!$K$4),OR('Consulta de contratos'!$K$5="",E300='Consulta de contratos'!$K$5),OR('Consulta de contratos'!$K$6="",IFERROR(ISNUMBER(SEARCH("|"&amp;'Consulta de contratos'!$K$6&amp;"|",AF300)),FALSE))),1,0)</f>
        <v>0</v>
      </c>
      <c r="W300">
        <f>IF(V300=1,SUM($V$2:V300),0)</f>
        <v>0</v>
      </c>
      <c r="X300" t="s">
        <v>959</v>
      </c>
      <c r="Y300" t="s">
        <v>976</v>
      </c>
      <c r="Z300" t="s">
        <v>977</v>
      </c>
      <c r="AA300" t="s">
        <v>62</v>
      </c>
      <c r="AF300" t="s">
        <v>978</v>
      </c>
    </row>
    <row r="301" spans="1:32" x14ac:dyDescent="0.35">
      <c r="A301" t="s">
        <v>170</v>
      </c>
      <c r="B301" t="s">
        <v>895</v>
      </c>
      <c r="C301" t="s">
        <v>896</v>
      </c>
      <c r="D301" t="s">
        <v>897</v>
      </c>
      <c r="E301" t="s">
        <v>898</v>
      </c>
      <c r="F301" t="s">
        <v>949</v>
      </c>
      <c r="G301" t="s">
        <v>950</v>
      </c>
      <c r="H301" t="s">
        <v>124</v>
      </c>
      <c r="I301" t="s">
        <v>970</v>
      </c>
      <c r="J301" t="s">
        <v>971</v>
      </c>
      <c r="K301" t="s">
        <v>972</v>
      </c>
      <c r="N301" t="s">
        <v>897</v>
      </c>
      <c r="O301" t="s">
        <v>904</v>
      </c>
      <c r="Q301" t="s">
        <v>973</v>
      </c>
      <c r="R301" t="s">
        <v>955</v>
      </c>
      <c r="S301" t="s">
        <v>956</v>
      </c>
      <c r="T301" t="s">
        <v>979</v>
      </c>
      <c r="U301" t="s">
        <v>975</v>
      </c>
      <c r="V301">
        <f>IF(AND(SUM(IF('Consulta de contratos'!$K$1="",0,1),IF('Consulta de contratos'!$K$2="",0,1),IF('Consulta de contratos'!$K$3="",0,1),IF('Consulta de contratos'!$K$4="",0,1),IF('Consulta de contratos'!$K$5="",0,1),IF('Consulta de contratos'!$K$6="",0,1))&gt;0,OR('Consulta de contratos'!$K$1="",A301='Consulta de contratos'!$K$1),OR('Consulta de contratos'!$K$2="",I301='Consulta de contratos'!$K$2),OR('Consulta de contratos'!$K$3="",C301='Consulta de contratos'!$K$3),OR('Consulta de contratos'!$K$4="",D301='Consulta de contratos'!$K$4),OR('Consulta de contratos'!$K$5="",E301='Consulta de contratos'!$K$5),OR('Consulta de contratos'!$K$6="",IFERROR(ISNUMBER(SEARCH("|"&amp;'Consulta de contratos'!$K$6&amp;"|",AF301)),FALSE))),1,0)</f>
        <v>0</v>
      </c>
      <c r="W301">
        <f>IF(V301=1,SUM($V$2:V301),0)</f>
        <v>0</v>
      </c>
      <c r="X301" t="s">
        <v>959</v>
      </c>
      <c r="Y301" t="s">
        <v>976</v>
      </c>
      <c r="Z301" t="s">
        <v>977</v>
      </c>
      <c r="AA301" t="s">
        <v>62</v>
      </c>
      <c r="AF301" t="s">
        <v>978</v>
      </c>
    </row>
    <row r="302" spans="1:32" x14ac:dyDescent="0.35">
      <c r="A302" t="s">
        <v>177</v>
      </c>
      <c r="B302" t="s">
        <v>895</v>
      </c>
      <c r="C302" t="s">
        <v>896</v>
      </c>
      <c r="D302" t="s">
        <v>897</v>
      </c>
      <c r="E302" t="s">
        <v>898</v>
      </c>
      <c r="F302" t="s">
        <v>949</v>
      </c>
      <c r="G302" t="s">
        <v>950</v>
      </c>
      <c r="H302" t="s">
        <v>124</v>
      </c>
      <c r="I302" t="s">
        <v>970</v>
      </c>
      <c r="J302" t="s">
        <v>971</v>
      </c>
      <c r="K302" t="s">
        <v>972</v>
      </c>
      <c r="N302" t="s">
        <v>897</v>
      </c>
      <c r="O302" t="s">
        <v>904</v>
      </c>
      <c r="Q302" t="s">
        <v>973</v>
      </c>
      <c r="R302" t="s">
        <v>955</v>
      </c>
      <c r="S302" t="s">
        <v>956</v>
      </c>
      <c r="T302" t="s">
        <v>980</v>
      </c>
      <c r="U302" t="s">
        <v>975</v>
      </c>
      <c r="V302">
        <f>IF(AND(SUM(IF('Consulta de contratos'!$K$1="",0,1),IF('Consulta de contratos'!$K$2="",0,1),IF('Consulta de contratos'!$K$3="",0,1),IF('Consulta de contratos'!$K$4="",0,1),IF('Consulta de contratos'!$K$5="",0,1),IF('Consulta de contratos'!$K$6="",0,1))&gt;0,OR('Consulta de contratos'!$K$1="",A302='Consulta de contratos'!$K$1),OR('Consulta de contratos'!$K$2="",I302='Consulta de contratos'!$K$2),OR('Consulta de contratos'!$K$3="",C302='Consulta de contratos'!$K$3),OR('Consulta de contratos'!$K$4="",D302='Consulta de contratos'!$K$4),OR('Consulta de contratos'!$K$5="",E302='Consulta de contratos'!$K$5),OR('Consulta de contratos'!$K$6="",IFERROR(ISNUMBER(SEARCH("|"&amp;'Consulta de contratos'!$K$6&amp;"|",AF302)),FALSE))),1,0)</f>
        <v>0</v>
      </c>
      <c r="W302">
        <f>IF(V302=1,SUM($V$2:V302),0)</f>
        <v>0</v>
      </c>
      <c r="X302" t="s">
        <v>959</v>
      </c>
      <c r="Y302" t="s">
        <v>976</v>
      </c>
      <c r="Z302" t="s">
        <v>977</v>
      </c>
      <c r="AA302" t="s">
        <v>62</v>
      </c>
      <c r="AF302" t="s">
        <v>978</v>
      </c>
    </row>
    <row r="303" spans="1:32" x14ac:dyDescent="0.35">
      <c r="A303" t="s">
        <v>184</v>
      </c>
      <c r="B303" t="s">
        <v>895</v>
      </c>
      <c r="C303" t="s">
        <v>896</v>
      </c>
      <c r="D303" t="s">
        <v>897</v>
      </c>
      <c r="E303" t="s">
        <v>898</v>
      </c>
      <c r="F303" t="s">
        <v>949</v>
      </c>
      <c r="G303" t="s">
        <v>950</v>
      </c>
      <c r="H303" t="s">
        <v>124</v>
      </c>
      <c r="I303" t="s">
        <v>970</v>
      </c>
      <c r="J303" t="s">
        <v>971</v>
      </c>
      <c r="K303" t="s">
        <v>972</v>
      </c>
      <c r="N303" t="s">
        <v>897</v>
      </c>
      <c r="O303" t="s">
        <v>904</v>
      </c>
      <c r="Q303" t="s">
        <v>973</v>
      </c>
      <c r="R303" t="s">
        <v>955</v>
      </c>
      <c r="S303" t="s">
        <v>956</v>
      </c>
      <c r="T303" t="s">
        <v>981</v>
      </c>
      <c r="U303" t="s">
        <v>975</v>
      </c>
      <c r="V303">
        <f>IF(AND(SUM(IF('Consulta de contratos'!$K$1="",0,1),IF('Consulta de contratos'!$K$2="",0,1),IF('Consulta de contratos'!$K$3="",0,1),IF('Consulta de contratos'!$K$4="",0,1),IF('Consulta de contratos'!$K$5="",0,1),IF('Consulta de contratos'!$K$6="",0,1))&gt;0,OR('Consulta de contratos'!$K$1="",A303='Consulta de contratos'!$K$1),OR('Consulta de contratos'!$K$2="",I303='Consulta de contratos'!$K$2),OR('Consulta de contratos'!$K$3="",C303='Consulta de contratos'!$K$3),OR('Consulta de contratos'!$K$4="",D303='Consulta de contratos'!$K$4),OR('Consulta de contratos'!$K$5="",E303='Consulta de contratos'!$K$5),OR('Consulta de contratos'!$K$6="",IFERROR(ISNUMBER(SEARCH("|"&amp;'Consulta de contratos'!$K$6&amp;"|",AF303)),FALSE))),1,0)</f>
        <v>0</v>
      </c>
      <c r="W303">
        <f>IF(V303=1,SUM($V$2:V303),0)</f>
        <v>0</v>
      </c>
      <c r="X303" t="s">
        <v>959</v>
      </c>
      <c r="Y303" t="s">
        <v>976</v>
      </c>
      <c r="Z303" t="s">
        <v>977</v>
      </c>
      <c r="AA303" t="s">
        <v>62</v>
      </c>
      <c r="AF303" t="s">
        <v>978</v>
      </c>
    </row>
    <row r="304" spans="1:32" x14ac:dyDescent="0.35">
      <c r="A304" t="s">
        <v>191</v>
      </c>
      <c r="B304" t="s">
        <v>895</v>
      </c>
      <c r="C304" t="s">
        <v>896</v>
      </c>
      <c r="D304" t="s">
        <v>897</v>
      </c>
      <c r="E304" t="s">
        <v>898</v>
      </c>
      <c r="F304" t="s">
        <v>949</v>
      </c>
      <c r="G304" t="s">
        <v>950</v>
      </c>
      <c r="H304" t="s">
        <v>124</v>
      </c>
      <c r="I304" t="s">
        <v>970</v>
      </c>
      <c r="J304" t="s">
        <v>971</v>
      </c>
      <c r="K304" t="s">
        <v>972</v>
      </c>
      <c r="N304" t="s">
        <v>897</v>
      </c>
      <c r="O304" t="s">
        <v>904</v>
      </c>
      <c r="Q304" t="s">
        <v>973</v>
      </c>
      <c r="R304" t="s">
        <v>955</v>
      </c>
      <c r="S304" t="s">
        <v>956</v>
      </c>
      <c r="T304" t="s">
        <v>982</v>
      </c>
      <c r="U304" t="s">
        <v>975</v>
      </c>
      <c r="V304">
        <f>IF(AND(SUM(IF('Consulta de contratos'!$K$1="",0,1),IF('Consulta de contratos'!$K$2="",0,1),IF('Consulta de contratos'!$K$3="",0,1),IF('Consulta de contratos'!$K$4="",0,1),IF('Consulta de contratos'!$K$5="",0,1),IF('Consulta de contratos'!$K$6="",0,1))&gt;0,OR('Consulta de contratos'!$K$1="",A304='Consulta de contratos'!$K$1),OR('Consulta de contratos'!$K$2="",I304='Consulta de contratos'!$K$2),OR('Consulta de contratos'!$K$3="",C304='Consulta de contratos'!$K$3),OR('Consulta de contratos'!$K$4="",D304='Consulta de contratos'!$K$4),OR('Consulta de contratos'!$K$5="",E304='Consulta de contratos'!$K$5),OR('Consulta de contratos'!$K$6="",IFERROR(ISNUMBER(SEARCH("|"&amp;'Consulta de contratos'!$K$6&amp;"|",AF304)),FALSE))),1,0)</f>
        <v>0</v>
      </c>
      <c r="W304">
        <f>IF(V304=1,SUM($V$2:V304),0)</f>
        <v>0</v>
      </c>
      <c r="X304" t="s">
        <v>959</v>
      </c>
      <c r="Y304" t="s">
        <v>976</v>
      </c>
      <c r="Z304" t="s">
        <v>977</v>
      </c>
      <c r="AA304" t="s">
        <v>62</v>
      </c>
      <c r="AF304" t="s">
        <v>978</v>
      </c>
    </row>
    <row r="305" spans="1:32" x14ac:dyDescent="0.35">
      <c r="A305" t="s">
        <v>226</v>
      </c>
      <c r="B305" t="s">
        <v>895</v>
      </c>
      <c r="C305" t="s">
        <v>896</v>
      </c>
      <c r="D305" t="s">
        <v>897</v>
      </c>
      <c r="E305" t="s">
        <v>898</v>
      </c>
      <c r="F305" t="s">
        <v>949</v>
      </c>
      <c r="G305" t="s">
        <v>950</v>
      </c>
      <c r="H305" t="s">
        <v>124</v>
      </c>
      <c r="I305" t="s">
        <v>970</v>
      </c>
      <c r="J305" t="s">
        <v>971</v>
      </c>
      <c r="K305" t="s">
        <v>972</v>
      </c>
      <c r="N305" t="s">
        <v>897</v>
      </c>
      <c r="O305" t="s">
        <v>904</v>
      </c>
      <c r="Q305" t="s">
        <v>973</v>
      </c>
      <c r="R305" t="s">
        <v>955</v>
      </c>
      <c r="S305" t="s">
        <v>956</v>
      </c>
      <c r="T305" t="s">
        <v>983</v>
      </c>
      <c r="U305" t="s">
        <v>975</v>
      </c>
      <c r="V305">
        <f>IF(AND(SUM(IF('Consulta de contratos'!$K$1="",0,1),IF('Consulta de contratos'!$K$2="",0,1),IF('Consulta de contratos'!$K$3="",0,1),IF('Consulta de contratos'!$K$4="",0,1),IF('Consulta de contratos'!$K$5="",0,1),IF('Consulta de contratos'!$K$6="",0,1))&gt;0,OR('Consulta de contratos'!$K$1="",A305='Consulta de contratos'!$K$1),OR('Consulta de contratos'!$K$2="",I305='Consulta de contratos'!$K$2),OR('Consulta de contratos'!$K$3="",C305='Consulta de contratos'!$K$3),OR('Consulta de contratos'!$K$4="",D305='Consulta de contratos'!$K$4),OR('Consulta de contratos'!$K$5="",E305='Consulta de contratos'!$K$5),OR('Consulta de contratos'!$K$6="",IFERROR(ISNUMBER(SEARCH("|"&amp;'Consulta de contratos'!$K$6&amp;"|",AF305)),FALSE))),1,0)</f>
        <v>0</v>
      </c>
      <c r="W305">
        <f>IF(V305=1,SUM($V$2:V305),0)</f>
        <v>0</v>
      </c>
      <c r="X305" t="s">
        <v>959</v>
      </c>
      <c r="Y305" t="s">
        <v>976</v>
      </c>
      <c r="Z305" t="s">
        <v>977</v>
      </c>
      <c r="AA305" t="s">
        <v>62</v>
      </c>
      <c r="AF305" t="s">
        <v>978</v>
      </c>
    </row>
    <row r="306" spans="1:32" x14ac:dyDescent="0.35">
      <c r="A306" t="s">
        <v>198</v>
      </c>
      <c r="B306" t="s">
        <v>895</v>
      </c>
      <c r="C306" t="s">
        <v>896</v>
      </c>
      <c r="D306" t="s">
        <v>897</v>
      </c>
      <c r="E306" t="s">
        <v>898</v>
      </c>
      <c r="F306" t="s">
        <v>949</v>
      </c>
      <c r="G306" t="s">
        <v>950</v>
      </c>
      <c r="H306" t="s">
        <v>124</v>
      </c>
      <c r="I306" t="s">
        <v>970</v>
      </c>
      <c r="J306" t="s">
        <v>971</v>
      </c>
      <c r="K306" t="s">
        <v>972</v>
      </c>
      <c r="N306" t="s">
        <v>897</v>
      </c>
      <c r="O306" t="s">
        <v>904</v>
      </c>
      <c r="Q306" t="s">
        <v>973</v>
      </c>
      <c r="R306" t="s">
        <v>955</v>
      </c>
      <c r="S306" t="s">
        <v>956</v>
      </c>
      <c r="T306" t="s">
        <v>984</v>
      </c>
      <c r="U306" t="s">
        <v>975</v>
      </c>
      <c r="V306">
        <f>IF(AND(SUM(IF('Consulta de contratos'!$K$1="",0,1),IF('Consulta de contratos'!$K$2="",0,1),IF('Consulta de contratos'!$K$3="",0,1),IF('Consulta de contratos'!$K$4="",0,1),IF('Consulta de contratos'!$K$5="",0,1),IF('Consulta de contratos'!$K$6="",0,1))&gt;0,OR('Consulta de contratos'!$K$1="",A306='Consulta de contratos'!$K$1),OR('Consulta de contratos'!$K$2="",I306='Consulta de contratos'!$K$2),OR('Consulta de contratos'!$K$3="",C306='Consulta de contratos'!$K$3),OR('Consulta de contratos'!$K$4="",D306='Consulta de contratos'!$K$4),OR('Consulta de contratos'!$K$5="",E306='Consulta de contratos'!$K$5),OR('Consulta de contratos'!$K$6="",IFERROR(ISNUMBER(SEARCH("|"&amp;'Consulta de contratos'!$K$6&amp;"|",AF306)),FALSE))),1,0)</f>
        <v>0</v>
      </c>
      <c r="W306">
        <f>IF(V306=1,SUM($V$2:V306),0)</f>
        <v>0</v>
      </c>
      <c r="X306" t="s">
        <v>959</v>
      </c>
      <c r="Y306" t="s">
        <v>976</v>
      </c>
      <c r="Z306" t="s">
        <v>977</v>
      </c>
      <c r="AA306" t="s">
        <v>62</v>
      </c>
      <c r="AF306" t="s">
        <v>978</v>
      </c>
    </row>
    <row r="307" spans="1:32" x14ac:dyDescent="0.35">
      <c r="A307" t="s">
        <v>205</v>
      </c>
      <c r="B307" t="s">
        <v>895</v>
      </c>
      <c r="C307" t="s">
        <v>896</v>
      </c>
      <c r="D307" t="s">
        <v>897</v>
      </c>
      <c r="E307" t="s">
        <v>898</v>
      </c>
      <c r="F307" t="s">
        <v>949</v>
      </c>
      <c r="G307" t="s">
        <v>950</v>
      </c>
      <c r="H307" t="s">
        <v>124</v>
      </c>
      <c r="I307" t="s">
        <v>970</v>
      </c>
      <c r="J307" t="s">
        <v>971</v>
      </c>
      <c r="K307" t="s">
        <v>972</v>
      </c>
      <c r="N307" t="s">
        <v>897</v>
      </c>
      <c r="O307" t="s">
        <v>904</v>
      </c>
      <c r="Q307" t="s">
        <v>973</v>
      </c>
      <c r="R307" t="s">
        <v>955</v>
      </c>
      <c r="S307" t="s">
        <v>956</v>
      </c>
      <c r="T307" t="s">
        <v>985</v>
      </c>
      <c r="U307" t="s">
        <v>975</v>
      </c>
      <c r="V307">
        <f>IF(AND(SUM(IF('Consulta de contratos'!$K$1="",0,1),IF('Consulta de contratos'!$K$2="",0,1),IF('Consulta de contratos'!$K$3="",0,1),IF('Consulta de contratos'!$K$4="",0,1),IF('Consulta de contratos'!$K$5="",0,1),IF('Consulta de contratos'!$K$6="",0,1))&gt;0,OR('Consulta de contratos'!$K$1="",A307='Consulta de contratos'!$K$1),OR('Consulta de contratos'!$K$2="",I307='Consulta de contratos'!$K$2),OR('Consulta de contratos'!$K$3="",C307='Consulta de contratos'!$K$3),OR('Consulta de contratos'!$K$4="",D307='Consulta de contratos'!$K$4),OR('Consulta de contratos'!$K$5="",E307='Consulta de contratos'!$K$5),OR('Consulta de contratos'!$K$6="",IFERROR(ISNUMBER(SEARCH("|"&amp;'Consulta de contratos'!$K$6&amp;"|",AF307)),FALSE))),1,0)</f>
        <v>0</v>
      </c>
      <c r="W307">
        <f>IF(V307=1,SUM($V$2:V307),0)</f>
        <v>0</v>
      </c>
      <c r="X307" t="s">
        <v>959</v>
      </c>
      <c r="Y307" t="s">
        <v>976</v>
      </c>
      <c r="Z307" t="s">
        <v>977</v>
      </c>
      <c r="AA307" t="s">
        <v>62</v>
      </c>
      <c r="AF307" t="s">
        <v>978</v>
      </c>
    </row>
    <row r="308" spans="1:32" x14ac:dyDescent="0.35">
      <c r="A308" t="s">
        <v>212</v>
      </c>
      <c r="B308" t="s">
        <v>895</v>
      </c>
      <c r="C308" t="s">
        <v>896</v>
      </c>
      <c r="D308" t="s">
        <v>897</v>
      </c>
      <c r="E308" t="s">
        <v>898</v>
      </c>
      <c r="F308" t="s">
        <v>949</v>
      </c>
      <c r="G308" t="s">
        <v>950</v>
      </c>
      <c r="H308" t="s">
        <v>124</v>
      </c>
      <c r="I308" t="s">
        <v>970</v>
      </c>
      <c r="J308" t="s">
        <v>971</v>
      </c>
      <c r="K308" t="s">
        <v>972</v>
      </c>
      <c r="N308" t="s">
        <v>897</v>
      </c>
      <c r="O308" t="s">
        <v>904</v>
      </c>
      <c r="Q308" t="s">
        <v>973</v>
      </c>
      <c r="R308" t="s">
        <v>955</v>
      </c>
      <c r="S308" t="s">
        <v>956</v>
      </c>
      <c r="T308" t="s">
        <v>986</v>
      </c>
      <c r="U308" t="s">
        <v>975</v>
      </c>
      <c r="V308">
        <f>IF(AND(SUM(IF('Consulta de contratos'!$K$1="",0,1),IF('Consulta de contratos'!$K$2="",0,1),IF('Consulta de contratos'!$K$3="",0,1),IF('Consulta de contratos'!$K$4="",0,1),IF('Consulta de contratos'!$K$5="",0,1),IF('Consulta de contratos'!$K$6="",0,1))&gt;0,OR('Consulta de contratos'!$K$1="",A308='Consulta de contratos'!$K$1),OR('Consulta de contratos'!$K$2="",I308='Consulta de contratos'!$K$2),OR('Consulta de contratos'!$K$3="",C308='Consulta de contratos'!$K$3),OR('Consulta de contratos'!$K$4="",D308='Consulta de contratos'!$K$4),OR('Consulta de contratos'!$K$5="",E308='Consulta de contratos'!$K$5),OR('Consulta de contratos'!$K$6="",IFERROR(ISNUMBER(SEARCH("|"&amp;'Consulta de contratos'!$K$6&amp;"|",AF308)),FALSE))),1,0)</f>
        <v>0</v>
      </c>
      <c r="W308">
        <f>IF(V308=1,SUM($V$2:V308),0)</f>
        <v>0</v>
      </c>
      <c r="X308" t="s">
        <v>959</v>
      </c>
      <c r="Y308" t="s">
        <v>976</v>
      </c>
      <c r="Z308" t="s">
        <v>977</v>
      </c>
      <c r="AA308" t="s">
        <v>62</v>
      </c>
      <c r="AF308" t="s">
        <v>978</v>
      </c>
    </row>
    <row r="309" spans="1:32" x14ac:dyDescent="0.35">
      <c r="A309" t="s">
        <v>219</v>
      </c>
      <c r="B309" t="s">
        <v>895</v>
      </c>
      <c r="C309" t="s">
        <v>896</v>
      </c>
      <c r="D309" t="s">
        <v>897</v>
      </c>
      <c r="E309" t="s">
        <v>898</v>
      </c>
      <c r="F309" t="s">
        <v>949</v>
      </c>
      <c r="G309" t="s">
        <v>950</v>
      </c>
      <c r="H309" t="s">
        <v>124</v>
      </c>
      <c r="I309" t="s">
        <v>970</v>
      </c>
      <c r="J309" t="s">
        <v>971</v>
      </c>
      <c r="K309" t="s">
        <v>972</v>
      </c>
      <c r="N309" t="s">
        <v>897</v>
      </c>
      <c r="O309" t="s">
        <v>904</v>
      </c>
      <c r="Q309" t="s">
        <v>973</v>
      </c>
      <c r="R309" t="s">
        <v>955</v>
      </c>
      <c r="S309" t="s">
        <v>956</v>
      </c>
      <c r="T309" t="s">
        <v>987</v>
      </c>
      <c r="U309" t="s">
        <v>975</v>
      </c>
      <c r="V309">
        <f>IF(AND(SUM(IF('Consulta de contratos'!$K$1="",0,1),IF('Consulta de contratos'!$K$2="",0,1),IF('Consulta de contratos'!$K$3="",0,1),IF('Consulta de contratos'!$K$4="",0,1),IF('Consulta de contratos'!$K$5="",0,1),IF('Consulta de contratos'!$K$6="",0,1))&gt;0,OR('Consulta de contratos'!$K$1="",A309='Consulta de contratos'!$K$1),OR('Consulta de contratos'!$K$2="",I309='Consulta de contratos'!$K$2),OR('Consulta de contratos'!$K$3="",C309='Consulta de contratos'!$K$3),OR('Consulta de contratos'!$K$4="",D309='Consulta de contratos'!$K$4),OR('Consulta de contratos'!$K$5="",E309='Consulta de contratos'!$K$5),OR('Consulta de contratos'!$K$6="",IFERROR(ISNUMBER(SEARCH("|"&amp;'Consulta de contratos'!$K$6&amp;"|",AF309)),FALSE))),1,0)</f>
        <v>0</v>
      </c>
      <c r="W309">
        <f>IF(V309=1,SUM($V$2:V309),0)</f>
        <v>0</v>
      </c>
      <c r="X309" t="s">
        <v>959</v>
      </c>
      <c r="Y309" t="s">
        <v>976</v>
      </c>
      <c r="Z309" t="s">
        <v>977</v>
      </c>
      <c r="AA309" t="s">
        <v>62</v>
      </c>
      <c r="AF309" t="s">
        <v>978</v>
      </c>
    </row>
    <row r="310" spans="1:32" x14ac:dyDescent="0.35">
      <c r="A310" t="s">
        <v>233</v>
      </c>
      <c r="B310" t="s">
        <v>895</v>
      </c>
      <c r="C310" t="s">
        <v>896</v>
      </c>
      <c r="D310" t="s">
        <v>897</v>
      </c>
      <c r="E310" t="s">
        <v>898</v>
      </c>
      <c r="F310" t="s">
        <v>949</v>
      </c>
      <c r="G310" t="s">
        <v>950</v>
      </c>
      <c r="H310" t="s">
        <v>124</v>
      </c>
      <c r="I310" t="s">
        <v>970</v>
      </c>
      <c r="J310" t="s">
        <v>971</v>
      </c>
      <c r="K310" t="s">
        <v>972</v>
      </c>
      <c r="N310" t="s">
        <v>897</v>
      </c>
      <c r="O310" t="s">
        <v>904</v>
      </c>
      <c r="Q310" t="s">
        <v>973</v>
      </c>
      <c r="R310" t="s">
        <v>955</v>
      </c>
      <c r="S310" t="s">
        <v>956</v>
      </c>
      <c r="T310" t="s">
        <v>988</v>
      </c>
      <c r="U310" t="s">
        <v>975</v>
      </c>
      <c r="V310">
        <f>IF(AND(SUM(IF('Consulta de contratos'!$K$1="",0,1),IF('Consulta de contratos'!$K$2="",0,1),IF('Consulta de contratos'!$K$3="",0,1),IF('Consulta de contratos'!$K$4="",0,1),IF('Consulta de contratos'!$K$5="",0,1),IF('Consulta de contratos'!$K$6="",0,1))&gt;0,OR('Consulta de contratos'!$K$1="",A310='Consulta de contratos'!$K$1),OR('Consulta de contratos'!$K$2="",I310='Consulta de contratos'!$K$2),OR('Consulta de contratos'!$K$3="",C310='Consulta de contratos'!$K$3),OR('Consulta de contratos'!$K$4="",D310='Consulta de contratos'!$K$4),OR('Consulta de contratos'!$K$5="",E310='Consulta de contratos'!$K$5),OR('Consulta de contratos'!$K$6="",IFERROR(ISNUMBER(SEARCH("|"&amp;'Consulta de contratos'!$K$6&amp;"|",AF310)),FALSE))),1,0)</f>
        <v>0</v>
      </c>
      <c r="W310">
        <f>IF(V310=1,SUM($V$2:V310),0)</f>
        <v>0</v>
      </c>
      <c r="X310" t="s">
        <v>959</v>
      </c>
      <c r="Y310" t="s">
        <v>976</v>
      </c>
      <c r="Z310" t="s">
        <v>977</v>
      </c>
      <c r="AA310" t="s">
        <v>62</v>
      </c>
      <c r="AF310" t="s">
        <v>978</v>
      </c>
    </row>
    <row r="311" spans="1:32" x14ac:dyDescent="0.35">
      <c r="A311" t="s">
        <v>240</v>
      </c>
      <c r="B311" t="s">
        <v>895</v>
      </c>
      <c r="C311" t="s">
        <v>896</v>
      </c>
      <c r="D311" t="s">
        <v>897</v>
      </c>
      <c r="E311" t="s">
        <v>898</v>
      </c>
      <c r="F311" t="s">
        <v>949</v>
      </c>
      <c r="G311" t="s">
        <v>950</v>
      </c>
      <c r="H311" t="s">
        <v>124</v>
      </c>
      <c r="I311" t="s">
        <v>970</v>
      </c>
      <c r="J311" t="s">
        <v>971</v>
      </c>
      <c r="K311" t="s">
        <v>972</v>
      </c>
      <c r="N311" t="s">
        <v>897</v>
      </c>
      <c r="O311" t="s">
        <v>904</v>
      </c>
      <c r="Q311" t="s">
        <v>973</v>
      </c>
      <c r="R311" t="s">
        <v>955</v>
      </c>
      <c r="S311" t="s">
        <v>956</v>
      </c>
      <c r="T311" t="s">
        <v>989</v>
      </c>
      <c r="U311" t="s">
        <v>975</v>
      </c>
      <c r="V311">
        <f>IF(AND(SUM(IF('Consulta de contratos'!$K$1="",0,1),IF('Consulta de contratos'!$K$2="",0,1),IF('Consulta de contratos'!$K$3="",0,1),IF('Consulta de contratos'!$K$4="",0,1),IF('Consulta de contratos'!$K$5="",0,1),IF('Consulta de contratos'!$K$6="",0,1))&gt;0,OR('Consulta de contratos'!$K$1="",A311='Consulta de contratos'!$K$1),OR('Consulta de contratos'!$K$2="",I311='Consulta de contratos'!$K$2),OR('Consulta de contratos'!$K$3="",C311='Consulta de contratos'!$K$3),OR('Consulta de contratos'!$K$4="",D311='Consulta de contratos'!$K$4),OR('Consulta de contratos'!$K$5="",E311='Consulta de contratos'!$K$5),OR('Consulta de contratos'!$K$6="",IFERROR(ISNUMBER(SEARCH("|"&amp;'Consulta de contratos'!$K$6&amp;"|",AF311)),FALSE))),1,0)</f>
        <v>0</v>
      </c>
      <c r="W311">
        <f>IF(V311=1,SUM($V$2:V311),0)</f>
        <v>0</v>
      </c>
      <c r="X311" t="s">
        <v>959</v>
      </c>
      <c r="Y311" t="s">
        <v>976</v>
      </c>
      <c r="Z311" t="s">
        <v>977</v>
      </c>
      <c r="AA311" t="s">
        <v>62</v>
      </c>
      <c r="AF311" t="s">
        <v>978</v>
      </c>
    </row>
    <row r="312" spans="1:32" x14ac:dyDescent="0.35">
      <c r="A312" t="s">
        <v>247</v>
      </c>
      <c r="B312" t="s">
        <v>895</v>
      </c>
      <c r="C312" t="s">
        <v>896</v>
      </c>
      <c r="D312" t="s">
        <v>897</v>
      </c>
      <c r="E312" t="s">
        <v>898</v>
      </c>
      <c r="F312" t="s">
        <v>949</v>
      </c>
      <c r="G312" t="s">
        <v>950</v>
      </c>
      <c r="H312" t="s">
        <v>124</v>
      </c>
      <c r="I312" t="s">
        <v>970</v>
      </c>
      <c r="J312" t="s">
        <v>971</v>
      </c>
      <c r="K312" t="s">
        <v>972</v>
      </c>
      <c r="N312" t="s">
        <v>897</v>
      </c>
      <c r="O312" t="s">
        <v>904</v>
      </c>
      <c r="Q312" t="s">
        <v>973</v>
      </c>
      <c r="R312" t="s">
        <v>955</v>
      </c>
      <c r="S312" t="s">
        <v>956</v>
      </c>
      <c r="T312" t="s">
        <v>990</v>
      </c>
      <c r="U312" t="s">
        <v>975</v>
      </c>
      <c r="V312">
        <f>IF(AND(SUM(IF('Consulta de contratos'!$K$1="",0,1),IF('Consulta de contratos'!$K$2="",0,1),IF('Consulta de contratos'!$K$3="",0,1),IF('Consulta de contratos'!$K$4="",0,1),IF('Consulta de contratos'!$K$5="",0,1),IF('Consulta de contratos'!$K$6="",0,1))&gt;0,OR('Consulta de contratos'!$K$1="",A312='Consulta de contratos'!$K$1),OR('Consulta de contratos'!$K$2="",I312='Consulta de contratos'!$K$2),OR('Consulta de contratos'!$K$3="",C312='Consulta de contratos'!$K$3),OR('Consulta de contratos'!$K$4="",D312='Consulta de contratos'!$K$4),OR('Consulta de contratos'!$K$5="",E312='Consulta de contratos'!$K$5),OR('Consulta de contratos'!$K$6="",IFERROR(ISNUMBER(SEARCH("|"&amp;'Consulta de contratos'!$K$6&amp;"|",AF312)),FALSE))),1,0)</f>
        <v>0</v>
      </c>
      <c r="W312">
        <f>IF(V312=1,SUM($V$2:V312),0)</f>
        <v>0</v>
      </c>
      <c r="X312" t="s">
        <v>959</v>
      </c>
      <c r="Y312" t="s">
        <v>976</v>
      </c>
      <c r="Z312" t="s">
        <v>977</v>
      </c>
      <c r="AA312" t="s">
        <v>62</v>
      </c>
      <c r="AF312" t="s">
        <v>978</v>
      </c>
    </row>
    <row r="313" spans="1:32" x14ac:dyDescent="0.35">
      <c r="A313" t="s">
        <v>254</v>
      </c>
      <c r="B313" t="s">
        <v>895</v>
      </c>
      <c r="C313" t="s">
        <v>896</v>
      </c>
      <c r="D313" t="s">
        <v>897</v>
      </c>
      <c r="E313" t="s">
        <v>898</v>
      </c>
      <c r="F313" t="s">
        <v>949</v>
      </c>
      <c r="G313" t="s">
        <v>950</v>
      </c>
      <c r="H313" t="s">
        <v>124</v>
      </c>
      <c r="I313" t="s">
        <v>970</v>
      </c>
      <c r="J313" t="s">
        <v>971</v>
      </c>
      <c r="K313" t="s">
        <v>972</v>
      </c>
      <c r="N313" t="s">
        <v>897</v>
      </c>
      <c r="O313" t="s">
        <v>904</v>
      </c>
      <c r="Q313" t="s">
        <v>973</v>
      </c>
      <c r="R313" t="s">
        <v>955</v>
      </c>
      <c r="S313" t="s">
        <v>956</v>
      </c>
      <c r="T313" t="s">
        <v>991</v>
      </c>
      <c r="U313" t="s">
        <v>975</v>
      </c>
      <c r="V313">
        <f>IF(AND(SUM(IF('Consulta de contratos'!$K$1="",0,1),IF('Consulta de contratos'!$K$2="",0,1),IF('Consulta de contratos'!$K$3="",0,1),IF('Consulta de contratos'!$K$4="",0,1),IF('Consulta de contratos'!$K$5="",0,1),IF('Consulta de contratos'!$K$6="",0,1))&gt;0,OR('Consulta de contratos'!$K$1="",A313='Consulta de contratos'!$K$1),OR('Consulta de contratos'!$K$2="",I313='Consulta de contratos'!$K$2),OR('Consulta de contratos'!$K$3="",C313='Consulta de contratos'!$K$3),OR('Consulta de contratos'!$K$4="",D313='Consulta de contratos'!$K$4),OR('Consulta de contratos'!$K$5="",E313='Consulta de contratos'!$K$5),OR('Consulta de contratos'!$K$6="",IFERROR(ISNUMBER(SEARCH("|"&amp;'Consulta de contratos'!$K$6&amp;"|",AF313)),FALSE))),1,0)</f>
        <v>0</v>
      </c>
      <c r="W313">
        <f>IF(V313=1,SUM($V$2:V313),0)</f>
        <v>0</v>
      </c>
      <c r="X313" t="s">
        <v>959</v>
      </c>
      <c r="Y313" t="s">
        <v>976</v>
      </c>
      <c r="Z313" t="s">
        <v>977</v>
      </c>
      <c r="AA313" t="s">
        <v>62</v>
      </c>
      <c r="AF313" t="s">
        <v>978</v>
      </c>
    </row>
    <row r="314" spans="1:32" x14ac:dyDescent="0.35">
      <c r="A314" t="s">
        <v>457</v>
      </c>
      <c r="B314" t="s">
        <v>895</v>
      </c>
      <c r="C314" t="s">
        <v>896</v>
      </c>
      <c r="D314" t="s">
        <v>897</v>
      </c>
      <c r="E314" t="s">
        <v>898</v>
      </c>
      <c r="F314" t="s">
        <v>949</v>
      </c>
      <c r="G314" t="s">
        <v>950</v>
      </c>
      <c r="H314" t="s">
        <v>73</v>
      </c>
      <c r="I314" t="s">
        <v>992</v>
      </c>
      <c r="J314" t="s">
        <v>993</v>
      </c>
      <c r="K314" t="s">
        <v>994</v>
      </c>
      <c r="N314" t="s">
        <v>897</v>
      </c>
      <c r="O314" t="s">
        <v>898</v>
      </c>
      <c r="Q314" t="s">
        <v>995</v>
      </c>
      <c r="R314" t="s">
        <v>955</v>
      </c>
      <c r="S314" t="s">
        <v>956</v>
      </c>
      <c r="T314" t="s">
        <v>996</v>
      </c>
      <c r="U314" t="s">
        <v>997</v>
      </c>
      <c r="V314">
        <f>IF(AND(SUM(IF('Consulta de contratos'!$K$1="",0,1),IF('Consulta de contratos'!$K$2="",0,1),IF('Consulta de contratos'!$K$3="",0,1),IF('Consulta de contratos'!$K$4="",0,1),IF('Consulta de contratos'!$K$5="",0,1),IF('Consulta de contratos'!$K$6="",0,1))&gt;0,OR('Consulta de contratos'!$K$1="",A314='Consulta de contratos'!$K$1),OR('Consulta de contratos'!$K$2="",I314='Consulta de contratos'!$K$2),OR('Consulta de contratos'!$K$3="",C314='Consulta de contratos'!$K$3),OR('Consulta de contratos'!$K$4="",D314='Consulta de contratos'!$K$4),OR('Consulta de contratos'!$K$5="",E314='Consulta de contratos'!$K$5),OR('Consulta de contratos'!$K$6="",IFERROR(ISNUMBER(SEARCH("|"&amp;'Consulta de contratos'!$K$6&amp;"|",AF314)),FALSE))),1,0)</f>
        <v>0</v>
      </c>
      <c r="W314">
        <f>IF(V314=1,SUM($V$2:V314),0)</f>
        <v>0</v>
      </c>
      <c r="X314" t="s">
        <v>959</v>
      </c>
      <c r="Y314" t="s">
        <v>998</v>
      </c>
      <c r="Z314" t="s">
        <v>927</v>
      </c>
      <c r="AA314" t="s">
        <v>62</v>
      </c>
      <c r="AF314" t="s">
        <v>999</v>
      </c>
    </row>
    <row r="315" spans="1:32" x14ac:dyDescent="0.35">
      <c r="A315" t="s">
        <v>457</v>
      </c>
      <c r="B315" t="s">
        <v>895</v>
      </c>
      <c r="C315" t="s">
        <v>896</v>
      </c>
      <c r="D315" t="s">
        <v>897</v>
      </c>
      <c r="E315" t="s">
        <v>898</v>
      </c>
      <c r="F315" t="s">
        <v>1000</v>
      </c>
      <c r="G315" t="s">
        <v>1001</v>
      </c>
      <c r="H315" t="s">
        <v>84</v>
      </c>
      <c r="I315" t="s">
        <v>1002</v>
      </c>
      <c r="J315" t="s">
        <v>1003</v>
      </c>
      <c r="K315" t="s">
        <v>1004</v>
      </c>
      <c r="L315">
        <v>45931</v>
      </c>
      <c r="M315">
        <v>46477</v>
      </c>
      <c r="N315" t="s">
        <v>897</v>
      </c>
      <c r="O315" t="s">
        <v>1005</v>
      </c>
      <c r="Q315" t="s">
        <v>1006</v>
      </c>
      <c r="R315" t="s">
        <v>1007</v>
      </c>
      <c r="S315" t="s">
        <v>1008</v>
      </c>
      <c r="T315" t="s">
        <v>1009</v>
      </c>
      <c r="U315" t="s">
        <v>1010</v>
      </c>
      <c r="V315">
        <f>IF(AND(SUM(IF('Consulta de contratos'!$K$1="",0,1),IF('Consulta de contratos'!$K$2="",0,1),IF('Consulta de contratos'!$K$3="",0,1),IF('Consulta de contratos'!$K$4="",0,1),IF('Consulta de contratos'!$K$5="",0,1),IF('Consulta de contratos'!$K$6="",0,1))&gt;0,OR('Consulta de contratos'!$K$1="",A315='Consulta de contratos'!$K$1),OR('Consulta de contratos'!$K$2="",I315='Consulta de contratos'!$K$2),OR('Consulta de contratos'!$K$3="",C315='Consulta de contratos'!$K$3),OR('Consulta de contratos'!$K$4="",D315='Consulta de contratos'!$K$4),OR('Consulta de contratos'!$K$5="",E315='Consulta de contratos'!$K$5),OR('Consulta de contratos'!$K$6="",IFERROR(ISNUMBER(SEARCH("|"&amp;'Consulta de contratos'!$K$6&amp;"|",AF315)),FALSE))),1,0)</f>
        <v>0</v>
      </c>
      <c r="W315">
        <f>IF(V315=1,SUM($V$2:V315),0)</f>
        <v>0</v>
      </c>
      <c r="X315" t="s">
        <v>59</v>
      </c>
      <c r="Y315" t="s">
        <v>804</v>
      </c>
      <c r="Z315" t="s">
        <v>80</v>
      </c>
      <c r="AA315" t="s">
        <v>62</v>
      </c>
      <c r="AF315" t="s">
        <v>805</v>
      </c>
    </row>
    <row r="316" spans="1:32" x14ac:dyDescent="0.35">
      <c r="A316" t="s">
        <v>457</v>
      </c>
      <c r="B316" t="s">
        <v>895</v>
      </c>
      <c r="C316" t="s">
        <v>896</v>
      </c>
      <c r="D316" t="s">
        <v>897</v>
      </c>
      <c r="E316" t="s">
        <v>898</v>
      </c>
      <c r="F316" t="s">
        <v>1011</v>
      </c>
      <c r="G316" t="s">
        <v>1012</v>
      </c>
      <c r="H316" t="s">
        <v>84</v>
      </c>
      <c r="I316" t="s">
        <v>1013</v>
      </c>
      <c r="J316" t="s">
        <v>1014</v>
      </c>
      <c r="K316" t="s">
        <v>1015</v>
      </c>
      <c r="M316">
        <v>46660</v>
      </c>
      <c r="N316" t="s">
        <v>897</v>
      </c>
      <c r="O316" t="s">
        <v>1016</v>
      </c>
      <c r="Q316" t="s">
        <v>1017</v>
      </c>
      <c r="R316" t="s">
        <v>1018</v>
      </c>
      <c r="S316" t="s">
        <v>1019</v>
      </c>
      <c r="T316" t="s">
        <v>1020</v>
      </c>
      <c r="U316" t="s">
        <v>1021</v>
      </c>
      <c r="V316">
        <f>IF(AND(SUM(IF('Consulta de contratos'!$K$1="",0,1),IF('Consulta de contratos'!$K$2="",0,1),IF('Consulta de contratos'!$K$3="",0,1),IF('Consulta de contratos'!$K$4="",0,1),IF('Consulta de contratos'!$K$5="",0,1),IF('Consulta de contratos'!$K$6="",0,1))&gt;0,OR('Consulta de contratos'!$K$1="",A316='Consulta de contratos'!$K$1),OR('Consulta de contratos'!$K$2="",I316='Consulta de contratos'!$K$2),OR('Consulta de contratos'!$K$3="",C316='Consulta de contratos'!$K$3),OR('Consulta de contratos'!$K$4="",D316='Consulta de contratos'!$K$4),OR('Consulta de contratos'!$K$5="",E316='Consulta de contratos'!$K$5),OR('Consulta de contratos'!$K$6="",IFERROR(ISNUMBER(SEARCH("|"&amp;'Consulta de contratos'!$K$6&amp;"|",AF316)),FALSE))),1,0)</f>
        <v>0</v>
      </c>
      <c r="W316">
        <f>IF(V316=1,SUM($V$2:V316),0)</f>
        <v>0</v>
      </c>
      <c r="X316" t="s">
        <v>59</v>
      </c>
      <c r="Y316" t="s">
        <v>1022</v>
      </c>
      <c r="Z316" t="s">
        <v>927</v>
      </c>
      <c r="AA316" t="s">
        <v>62</v>
      </c>
      <c r="AF316" t="s">
        <v>1023</v>
      </c>
    </row>
    <row r="317" spans="1:32" x14ac:dyDescent="0.35">
      <c r="A317" t="s">
        <v>457</v>
      </c>
      <c r="B317" t="s">
        <v>895</v>
      </c>
      <c r="C317" t="s">
        <v>896</v>
      </c>
      <c r="D317" t="s">
        <v>897</v>
      </c>
      <c r="E317" t="s">
        <v>898</v>
      </c>
      <c r="F317" t="s">
        <v>1024</v>
      </c>
      <c r="G317" t="s">
        <v>1025</v>
      </c>
      <c r="H317" t="s">
        <v>84</v>
      </c>
      <c r="I317" t="s">
        <v>1026</v>
      </c>
      <c r="J317" t="s">
        <v>1027</v>
      </c>
      <c r="K317" t="s">
        <v>1028</v>
      </c>
      <c r="M317">
        <v>46660</v>
      </c>
      <c r="N317" t="s">
        <v>897</v>
      </c>
      <c r="O317" t="s">
        <v>1016</v>
      </c>
      <c r="Q317" t="s">
        <v>1029</v>
      </c>
      <c r="R317" t="s">
        <v>1030</v>
      </c>
      <c r="S317" t="s">
        <v>1031</v>
      </c>
      <c r="T317" t="s">
        <v>1032</v>
      </c>
      <c r="U317" t="s">
        <v>1033</v>
      </c>
      <c r="V317">
        <f>IF(AND(SUM(IF('Consulta de contratos'!$K$1="",0,1),IF('Consulta de contratos'!$K$2="",0,1),IF('Consulta de contratos'!$K$3="",0,1),IF('Consulta de contratos'!$K$4="",0,1),IF('Consulta de contratos'!$K$5="",0,1),IF('Consulta de contratos'!$K$6="",0,1))&gt;0,OR('Consulta de contratos'!$K$1="",A317='Consulta de contratos'!$K$1),OR('Consulta de contratos'!$K$2="",I317='Consulta de contratos'!$K$2),OR('Consulta de contratos'!$K$3="",C317='Consulta de contratos'!$K$3),OR('Consulta de contratos'!$K$4="",D317='Consulta de contratos'!$K$4),OR('Consulta de contratos'!$K$5="",E317='Consulta de contratos'!$K$5),OR('Consulta de contratos'!$K$6="",IFERROR(ISNUMBER(SEARCH("|"&amp;'Consulta de contratos'!$K$6&amp;"|",AF317)),FALSE))),1,0)</f>
        <v>0</v>
      </c>
      <c r="W317">
        <f>IF(V317=1,SUM($V$2:V317),0)</f>
        <v>0</v>
      </c>
      <c r="X317" t="s">
        <v>59</v>
      </c>
      <c r="Y317" t="s">
        <v>1034</v>
      </c>
      <c r="Z317" t="s">
        <v>61</v>
      </c>
      <c r="AA317" t="s">
        <v>62</v>
      </c>
      <c r="AF317" t="s">
        <v>1035</v>
      </c>
    </row>
    <row r="318" spans="1:32" x14ac:dyDescent="0.35">
      <c r="A318" t="s">
        <v>457</v>
      </c>
      <c r="B318" t="s">
        <v>895</v>
      </c>
      <c r="C318" t="s">
        <v>896</v>
      </c>
      <c r="D318" t="s">
        <v>897</v>
      </c>
      <c r="E318" t="s">
        <v>898</v>
      </c>
      <c r="F318" t="s">
        <v>1036</v>
      </c>
      <c r="G318" t="s">
        <v>1037</v>
      </c>
      <c r="H318" t="s">
        <v>84</v>
      </c>
      <c r="I318" t="s">
        <v>1038</v>
      </c>
      <c r="J318" t="s">
        <v>1039</v>
      </c>
      <c r="K318" t="s">
        <v>1040</v>
      </c>
      <c r="L318">
        <v>45839</v>
      </c>
      <c r="M318">
        <v>46568</v>
      </c>
      <c r="N318" t="s">
        <v>897</v>
      </c>
      <c r="O318" t="s">
        <v>898</v>
      </c>
      <c r="Q318" t="s">
        <v>1041</v>
      </c>
      <c r="R318" t="s">
        <v>1042</v>
      </c>
      <c r="S318" t="s">
        <v>1043</v>
      </c>
      <c r="T318" t="s">
        <v>1044</v>
      </c>
      <c r="U318" t="s">
        <v>1045</v>
      </c>
      <c r="V318">
        <f>IF(AND(SUM(IF('Consulta de contratos'!$K$1="",0,1),IF('Consulta de contratos'!$K$2="",0,1),IF('Consulta de contratos'!$K$3="",0,1),IF('Consulta de contratos'!$K$4="",0,1),IF('Consulta de contratos'!$K$5="",0,1),IF('Consulta de contratos'!$K$6="",0,1))&gt;0,OR('Consulta de contratos'!$K$1="",A318='Consulta de contratos'!$K$1),OR('Consulta de contratos'!$K$2="",I318='Consulta de contratos'!$K$2),OR('Consulta de contratos'!$K$3="",C318='Consulta de contratos'!$K$3),OR('Consulta de contratos'!$K$4="",D318='Consulta de contratos'!$K$4),OR('Consulta de contratos'!$K$5="",E318='Consulta de contratos'!$K$5),OR('Consulta de contratos'!$K$6="",IFERROR(ISNUMBER(SEARCH("|"&amp;'Consulta de contratos'!$K$6&amp;"|",AF318)),FALSE))),1,0)</f>
        <v>0</v>
      </c>
      <c r="W318">
        <f>IF(V318=1,SUM($V$2:V318),0)</f>
        <v>0</v>
      </c>
      <c r="X318" t="s">
        <v>59</v>
      </c>
      <c r="Y318" t="s">
        <v>1046</v>
      </c>
      <c r="Z318" t="s">
        <v>80</v>
      </c>
      <c r="AA318" t="s">
        <v>62</v>
      </c>
      <c r="AF318" t="s">
        <v>1047</v>
      </c>
    </row>
    <row r="319" spans="1:32" x14ac:dyDescent="0.35">
      <c r="A319" t="s">
        <v>457</v>
      </c>
      <c r="B319" t="s">
        <v>895</v>
      </c>
      <c r="C319" t="s">
        <v>896</v>
      </c>
      <c r="D319" t="s">
        <v>897</v>
      </c>
      <c r="E319" t="s">
        <v>898</v>
      </c>
      <c r="F319" t="s">
        <v>1048</v>
      </c>
      <c r="G319" t="s">
        <v>1049</v>
      </c>
      <c r="H319" t="s">
        <v>47</v>
      </c>
      <c r="I319" t="s">
        <v>1050</v>
      </c>
      <c r="J319" t="s">
        <v>1051</v>
      </c>
      <c r="K319" t="s">
        <v>1052</v>
      </c>
      <c r="N319" t="s">
        <v>897</v>
      </c>
      <c r="O319" t="s">
        <v>898</v>
      </c>
      <c r="Q319" t="s">
        <v>1053</v>
      </c>
      <c r="R319" t="s">
        <v>1054</v>
      </c>
      <c r="S319" t="s">
        <v>1055</v>
      </c>
      <c r="T319" t="s">
        <v>1056</v>
      </c>
      <c r="U319" t="s">
        <v>1057</v>
      </c>
      <c r="V319">
        <f>IF(AND(SUM(IF('Consulta de contratos'!$K$1="",0,1),IF('Consulta de contratos'!$K$2="",0,1),IF('Consulta de contratos'!$K$3="",0,1),IF('Consulta de contratos'!$K$4="",0,1),IF('Consulta de contratos'!$K$5="",0,1),IF('Consulta de contratos'!$K$6="",0,1))&gt;0,OR('Consulta de contratos'!$K$1="",A319='Consulta de contratos'!$K$1),OR('Consulta de contratos'!$K$2="",I319='Consulta de contratos'!$K$2),OR('Consulta de contratos'!$K$3="",C319='Consulta de contratos'!$K$3),OR('Consulta de contratos'!$K$4="",D319='Consulta de contratos'!$K$4),OR('Consulta de contratos'!$K$5="",E319='Consulta de contratos'!$K$5),OR('Consulta de contratos'!$K$6="",IFERROR(ISNUMBER(SEARCH("|"&amp;'Consulta de contratos'!$K$6&amp;"|",AF319)),FALSE))),1,0)</f>
        <v>0</v>
      </c>
      <c r="W319">
        <f>IF(V319=1,SUM($V$2:V319),0)</f>
        <v>0</v>
      </c>
      <c r="X319" t="s">
        <v>468</v>
      </c>
      <c r="Y319" t="s">
        <v>1058</v>
      </c>
      <c r="Z319" t="s">
        <v>61</v>
      </c>
      <c r="AA319" t="s">
        <v>62</v>
      </c>
      <c r="AF319" t="s">
        <v>1059</v>
      </c>
    </row>
    <row r="320" spans="1:32" x14ac:dyDescent="0.35">
      <c r="A320" t="s">
        <v>457</v>
      </c>
      <c r="B320" t="s">
        <v>895</v>
      </c>
      <c r="C320" t="s">
        <v>896</v>
      </c>
      <c r="D320" t="s">
        <v>897</v>
      </c>
      <c r="E320" t="s">
        <v>898</v>
      </c>
      <c r="F320" t="s">
        <v>1048</v>
      </c>
      <c r="G320" t="s">
        <v>1049</v>
      </c>
      <c r="H320" t="s">
        <v>124</v>
      </c>
      <c r="I320" t="s">
        <v>1050</v>
      </c>
      <c r="J320" t="s">
        <v>1051</v>
      </c>
      <c r="K320" t="s">
        <v>1052</v>
      </c>
      <c r="N320" t="s">
        <v>897</v>
      </c>
      <c r="O320" t="s">
        <v>898</v>
      </c>
      <c r="Q320" t="s">
        <v>1053</v>
      </c>
      <c r="R320" t="s">
        <v>1054</v>
      </c>
      <c r="S320" t="s">
        <v>1055</v>
      </c>
      <c r="T320" t="s">
        <v>1060</v>
      </c>
      <c r="U320" t="s">
        <v>1061</v>
      </c>
      <c r="V320">
        <f>IF(AND(SUM(IF('Consulta de contratos'!$K$1="",0,1),IF('Consulta de contratos'!$K$2="",0,1),IF('Consulta de contratos'!$K$3="",0,1),IF('Consulta de contratos'!$K$4="",0,1),IF('Consulta de contratos'!$K$5="",0,1),IF('Consulta de contratos'!$K$6="",0,1))&gt;0,OR('Consulta de contratos'!$K$1="",A320='Consulta de contratos'!$K$1),OR('Consulta de contratos'!$K$2="",I320='Consulta de contratos'!$K$2),OR('Consulta de contratos'!$K$3="",C320='Consulta de contratos'!$K$3),OR('Consulta de contratos'!$K$4="",D320='Consulta de contratos'!$K$4),OR('Consulta de contratos'!$K$5="",E320='Consulta de contratos'!$K$5),OR('Consulta de contratos'!$K$6="",IFERROR(ISNUMBER(SEARCH("|"&amp;'Consulta de contratos'!$K$6&amp;"|",AF320)),FALSE))),1,0)</f>
        <v>0</v>
      </c>
      <c r="W320">
        <f>IF(V320=1,SUM($V$2:V320),0)</f>
        <v>0</v>
      </c>
      <c r="X320" t="s">
        <v>468</v>
      </c>
      <c r="Y320" t="s">
        <v>1058</v>
      </c>
      <c r="Z320" t="s">
        <v>61</v>
      </c>
      <c r="AA320" t="s">
        <v>62</v>
      </c>
      <c r="AF320" t="s">
        <v>1059</v>
      </c>
    </row>
    <row r="321" spans="1:32" x14ac:dyDescent="0.35">
      <c r="A321" t="s">
        <v>457</v>
      </c>
      <c r="B321" t="s">
        <v>895</v>
      </c>
      <c r="C321" t="s">
        <v>896</v>
      </c>
      <c r="D321" t="s">
        <v>897</v>
      </c>
      <c r="E321" t="s">
        <v>898</v>
      </c>
      <c r="F321" t="s">
        <v>1062</v>
      </c>
      <c r="G321" t="s">
        <v>1063</v>
      </c>
      <c r="H321" t="s">
        <v>47</v>
      </c>
      <c r="I321" t="s">
        <v>1050</v>
      </c>
      <c r="J321" t="s">
        <v>1064</v>
      </c>
      <c r="K321" t="s">
        <v>1065</v>
      </c>
      <c r="N321" t="s">
        <v>897</v>
      </c>
      <c r="O321" t="s">
        <v>898</v>
      </c>
      <c r="Q321" t="s">
        <v>1066</v>
      </c>
      <c r="R321" t="s">
        <v>1067</v>
      </c>
      <c r="S321" t="s">
        <v>1068</v>
      </c>
      <c r="T321" t="s">
        <v>1069</v>
      </c>
      <c r="U321" t="s">
        <v>1070</v>
      </c>
      <c r="V321">
        <f>IF(AND(SUM(IF('Consulta de contratos'!$K$1="",0,1),IF('Consulta de contratos'!$K$2="",0,1),IF('Consulta de contratos'!$K$3="",0,1),IF('Consulta de contratos'!$K$4="",0,1),IF('Consulta de contratos'!$K$5="",0,1),IF('Consulta de contratos'!$K$6="",0,1))&gt;0,OR('Consulta de contratos'!$K$1="",A321='Consulta de contratos'!$K$1),OR('Consulta de contratos'!$K$2="",I321='Consulta de contratos'!$K$2),OR('Consulta de contratos'!$K$3="",C321='Consulta de contratos'!$K$3),OR('Consulta de contratos'!$K$4="",D321='Consulta de contratos'!$K$4),OR('Consulta de contratos'!$K$5="",E321='Consulta de contratos'!$K$5),OR('Consulta de contratos'!$K$6="",IFERROR(ISNUMBER(SEARCH("|"&amp;'Consulta de contratos'!$K$6&amp;"|",AF321)),FALSE))),1,0)</f>
        <v>0</v>
      </c>
      <c r="W321">
        <f>IF(V321=1,SUM($V$2:V321),0)</f>
        <v>0</v>
      </c>
      <c r="X321" t="s">
        <v>468</v>
      </c>
      <c r="Y321" t="s">
        <v>1058</v>
      </c>
      <c r="Z321" t="s">
        <v>61</v>
      </c>
      <c r="AA321" t="s">
        <v>62</v>
      </c>
      <c r="AF321" t="s">
        <v>1059</v>
      </c>
    </row>
    <row r="322" spans="1:32" x14ac:dyDescent="0.35">
      <c r="A322" t="s">
        <v>457</v>
      </c>
      <c r="B322" t="s">
        <v>895</v>
      </c>
      <c r="C322" t="s">
        <v>896</v>
      </c>
      <c r="D322" t="s">
        <v>897</v>
      </c>
      <c r="E322" t="s">
        <v>898</v>
      </c>
      <c r="F322" t="s">
        <v>1062</v>
      </c>
      <c r="G322" t="s">
        <v>1071</v>
      </c>
      <c r="H322" t="s">
        <v>124</v>
      </c>
      <c r="I322" t="s">
        <v>1050</v>
      </c>
      <c r="J322" t="s">
        <v>1064</v>
      </c>
      <c r="K322" t="s">
        <v>1065</v>
      </c>
      <c r="N322" t="s">
        <v>897</v>
      </c>
      <c r="O322" t="s">
        <v>898</v>
      </c>
      <c r="Q322" t="s">
        <v>1066</v>
      </c>
      <c r="R322" t="s">
        <v>1072</v>
      </c>
      <c r="S322" t="s">
        <v>1073</v>
      </c>
      <c r="T322" t="s">
        <v>1074</v>
      </c>
      <c r="U322" t="s">
        <v>1075</v>
      </c>
      <c r="V322">
        <f>IF(AND(SUM(IF('Consulta de contratos'!$K$1="",0,1),IF('Consulta de contratos'!$K$2="",0,1),IF('Consulta de contratos'!$K$3="",0,1),IF('Consulta de contratos'!$K$4="",0,1),IF('Consulta de contratos'!$K$5="",0,1),IF('Consulta de contratos'!$K$6="",0,1))&gt;0,OR('Consulta de contratos'!$K$1="",A322='Consulta de contratos'!$K$1),OR('Consulta de contratos'!$K$2="",I322='Consulta de contratos'!$K$2),OR('Consulta de contratos'!$K$3="",C322='Consulta de contratos'!$K$3),OR('Consulta de contratos'!$K$4="",D322='Consulta de contratos'!$K$4),OR('Consulta de contratos'!$K$5="",E322='Consulta de contratos'!$K$5),OR('Consulta de contratos'!$K$6="",IFERROR(ISNUMBER(SEARCH("|"&amp;'Consulta de contratos'!$K$6&amp;"|",AF322)),FALSE))),1,0)</f>
        <v>0</v>
      </c>
      <c r="W322">
        <f>IF(V322=1,SUM($V$2:V322),0)</f>
        <v>0</v>
      </c>
      <c r="X322" t="s">
        <v>468</v>
      </c>
      <c r="Y322" t="s">
        <v>1058</v>
      </c>
      <c r="Z322" t="s">
        <v>61</v>
      </c>
      <c r="AA322" t="s">
        <v>62</v>
      </c>
      <c r="AF322" t="s">
        <v>1059</v>
      </c>
    </row>
    <row r="323" spans="1:32" x14ac:dyDescent="0.35">
      <c r="A323" t="s">
        <v>40</v>
      </c>
      <c r="B323" t="s">
        <v>1076</v>
      </c>
      <c r="C323" t="s">
        <v>896</v>
      </c>
      <c r="D323" t="s">
        <v>1077</v>
      </c>
      <c r="E323" t="s">
        <v>1078</v>
      </c>
      <c r="F323" t="s">
        <v>1079</v>
      </c>
      <c r="G323" t="s">
        <v>1080</v>
      </c>
      <c r="H323" t="s">
        <v>47</v>
      </c>
      <c r="I323" t="s">
        <v>1081</v>
      </c>
      <c r="J323" t="s">
        <v>1082</v>
      </c>
      <c r="K323" t="s">
        <v>1083</v>
      </c>
      <c r="L323">
        <v>45768</v>
      </c>
      <c r="M323">
        <v>46863</v>
      </c>
      <c r="N323" t="s">
        <v>1077</v>
      </c>
      <c r="O323" t="s">
        <v>1078</v>
      </c>
      <c r="Q323" t="s">
        <v>1084</v>
      </c>
      <c r="R323" t="s">
        <v>1085</v>
      </c>
      <c r="S323" t="s">
        <v>1086</v>
      </c>
      <c r="T323" t="s">
        <v>1087</v>
      </c>
      <c r="U323" t="s">
        <v>1088</v>
      </c>
      <c r="V323">
        <f>IF(AND(SUM(IF('Consulta de contratos'!$K$1="",0,1),IF('Consulta de contratos'!$K$2="",0,1),IF('Consulta de contratos'!$K$3="",0,1),IF('Consulta de contratos'!$K$4="",0,1),IF('Consulta de contratos'!$K$5="",0,1),IF('Consulta de contratos'!$K$6="",0,1))&gt;0,OR('Consulta de contratos'!$K$1="",A323='Consulta de contratos'!$K$1),OR('Consulta de contratos'!$K$2="",I323='Consulta de contratos'!$K$2),OR('Consulta de contratos'!$K$3="",C323='Consulta de contratos'!$K$3),OR('Consulta de contratos'!$K$4="",D323='Consulta de contratos'!$K$4),OR('Consulta de contratos'!$K$5="",E323='Consulta de contratos'!$K$5),OR('Consulta de contratos'!$K$6="",IFERROR(ISNUMBER(SEARCH("|"&amp;'Consulta de contratos'!$K$6&amp;"|",AF323)),FALSE))),1,0)</f>
        <v>0</v>
      </c>
      <c r="W323">
        <f>IF(V323=1,SUM($V$2:V323),0)</f>
        <v>0</v>
      </c>
      <c r="X323" t="s">
        <v>59</v>
      </c>
      <c r="Y323" t="s">
        <v>1034</v>
      </c>
      <c r="Z323" t="s">
        <v>80</v>
      </c>
      <c r="AA323" t="s">
        <v>62</v>
      </c>
      <c r="AF323" t="s">
        <v>1035</v>
      </c>
    </row>
    <row r="324" spans="1:32" x14ac:dyDescent="0.35">
      <c r="A324" t="s">
        <v>123</v>
      </c>
      <c r="B324" t="s">
        <v>1076</v>
      </c>
      <c r="C324" t="s">
        <v>896</v>
      </c>
      <c r="D324" t="s">
        <v>1077</v>
      </c>
      <c r="E324" t="s">
        <v>1078</v>
      </c>
      <c r="F324" t="s">
        <v>1079</v>
      </c>
      <c r="G324" t="s">
        <v>1080</v>
      </c>
      <c r="H324" t="s">
        <v>47</v>
      </c>
      <c r="I324" t="s">
        <v>1081</v>
      </c>
      <c r="J324" t="s">
        <v>1082</v>
      </c>
      <c r="K324" t="s">
        <v>1083</v>
      </c>
      <c r="L324">
        <v>45768</v>
      </c>
      <c r="M324">
        <v>46863</v>
      </c>
      <c r="N324" t="s">
        <v>1077</v>
      </c>
      <c r="O324" t="s">
        <v>1078</v>
      </c>
      <c r="Q324" t="s">
        <v>1084</v>
      </c>
      <c r="R324" t="s">
        <v>1085</v>
      </c>
      <c r="S324" t="s">
        <v>1086</v>
      </c>
      <c r="T324" t="s">
        <v>1089</v>
      </c>
      <c r="U324" t="s">
        <v>1088</v>
      </c>
      <c r="V324">
        <f>IF(AND(SUM(IF('Consulta de contratos'!$K$1="",0,1),IF('Consulta de contratos'!$K$2="",0,1),IF('Consulta de contratos'!$K$3="",0,1),IF('Consulta de contratos'!$K$4="",0,1),IF('Consulta de contratos'!$K$5="",0,1),IF('Consulta de contratos'!$K$6="",0,1))&gt;0,OR('Consulta de contratos'!$K$1="",A324='Consulta de contratos'!$K$1),OR('Consulta de contratos'!$K$2="",I324='Consulta de contratos'!$K$2),OR('Consulta de contratos'!$K$3="",C324='Consulta de contratos'!$K$3),OR('Consulta de contratos'!$K$4="",D324='Consulta de contratos'!$K$4),OR('Consulta de contratos'!$K$5="",E324='Consulta de contratos'!$K$5),OR('Consulta de contratos'!$K$6="",IFERROR(ISNUMBER(SEARCH("|"&amp;'Consulta de contratos'!$K$6&amp;"|",AF324)),FALSE))),1,0)</f>
        <v>0</v>
      </c>
      <c r="W324">
        <f>IF(V324=1,SUM($V$2:V324),0)</f>
        <v>0</v>
      </c>
      <c r="X324" t="s">
        <v>59</v>
      </c>
      <c r="Y324" t="s">
        <v>1034</v>
      </c>
      <c r="Z324" t="s">
        <v>80</v>
      </c>
      <c r="AA324" t="s">
        <v>62</v>
      </c>
      <c r="AF324" t="s">
        <v>1035</v>
      </c>
    </row>
    <row r="325" spans="1:32" x14ac:dyDescent="0.35">
      <c r="A325" t="s">
        <v>163</v>
      </c>
      <c r="B325" t="s">
        <v>1076</v>
      </c>
      <c r="C325" t="s">
        <v>896</v>
      </c>
      <c r="D325" t="s">
        <v>1077</v>
      </c>
      <c r="E325" t="s">
        <v>1078</v>
      </c>
      <c r="F325" t="s">
        <v>1079</v>
      </c>
      <c r="G325" t="s">
        <v>1080</v>
      </c>
      <c r="H325" t="s">
        <v>124</v>
      </c>
      <c r="I325" t="s">
        <v>1090</v>
      </c>
      <c r="J325" t="s">
        <v>1082</v>
      </c>
      <c r="K325" t="s">
        <v>1091</v>
      </c>
      <c r="L325">
        <v>45768</v>
      </c>
      <c r="M325">
        <v>46863</v>
      </c>
      <c r="N325" t="s">
        <v>1077</v>
      </c>
      <c r="O325" t="s">
        <v>1078</v>
      </c>
      <c r="Q325" t="s">
        <v>1084</v>
      </c>
      <c r="R325" t="s">
        <v>1085</v>
      </c>
      <c r="S325" t="s">
        <v>1086</v>
      </c>
      <c r="T325" t="s">
        <v>1092</v>
      </c>
      <c r="U325" t="s">
        <v>1093</v>
      </c>
      <c r="V325">
        <f>IF(AND(SUM(IF('Consulta de contratos'!$K$1="",0,1),IF('Consulta de contratos'!$K$2="",0,1),IF('Consulta de contratos'!$K$3="",0,1),IF('Consulta de contratos'!$K$4="",0,1),IF('Consulta de contratos'!$K$5="",0,1),IF('Consulta de contratos'!$K$6="",0,1))&gt;0,OR('Consulta de contratos'!$K$1="",A325='Consulta de contratos'!$K$1),OR('Consulta de contratos'!$K$2="",I325='Consulta de contratos'!$K$2),OR('Consulta de contratos'!$K$3="",C325='Consulta de contratos'!$K$3),OR('Consulta de contratos'!$K$4="",D325='Consulta de contratos'!$K$4),OR('Consulta de contratos'!$K$5="",E325='Consulta de contratos'!$K$5),OR('Consulta de contratos'!$K$6="",IFERROR(ISNUMBER(SEARCH("|"&amp;'Consulta de contratos'!$K$6&amp;"|",AF325)),FALSE))),1,0)</f>
        <v>0</v>
      </c>
      <c r="W325">
        <f>IF(V325=1,SUM($V$2:V325),0)</f>
        <v>0</v>
      </c>
      <c r="X325" t="s">
        <v>59</v>
      </c>
      <c r="Y325" t="s">
        <v>1094</v>
      </c>
      <c r="Z325" t="s">
        <v>80</v>
      </c>
      <c r="AA325" t="s">
        <v>62</v>
      </c>
      <c r="AF325" t="s">
        <v>1095</v>
      </c>
    </row>
    <row r="326" spans="1:32" x14ac:dyDescent="0.35">
      <c r="A326" t="s">
        <v>170</v>
      </c>
      <c r="B326" t="s">
        <v>1076</v>
      </c>
      <c r="C326" t="s">
        <v>896</v>
      </c>
      <c r="D326" t="s">
        <v>1077</v>
      </c>
      <c r="E326" t="s">
        <v>1078</v>
      </c>
      <c r="F326" t="s">
        <v>1079</v>
      </c>
      <c r="G326" t="s">
        <v>1080</v>
      </c>
      <c r="H326" t="s">
        <v>124</v>
      </c>
      <c r="I326" t="s">
        <v>1090</v>
      </c>
      <c r="J326" t="s">
        <v>1082</v>
      </c>
      <c r="K326" t="s">
        <v>1091</v>
      </c>
      <c r="L326">
        <v>45768</v>
      </c>
      <c r="M326">
        <v>46863</v>
      </c>
      <c r="N326" t="s">
        <v>1077</v>
      </c>
      <c r="O326" t="s">
        <v>1078</v>
      </c>
      <c r="Q326" t="s">
        <v>1084</v>
      </c>
      <c r="R326" t="s">
        <v>1085</v>
      </c>
      <c r="S326" t="s">
        <v>1086</v>
      </c>
      <c r="T326" t="s">
        <v>1096</v>
      </c>
      <c r="U326" t="s">
        <v>1093</v>
      </c>
      <c r="V326">
        <f>IF(AND(SUM(IF('Consulta de contratos'!$K$1="",0,1),IF('Consulta de contratos'!$K$2="",0,1),IF('Consulta de contratos'!$K$3="",0,1),IF('Consulta de contratos'!$K$4="",0,1),IF('Consulta de contratos'!$K$5="",0,1),IF('Consulta de contratos'!$K$6="",0,1))&gt;0,OR('Consulta de contratos'!$K$1="",A326='Consulta de contratos'!$K$1),OR('Consulta de contratos'!$K$2="",I326='Consulta de contratos'!$K$2),OR('Consulta de contratos'!$K$3="",C326='Consulta de contratos'!$K$3),OR('Consulta de contratos'!$K$4="",D326='Consulta de contratos'!$K$4),OR('Consulta de contratos'!$K$5="",E326='Consulta de contratos'!$K$5),OR('Consulta de contratos'!$K$6="",IFERROR(ISNUMBER(SEARCH("|"&amp;'Consulta de contratos'!$K$6&amp;"|",AF326)),FALSE))),1,0)</f>
        <v>0</v>
      </c>
      <c r="W326">
        <f>IF(V326=1,SUM($V$2:V326),0)</f>
        <v>0</v>
      </c>
      <c r="X326" t="s">
        <v>59</v>
      </c>
      <c r="Y326" t="s">
        <v>1094</v>
      </c>
      <c r="Z326" t="s">
        <v>80</v>
      </c>
      <c r="AA326" t="s">
        <v>62</v>
      </c>
      <c r="AF326" t="s">
        <v>1095</v>
      </c>
    </row>
    <row r="327" spans="1:32" x14ac:dyDescent="0.35">
      <c r="A327" t="s">
        <v>149</v>
      </c>
      <c r="B327" t="s">
        <v>1076</v>
      </c>
      <c r="C327" t="s">
        <v>896</v>
      </c>
      <c r="D327" t="s">
        <v>1077</v>
      </c>
      <c r="E327" t="s">
        <v>1078</v>
      </c>
      <c r="F327" t="s">
        <v>1079</v>
      </c>
      <c r="G327" t="s">
        <v>1080</v>
      </c>
      <c r="H327" t="s">
        <v>124</v>
      </c>
      <c r="I327" t="s">
        <v>1090</v>
      </c>
      <c r="J327" t="s">
        <v>1082</v>
      </c>
      <c r="K327" t="s">
        <v>1091</v>
      </c>
      <c r="L327">
        <v>45768</v>
      </c>
      <c r="M327">
        <v>46863</v>
      </c>
      <c r="N327" t="s">
        <v>1077</v>
      </c>
      <c r="O327" t="s">
        <v>1078</v>
      </c>
      <c r="Q327" t="s">
        <v>1084</v>
      </c>
      <c r="R327" t="s">
        <v>1085</v>
      </c>
      <c r="S327" t="s">
        <v>1086</v>
      </c>
      <c r="T327" t="s">
        <v>1097</v>
      </c>
      <c r="U327" t="s">
        <v>1093</v>
      </c>
      <c r="V327">
        <f>IF(AND(SUM(IF('Consulta de contratos'!$K$1="",0,1),IF('Consulta de contratos'!$K$2="",0,1),IF('Consulta de contratos'!$K$3="",0,1),IF('Consulta de contratos'!$K$4="",0,1),IF('Consulta de contratos'!$K$5="",0,1),IF('Consulta de contratos'!$K$6="",0,1))&gt;0,OR('Consulta de contratos'!$K$1="",A327='Consulta de contratos'!$K$1),OR('Consulta de contratos'!$K$2="",I327='Consulta de contratos'!$K$2),OR('Consulta de contratos'!$K$3="",C327='Consulta de contratos'!$K$3),OR('Consulta de contratos'!$K$4="",D327='Consulta de contratos'!$K$4),OR('Consulta de contratos'!$K$5="",E327='Consulta de contratos'!$K$5),OR('Consulta de contratos'!$K$6="",IFERROR(ISNUMBER(SEARCH("|"&amp;'Consulta de contratos'!$K$6&amp;"|",AF327)),FALSE))),1,0)</f>
        <v>0</v>
      </c>
      <c r="W327">
        <f>IF(V327=1,SUM($V$2:V327),0)</f>
        <v>0</v>
      </c>
      <c r="X327" t="s">
        <v>59</v>
      </c>
      <c r="Y327" t="s">
        <v>1094</v>
      </c>
      <c r="Z327" t="s">
        <v>80</v>
      </c>
      <c r="AA327" t="s">
        <v>62</v>
      </c>
      <c r="AF327" t="s">
        <v>1095</v>
      </c>
    </row>
    <row r="328" spans="1:32" x14ac:dyDescent="0.35">
      <c r="A328" t="s">
        <v>156</v>
      </c>
      <c r="B328" t="s">
        <v>1076</v>
      </c>
      <c r="C328" t="s">
        <v>896</v>
      </c>
      <c r="D328" t="s">
        <v>1077</v>
      </c>
      <c r="E328" t="s">
        <v>1078</v>
      </c>
      <c r="F328" t="s">
        <v>1079</v>
      </c>
      <c r="G328" t="s">
        <v>1080</v>
      </c>
      <c r="H328" t="s">
        <v>124</v>
      </c>
      <c r="I328" t="s">
        <v>1090</v>
      </c>
      <c r="J328" t="s">
        <v>1082</v>
      </c>
      <c r="K328" t="s">
        <v>1091</v>
      </c>
      <c r="L328">
        <v>45768</v>
      </c>
      <c r="M328">
        <v>46863</v>
      </c>
      <c r="N328" t="s">
        <v>1077</v>
      </c>
      <c r="O328" t="s">
        <v>1078</v>
      </c>
      <c r="Q328" t="s">
        <v>1084</v>
      </c>
      <c r="R328" t="s">
        <v>1085</v>
      </c>
      <c r="S328" t="s">
        <v>1086</v>
      </c>
      <c r="T328" t="s">
        <v>1098</v>
      </c>
      <c r="U328" t="s">
        <v>1093</v>
      </c>
      <c r="V328">
        <f>IF(AND(SUM(IF('Consulta de contratos'!$K$1="",0,1),IF('Consulta de contratos'!$K$2="",0,1),IF('Consulta de contratos'!$K$3="",0,1),IF('Consulta de contratos'!$K$4="",0,1),IF('Consulta de contratos'!$K$5="",0,1),IF('Consulta de contratos'!$K$6="",0,1))&gt;0,OR('Consulta de contratos'!$K$1="",A328='Consulta de contratos'!$K$1),OR('Consulta de contratos'!$K$2="",I328='Consulta de contratos'!$K$2),OR('Consulta de contratos'!$K$3="",C328='Consulta de contratos'!$K$3),OR('Consulta de contratos'!$K$4="",D328='Consulta de contratos'!$K$4),OR('Consulta de contratos'!$K$5="",E328='Consulta de contratos'!$K$5),OR('Consulta de contratos'!$K$6="",IFERROR(ISNUMBER(SEARCH("|"&amp;'Consulta de contratos'!$K$6&amp;"|",AF328)),FALSE))),1,0)</f>
        <v>0</v>
      </c>
      <c r="W328">
        <f>IF(V328=1,SUM($V$2:V328),0)</f>
        <v>0</v>
      </c>
      <c r="X328" t="s">
        <v>59</v>
      </c>
      <c r="Y328" t="s">
        <v>1094</v>
      </c>
      <c r="Z328" t="s">
        <v>80</v>
      </c>
      <c r="AA328" t="s">
        <v>62</v>
      </c>
      <c r="AF328" t="s">
        <v>1095</v>
      </c>
    </row>
    <row r="329" spans="1:32" x14ac:dyDescent="0.35">
      <c r="A329" t="s">
        <v>177</v>
      </c>
      <c r="B329" t="s">
        <v>1076</v>
      </c>
      <c r="C329" t="s">
        <v>896</v>
      </c>
      <c r="D329" t="s">
        <v>1077</v>
      </c>
      <c r="E329" t="s">
        <v>1078</v>
      </c>
      <c r="F329" t="s">
        <v>1079</v>
      </c>
      <c r="G329" t="s">
        <v>1080</v>
      </c>
      <c r="H329" t="s">
        <v>124</v>
      </c>
      <c r="I329" t="s">
        <v>1090</v>
      </c>
      <c r="J329" t="s">
        <v>1082</v>
      </c>
      <c r="K329" t="s">
        <v>1091</v>
      </c>
      <c r="L329">
        <v>45768</v>
      </c>
      <c r="M329">
        <v>46863</v>
      </c>
      <c r="N329" t="s">
        <v>1077</v>
      </c>
      <c r="O329" t="s">
        <v>1078</v>
      </c>
      <c r="Q329" t="s">
        <v>1084</v>
      </c>
      <c r="R329" t="s">
        <v>1085</v>
      </c>
      <c r="S329" t="s">
        <v>1086</v>
      </c>
      <c r="T329" t="s">
        <v>1099</v>
      </c>
      <c r="U329" t="s">
        <v>1093</v>
      </c>
      <c r="V329">
        <f>IF(AND(SUM(IF('Consulta de contratos'!$K$1="",0,1),IF('Consulta de contratos'!$K$2="",0,1),IF('Consulta de contratos'!$K$3="",0,1),IF('Consulta de contratos'!$K$4="",0,1),IF('Consulta de contratos'!$K$5="",0,1),IF('Consulta de contratos'!$K$6="",0,1))&gt;0,OR('Consulta de contratos'!$K$1="",A329='Consulta de contratos'!$K$1),OR('Consulta de contratos'!$K$2="",I329='Consulta de contratos'!$K$2),OR('Consulta de contratos'!$K$3="",C329='Consulta de contratos'!$K$3),OR('Consulta de contratos'!$K$4="",D329='Consulta de contratos'!$K$4),OR('Consulta de contratos'!$K$5="",E329='Consulta de contratos'!$K$5),OR('Consulta de contratos'!$K$6="",IFERROR(ISNUMBER(SEARCH("|"&amp;'Consulta de contratos'!$K$6&amp;"|",AF329)),FALSE))),1,0)</f>
        <v>0</v>
      </c>
      <c r="W329">
        <f>IF(V329=1,SUM($V$2:V329),0)</f>
        <v>0</v>
      </c>
      <c r="X329" t="s">
        <v>59</v>
      </c>
      <c r="Y329" t="s">
        <v>1094</v>
      </c>
      <c r="Z329" t="s">
        <v>80</v>
      </c>
      <c r="AA329" t="s">
        <v>62</v>
      </c>
      <c r="AF329" t="s">
        <v>1095</v>
      </c>
    </row>
    <row r="330" spans="1:32" x14ac:dyDescent="0.35">
      <c r="A330" t="s">
        <v>142</v>
      </c>
      <c r="B330" t="s">
        <v>1076</v>
      </c>
      <c r="C330" t="s">
        <v>896</v>
      </c>
      <c r="D330" t="s">
        <v>1077</v>
      </c>
      <c r="E330" t="s">
        <v>1078</v>
      </c>
      <c r="F330" t="s">
        <v>1079</v>
      </c>
      <c r="G330" t="s">
        <v>1080</v>
      </c>
      <c r="H330" t="s">
        <v>73</v>
      </c>
      <c r="I330" t="s">
        <v>1100</v>
      </c>
      <c r="J330" t="s">
        <v>1082</v>
      </c>
      <c r="K330" t="s">
        <v>1101</v>
      </c>
      <c r="L330">
        <v>45768</v>
      </c>
      <c r="M330">
        <v>46863</v>
      </c>
      <c r="N330" t="s">
        <v>1077</v>
      </c>
      <c r="O330" t="s">
        <v>1078</v>
      </c>
      <c r="Q330" t="s">
        <v>1084</v>
      </c>
      <c r="R330" t="s">
        <v>1085</v>
      </c>
      <c r="S330" t="s">
        <v>1086</v>
      </c>
      <c r="T330" t="s">
        <v>1102</v>
      </c>
      <c r="U330" t="s">
        <v>1103</v>
      </c>
      <c r="V330">
        <f>IF(AND(SUM(IF('Consulta de contratos'!$K$1="",0,1),IF('Consulta de contratos'!$K$2="",0,1),IF('Consulta de contratos'!$K$3="",0,1),IF('Consulta de contratos'!$K$4="",0,1),IF('Consulta de contratos'!$K$5="",0,1),IF('Consulta de contratos'!$K$6="",0,1))&gt;0,OR('Consulta de contratos'!$K$1="",A330='Consulta de contratos'!$K$1),OR('Consulta de contratos'!$K$2="",I330='Consulta de contratos'!$K$2),OR('Consulta de contratos'!$K$3="",C330='Consulta de contratos'!$K$3),OR('Consulta de contratos'!$K$4="",D330='Consulta de contratos'!$K$4),OR('Consulta de contratos'!$K$5="",E330='Consulta de contratos'!$K$5),OR('Consulta de contratos'!$K$6="",IFERROR(ISNUMBER(SEARCH("|"&amp;'Consulta de contratos'!$K$6&amp;"|",AF330)),FALSE))),1,0)</f>
        <v>0</v>
      </c>
      <c r="W330">
        <f>IF(V330=1,SUM($V$2:V330),0)</f>
        <v>0</v>
      </c>
      <c r="X330" t="s">
        <v>59</v>
      </c>
      <c r="Y330" t="s">
        <v>1104</v>
      </c>
      <c r="Z330" t="s">
        <v>346</v>
      </c>
      <c r="AA330" t="s">
        <v>62</v>
      </c>
      <c r="AF330" t="s">
        <v>1105</v>
      </c>
    </row>
    <row r="331" spans="1:32" x14ac:dyDescent="0.35">
      <c r="A331" t="s">
        <v>135</v>
      </c>
      <c r="B331" t="s">
        <v>1076</v>
      </c>
      <c r="C331" t="s">
        <v>896</v>
      </c>
      <c r="D331" t="s">
        <v>1077</v>
      </c>
      <c r="E331" t="s">
        <v>1078</v>
      </c>
      <c r="F331" t="s">
        <v>1079</v>
      </c>
      <c r="G331" t="s">
        <v>1080</v>
      </c>
      <c r="H331" t="s">
        <v>73</v>
      </c>
      <c r="I331" t="s">
        <v>1100</v>
      </c>
      <c r="J331" t="s">
        <v>1082</v>
      </c>
      <c r="K331" t="s">
        <v>1101</v>
      </c>
      <c r="L331">
        <v>45768</v>
      </c>
      <c r="M331">
        <v>46863</v>
      </c>
      <c r="N331" t="s">
        <v>1077</v>
      </c>
      <c r="O331" t="s">
        <v>1078</v>
      </c>
      <c r="Q331" t="s">
        <v>1084</v>
      </c>
      <c r="R331" t="s">
        <v>1085</v>
      </c>
      <c r="S331" t="s">
        <v>1086</v>
      </c>
      <c r="T331" t="s">
        <v>1106</v>
      </c>
      <c r="U331" t="s">
        <v>1103</v>
      </c>
      <c r="V331">
        <f>IF(AND(SUM(IF('Consulta de contratos'!$K$1="",0,1),IF('Consulta de contratos'!$K$2="",0,1),IF('Consulta de contratos'!$K$3="",0,1),IF('Consulta de contratos'!$K$4="",0,1),IF('Consulta de contratos'!$K$5="",0,1),IF('Consulta de contratos'!$K$6="",0,1))&gt;0,OR('Consulta de contratos'!$K$1="",A331='Consulta de contratos'!$K$1),OR('Consulta de contratos'!$K$2="",I331='Consulta de contratos'!$K$2),OR('Consulta de contratos'!$K$3="",C331='Consulta de contratos'!$K$3),OR('Consulta de contratos'!$K$4="",D331='Consulta de contratos'!$K$4),OR('Consulta de contratos'!$K$5="",E331='Consulta de contratos'!$K$5),OR('Consulta de contratos'!$K$6="",IFERROR(ISNUMBER(SEARCH("|"&amp;'Consulta de contratos'!$K$6&amp;"|",AF331)),FALSE))),1,0)</f>
        <v>0</v>
      </c>
      <c r="W331">
        <f>IF(V331=1,SUM($V$2:V331),0)</f>
        <v>0</v>
      </c>
      <c r="X331" t="s">
        <v>59</v>
      </c>
      <c r="Y331" t="s">
        <v>1104</v>
      </c>
      <c r="Z331" t="s">
        <v>346</v>
      </c>
      <c r="AA331" t="s">
        <v>62</v>
      </c>
      <c r="AF331" t="s">
        <v>1105</v>
      </c>
    </row>
    <row r="332" spans="1:32" x14ac:dyDescent="0.35">
      <c r="A332" t="s">
        <v>212</v>
      </c>
      <c r="B332" t="s">
        <v>1076</v>
      </c>
      <c r="C332" t="s">
        <v>896</v>
      </c>
      <c r="D332" t="s">
        <v>1077</v>
      </c>
      <c r="E332" t="s">
        <v>1078</v>
      </c>
      <c r="F332" t="s">
        <v>1079</v>
      </c>
      <c r="G332" t="s">
        <v>1080</v>
      </c>
      <c r="H332" t="s">
        <v>73</v>
      </c>
      <c r="I332" t="s">
        <v>1100</v>
      </c>
      <c r="J332" t="s">
        <v>1082</v>
      </c>
      <c r="K332" t="s">
        <v>1101</v>
      </c>
      <c r="L332">
        <v>45768</v>
      </c>
      <c r="M332">
        <v>46863</v>
      </c>
      <c r="N332" t="s">
        <v>1077</v>
      </c>
      <c r="O332" t="s">
        <v>1078</v>
      </c>
      <c r="Q332" t="s">
        <v>1084</v>
      </c>
      <c r="R332" t="s">
        <v>1085</v>
      </c>
      <c r="S332" t="s">
        <v>1086</v>
      </c>
      <c r="T332" t="s">
        <v>1107</v>
      </c>
      <c r="U332" t="s">
        <v>1103</v>
      </c>
      <c r="V332">
        <f>IF(AND(SUM(IF('Consulta de contratos'!$K$1="",0,1),IF('Consulta de contratos'!$K$2="",0,1),IF('Consulta de contratos'!$K$3="",0,1),IF('Consulta de contratos'!$K$4="",0,1),IF('Consulta de contratos'!$K$5="",0,1),IF('Consulta de contratos'!$K$6="",0,1))&gt;0,OR('Consulta de contratos'!$K$1="",A332='Consulta de contratos'!$K$1),OR('Consulta de contratos'!$K$2="",I332='Consulta de contratos'!$K$2),OR('Consulta de contratos'!$K$3="",C332='Consulta de contratos'!$K$3),OR('Consulta de contratos'!$K$4="",D332='Consulta de contratos'!$K$4),OR('Consulta de contratos'!$K$5="",E332='Consulta de contratos'!$K$5),OR('Consulta de contratos'!$K$6="",IFERROR(ISNUMBER(SEARCH("|"&amp;'Consulta de contratos'!$K$6&amp;"|",AF332)),FALSE))),1,0)</f>
        <v>0</v>
      </c>
      <c r="W332">
        <f>IF(V332=1,SUM($V$2:V332),0)</f>
        <v>0</v>
      </c>
      <c r="X332" t="s">
        <v>59</v>
      </c>
      <c r="Y332" t="s">
        <v>1104</v>
      </c>
      <c r="Z332" t="s">
        <v>346</v>
      </c>
      <c r="AA332" t="s">
        <v>62</v>
      </c>
      <c r="AF332" t="s">
        <v>1105</v>
      </c>
    </row>
    <row r="333" spans="1:32" x14ac:dyDescent="0.35">
      <c r="A333" t="s">
        <v>205</v>
      </c>
      <c r="B333" t="s">
        <v>1076</v>
      </c>
      <c r="C333" t="s">
        <v>896</v>
      </c>
      <c r="D333" t="s">
        <v>1077</v>
      </c>
      <c r="E333" t="s">
        <v>1078</v>
      </c>
      <c r="F333" t="s">
        <v>1079</v>
      </c>
      <c r="G333" t="s">
        <v>1080</v>
      </c>
      <c r="H333" t="s">
        <v>73</v>
      </c>
      <c r="I333" t="s">
        <v>1100</v>
      </c>
      <c r="J333" t="s">
        <v>1082</v>
      </c>
      <c r="K333" t="s">
        <v>1101</v>
      </c>
      <c r="L333">
        <v>45768</v>
      </c>
      <c r="M333">
        <v>46863</v>
      </c>
      <c r="N333" t="s">
        <v>1077</v>
      </c>
      <c r="O333" t="s">
        <v>1078</v>
      </c>
      <c r="Q333" t="s">
        <v>1084</v>
      </c>
      <c r="R333" t="s">
        <v>1085</v>
      </c>
      <c r="S333" t="s">
        <v>1086</v>
      </c>
      <c r="T333" t="s">
        <v>1108</v>
      </c>
      <c r="U333" t="s">
        <v>1103</v>
      </c>
      <c r="V333">
        <f>IF(AND(SUM(IF('Consulta de contratos'!$K$1="",0,1),IF('Consulta de contratos'!$K$2="",0,1),IF('Consulta de contratos'!$K$3="",0,1),IF('Consulta de contratos'!$K$4="",0,1),IF('Consulta de contratos'!$K$5="",0,1),IF('Consulta de contratos'!$K$6="",0,1))&gt;0,OR('Consulta de contratos'!$K$1="",A333='Consulta de contratos'!$K$1),OR('Consulta de contratos'!$K$2="",I333='Consulta de contratos'!$K$2),OR('Consulta de contratos'!$K$3="",C333='Consulta de contratos'!$K$3),OR('Consulta de contratos'!$K$4="",D333='Consulta de contratos'!$K$4),OR('Consulta de contratos'!$K$5="",E333='Consulta de contratos'!$K$5),OR('Consulta de contratos'!$K$6="",IFERROR(ISNUMBER(SEARCH("|"&amp;'Consulta de contratos'!$K$6&amp;"|",AF333)),FALSE))),1,0)</f>
        <v>0</v>
      </c>
      <c r="W333">
        <f>IF(V333=1,SUM($V$2:V333),0)</f>
        <v>0</v>
      </c>
      <c r="X333" t="s">
        <v>59</v>
      </c>
      <c r="Y333" t="s">
        <v>1104</v>
      </c>
      <c r="Z333" t="s">
        <v>346</v>
      </c>
      <c r="AA333" t="s">
        <v>62</v>
      </c>
      <c r="AF333" t="s">
        <v>1105</v>
      </c>
    </row>
    <row r="334" spans="1:32" x14ac:dyDescent="0.35">
      <c r="A334" t="s">
        <v>198</v>
      </c>
      <c r="B334" t="s">
        <v>1076</v>
      </c>
      <c r="C334" t="s">
        <v>896</v>
      </c>
      <c r="D334" t="s">
        <v>1077</v>
      </c>
      <c r="E334" t="s">
        <v>1078</v>
      </c>
      <c r="F334" t="s">
        <v>1079</v>
      </c>
      <c r="G334" t="s">
        <v>1080</v>
      </c>
      <c r="H334" t="s">
        <v>73</v>
      </c>
      <c r="I334" t="s">
        <v>1100</v>
      </c>
      <c r="J334" t="s">
        <v>1082</v>
      </c>
      <c r="K334" t="s">
        <v>1101</v>
      </c>
      <c r="L334">
        <v>45768</v>
      </c>
      <c r="M334">
        <v>46863</v>
      </c>
      <c r="N334" t="s">
        <v>1077</v>
      </c>
      <c r="O334" t="s">
        <v>1078</v>
      </c>
      <c r="Q334" t="s">
        <v>1084</v>
      </c>
      <c r="R334" t="s">
        <v>1085</v>
      </c>
      <c r="S334" t="s">
        <v>1086</v>
      </c>
      <c r="T334" t="s">
        <v>1109</v>
      </c>
      <c r="U334" t="s">
        <v>1103</v>
      </c>
      <c r="V334">
        <f>IF(AND(SUM(IF('Consulta de contratos'!$K$1="",0,1),IF('Consulta de contratos'!$K$2="",0,1),IF('Consulta de contratos'!$K$3="",0,1),IF('Consulta de contratos'!$K$4="",0,1),IF('Consulta de contratos'!$K$5="",0,1),IF('Consulta de contratos'!$K$6="",0,1))&gt;0,OR('Consulta de contratos'!$K$1="",A334='Consulta de contratos'!$K$1),OR('Consulta de contratos'!$K$2="",I334='Consulta de contratos'!$K$2),OR('Consulta de contratos'!$K$3="",C334='Consulta de contratos'!$K$3),OR('Consulta de contratos'!$K$4="",D334='Consulta de contratos'!$K$4),OR('Consulta de contratos'!$K$5="",E334='Consulta de contratos'!$K$5),OR('Consulta de contratos'!$K$6="",IFERROR(ISNUMBER(SEARCH("|"&amp;'Consulta de contratos'!$K$6&amp;"|",AF334)),FALSE))),1,0)</f>
        <v>0</v>
      </c>
      <c r="W334">
        <f>IF(V334=1,SUM($V$2:V334),0)</f>
        <v>0</v>
      </c>
      <c r="X334" t="s">
        <v>59</v>
      </c>
      <c r="Y334" t="s">
        <v>1104</v>
      </c>
      <c r="Z334" t="s">
        <v>346</v>
      </c>
      <c r="AA334" t="s">
        <v>62</v>
      </c>
      <c r="AF334" t="s">
        <v>1105</v>
      </c>
    </row>
    <row r="335" spans="1:32" x14ac:dyDescent="0.35">
      <c r="A335" t="s">
        <v>116</v>
      </c>
      <c r="B335" t="s">
        <v>1076</v>
      </c>
      <c r="C335" t="s">
        <v>896</v>
      </c>
      <c r="D335" t="s">
        <v>1077</v>
      </c>
      <c r="E335" t="s">
        <v>1078</v>
      </c>
      <c r="F335" t="s">
        <v>1079</v>
      </c>
      <c r="G335" t="s">
        <v>1080</v>
      </c>
      <c r="H335" t="s">
        <v>73</v>
      </c>
      <c r="I335" t="s">
        <v>1100</v>
      </c>
      <c r="J335" t="s">
        <v>1082</v>
      </c>
      <c r="K335" t="s">
        <v>1101</v>
      </c>
      <c r="L335">
        <v>45768</v>
      </c>
      <c r="M335">
        <v>46863</v>
      </c>
      <c r="N335" t="s">
        <v>1077</v>
      </c>
      <c r="O335" t="s">
        <v>1078</v>
      </c>
      <c r="Q335" t="s">
        <v>1084</v>
      </c>
      <c r="R335" t="s">
        <v>1085</v>
      </c>
      <c r="S335" t="s">
        <v>1086</v>
      </c>
      <c r="T335" t="s">
        <v>1110</v>
      </c>
      <c r="U335" t="s">
        <v>1103</v>
      </c>
      <c r="V335">
        <f>IF(AND(SUM(IF('Consulta de contratos'!$K$1="",0,1),IF('Consulta de contratos'!$K$2="",0,1),IF('Consulta de contratos'!$K$3="",0,1),IF('Consulta de contratos'!$K$4="",0,1),IF('Consulta de contratos'!$K$5="",0,1),IF('Consulta de contratos'!$K$6="",0,1))&gt;0,OR('Consulta de contratos'!$K$1="",A335='Consulta de contratos'!$K$1),OR('Consulta de contratos'!$K$2="",I335='Consulta de contratos'!$K$2),OR('Consulta de contratos'!$K$3="",C335='Consulta de contratos'!$K$3),OR('Consulta de contratos'!$K$4="",D335='Consulta de contratos'!$K$4),OR('Consulta de contratos'!$K$5="",E335='Consulta de contratos'!$K$5),OR('Consulta de contratos'!$K$6="",IFERROR(ISNUMBER(SEARCH("|"&amp;'Consulta de contratos'!$K$6&amp;"|",AF335)),FALSE))),1,0)</f>
        <v>0</v>
      </c>
      <c r="W335">
        <f>IF(V335=1,SUM($V$2:V335),0)</f>
        <v>0</v>
      </c>
      <c r="X335" t="s">
        <v>59</v>
      </c>
      <c r="Y335" t="s">
        <v>1104</v>
      </c>
      <c r="Z335" t="s">
        <v>346</v>
      </c>
      <c r="AA335" t="s">
        <v>62</v>
      </c>
      <c r="AF335" t="s">
        <v>1105</v>
      </c>
    </row>
    <row r="336" spans="1:32" x14ac:dyDescent="0.35">
      <c r="A336" t="s">
        <v>219</v>
      </c>
      <c r="B336" t="s">
        <v>1076</v>
      </c>
      <c r="C336" t="s">
        <v>896</v>
      </c>
      <c r="D336" t="s">
        <v>1077</v>
      </c>
      <c r="E336" t="s">
        <v>1078</v>
      </c>
      <c r="F336" t="s">
        <v>1079</v>
      </c>
      <c r="G336" t="s">
        <v>1080</v>
      </c>
      <c r="H336" t="s">
        <v>64</v>
      </c>
      <c r="I336" t="s">
        <v>1111</v>
      </c>
      <c r="J336" t="s">
        <v>1082</v>
      </c>
      <c r="K336" t="s">
        <v>1112</v>
      </c>
      <c r="L336">
        <v>45768</v>
      </c>
      <c r="M336">
        <v>46863</v>
      </c>
      <c r="N336" t="s">
        <v>1077</v>
      </c>
      <c r="O336" t="s">
        <v>1078</v>
      </c>
      <c r="Q336" t="s">
        <v>1084</v>
      </c>
      <c r="R336" t="s">
        <v>1085</v>
      </c>
      <c r="S336" t="s">
        <v>1086</v>
      </c>
      <c r="T336" t="s">
        <v>1113</v>
      </c>
      <c r="U336" t="s">
        <v>1114</v>
      </c>
      <c r="V336">
        <f>IF(AND(SUM(IF('Consulta de contratos'!$K$1="",0,1),IF('Consulta de contratos'!$K$2="",0,1),IF('Consulta de contratos'!$K$3="",0,1),IF('Consulta de contratos'!$K$4="",0,1),IF('Consulta de contratos'!$K$5="",0,1),IF('Consulta de contratos'!$K$6="",0,1))&gt;0,OR('Consulta de contratos'!$K$1="",A336='Consulta de contratos'!$K$1),OR('Consulta de contratos'!$K$2="",I336='Consulta de contratos'!$K$2),OR('Consulta de contratos'!$K$3="",C336='Consulta de contratos'!$K$3),OR('Consulta de contratos'!$K$4="",D336='Consulta de contratos'!$K$4),OR('Consulta de contratos'!$K$5="",E336='Consulta de contratos'!$K$5),OR('Consulta de contratos'!$K$6="",IFERROR(ISNUMBER(SEARCH("|"&amp;'Consulta de contratos'!$K$6&amp;"|",AF336)),FALSE))),1,0)</f>
        <v>0</v>
      </c>
      <c r="W336">
        <f>IF(V336=1,SUM($V$2:V336),0)</f>
        <v>0</v>
      </c>
      <c r="X336" t="s">
        <v>59</v>
      </c>
      <c r="Y336" t="s">
        <v>1115</v>
      </c>
      <c r="Z336" t="s">
        <v>80</v>
      </c>
      <c r="AA336" t="s">
        <v>62</v>
      </c>
      <c r="AF336" t="s">
        <v>1116</v>
      </c>
    </row>
    <row r="337" spans="1:32" x14ac:dyDescent="0.35">
      <c r="A337" t="s">
        <v>254</v>
      </c>
      <c r="B337" t="s">
        <v>1076</v>
      </c>
      <c r="C337" t="s">
        <v>896</v>
      </c>
      <c r="D337" t="s">
        <v>1077</v>
      </c>
      <c r="E337" t="s">
        <v>1078</v>
      </c>
      <c r="F337" t="s">
        <v>1079</v>
      </c>
      <c r="G337" t="s">
        <v>1080</v>
      </c>
      <c r="H337" t="s">
        <v>64</v>
      </c>
      <c r="I337" t="s">
        <v>1111</v>
      </c>
      <c r="J337" t="s">
        <v>1082</v>
      </c>
      <c r="K337" t="s">
        <v>1112</v>
      </c>
      <c r="L337">
        <v>45768</v>
      </c>
      <c r="M337">
        <v>46863</v>
      </c>
      <c r="N337" t="s">
        <v>1077</v>
      </c>
      <c r="O337" t="s">
        <v>1078</v>
      </c>
      <c r="Q337" t="s">
        <v>1084</v>
      </c>
      <c r="R337" t="s">
        <v>1085</v>
      </c>
      <c r="S337" t="s">
        <v>1086</v>
      </c>
      <c r="T337" t="s">
        <v>1117</v>
      </c>
      <c r="U337" t="s">
        <v>1114</v>
      </c>
      <c r="V337">
        <f>IF(AND(SUM(IF('Consulta de contratos'!$K$1="",0,1),IF('Consulta de contratos'!$K$2="",0,1),IF('Consulta de contratos'!$K$3="",0,1),IF('Consulta de contratos'!$K$4="",0,1),IF('Consulta de contratos'!$K$5="",0,1),IF('Consulta de contratos'!$K$6="",0,1))&gt;0,OR('Consulta de contratos'!$K$1="",A337='Consulta de contratos'!$K$1),OR('Consulta de contratos'!$K$2="",I337='Consulta de contratos'!$K$2),OR('Consulta de contratos'!$K$3="",C337='Consulta de contratos'!$K$3),OR('Consulta de contratos'!$K$4="",D337='Consulta de contratos'!$K$4),OR('Consulta de contratos'!$K$5="",E337='Consulta de contratos'!$K$5),OR('Consulta de contratos'!$K$6="",IFERROR(ISNUMBER(SEARCH("|"&amp;'Consulta de contratos'!$K$6&amp;"|",AF337)),FALSE))),1,0)</f>
        <v>0</v>
      </c>
      <c r="W337">
        <f>IF(V337=1,SUM($V$2:V337),0)</f>
        <v>0</v>
      </c>
      <c r="X337" t="s">
        <v>59</v>
      </c>
      <c r="Y337" t="s">
        <v>1115</v>
      </c>
      <c r="Z337" t="s">
        <v>80</v>
      </c>
      <c r="AA337" t="s">
        <v>62</v>
      </c>
      <c r="AF337" t="s">
        <v>1116</v>
      </c>
    </row>
    <row r="338" spans="1:32" x14ac:dyDescent="0.35">
      <c r="A338" t="s">
        <v>247</v>
      </c>
      <c r="B338" t="s">
        <v>1076</v>
      </c>
      <c r="C338" t="s">
        <v>896</v>
      </c>
      <c r="D338" t="s">
        <v>1077</v>
      </c>
      <c r="E338" t="s">
        <v>1078</v>
      </c>
      <c r="F338" t="s">
        <v>1079</v>
      </c>
      <c r="G338" t="s">
        <v>1080</v>
      </c>
      <c r="H338" t="s">
        <v>64</v>
      </c>
      <c r="I338" t="s">
        <v>1111</v>
      </c>
      <c r="J338" t="s">
        <v>1082</v>
      </c>
      <c r="K338" t="s">
        <v>1112</v>
      </c>
      <c r="L338">
        <v>45768</v>
      </c>
      <c r="M338">
        <v>46863</v>
      </c>
      <c r="N338" t="s">
        <v>1077</v>
      </c>
      <c r="O338" t="s">
        <v>1078</v>
      </c>
      <c r="Q338" t="s">
        <v>1084</v>
      </c>
      <c r="R338" t="s">
        <v>1085</v>
      </c>
      <c r="S338" t="s">
        <v>1086</v>
      </c>
      <c r="T338" t="s">
        <v>1118</v>
      </c>
      <c r="U338" t="s">
        <v>1114</v>
      </c>
      <c r="V338">
        <f>IF(AND(SUM(IF('Consulta de contratos'!$K$1="",0,1),IF('Consulta de contratos'!$K$2="",0,1),IF('Consulta de contratos'!$K$3="",0,1),IF('Consulta de contratos'!$K$4="",0,1),IF('Consulta de contratos'!$K$5="",0,1),IF('Consulta de contratos'!$K$6="",0,1))&gt;0,OR('Consulta de contratos'!$K$1="",A338='Consulta de contratos'!$K$1),OR('Consulta de contratos'!$K$2="",I338='Consulta de contratos'!$K$2),OR('Consulta de contratos'!$K$3="",C338='Consulta de contratos'!$K$3),OR('Consulta de contratos'!$K$4="",D338='Consulta de contratos'!$K$4),OR('Consulta de contratos'!$K$5="",E338='Consulta de contratos'!$K$5),OR('Consulta de contratos'!$K$6="",IFERROR(ISNUMBER(SEARCH("|"&amp;'Consulta de contratos'!$K$6&amp;"|",AF338)),FALSE))),1,0)</f>
        <v>0</v>
      </c>
      <c r="W338">
        <f>IF(V338=1,SUM($V$2:V338),0)</f>
        <v>0</v>
      </c>
      <c r="X338" t="s">
        <v>59</v>
      </c>
      <c r="Y338" t="s">
        <v>1115</v>
      </c>
      <c r="Z338" t="s">
        <v>80</v>
      </c>
      <c r="AA338" t="s">
        <v>62</v>
      </c>
      <c r="AF338" t="s">
        <v>1116</v>
      </c>
    </row>
    <row r="339" spans="1:32" x14ac:dyDescent="0.35">
      <c r="A339" t="s">
        <v>240</v>
      </c>
      <c r="B339" t="s">
        <v>1076</v>
      </c>
      <c r="C339" t="s">
        <v>896</v>
      </c>
      <c r="D339" t="s">
        <v>1077</v>
      </c>
      <c r="E339" t="s">
        <v>1078</v>
      </c>
      <c r="F339" t="s">
        <v>1079</v>
      </c>
      <c r="G339" t="s">
        <v>1080</v>
      </c>
      <c r="H339" t="s">
        <v>64</v>
      </c>
      <c r="I339" t="s">
        <v>1111</v>
      </c>
      <c r="J339" t="s">
        <v>1082</v>
      </c>
      <c r="K339" t="s">
        <v>1112</v>
      </c>
      <c r="L339">
        <v>45768</v>
      </c>
      <c r="M339">
        <v>46863</v>
      </c>
      <c r="N339" t="s">
        <v>1077</v>
      </c>
      <c r="O339" t="s">
        <v>1078</v>
      </c>
      <c r="Q339" t="s">
        <v>1084</v>
      </c>
      <c r="R339" t="s">
        <v>1085</v>
      </c>
      <c r="S339" t="s">
        <v>1086</v>
      </c>
      <c r="T339" t="s">
        <v>1119</v>
      </c>
      <c r="U339" t="s">
        <v>1114</v>
      </c>
      <c r="V339">
        <f>IF(AND(SUM(IF('Consulta de contratos'!$K$1="",0,1),IF('Consulta de contratos'!$K$2="",0,1),IF('Consulta de contratos'!$K$3="",0,1),IF('Consulta de contratos'!$K$4="",0,1),IF('Consulta de contratos'!$K$5="",0,1),IF('Consulta de contratos'!$K$6="",0,1))&gt;0,OR('Consulta de contratos'!$K$1="",A339='Consulta de contratos'!$K$1),OR('Consulta de contratos'!$K$2="",I339='Consulta de contratos'!$K$2),OR('Consulta de contratos'!$K$3="",C339='Consulta de contratos'!$K$3),OR('Consulta de contratos'!$K$4="",D339='Consulta de contratos'!$K$4),OR('Consulta de contratos'!$K$5="",E339='Consulta de contratos'!$K$5),OR('Consulta de contratos'!$K$6="",IFERROR(ISNUMBER(SEARCH("|"&amp;'Consulta de contratos'!$K$6&amp;"|",AF339)),FALSE))),1,0)</f>
        <v>0</v>
      </c>
      <c r="W339">
        <f>IF(V339=1,SUM($V$2:V339),0)</f>
        <v>0</v>
      </c>
      <c r="X339" t="s">
        <v>59</v>
      </c>
      <c r="Y339" t="s">
        <v>1115</v>
      </c>
      <c r="Z339" t="s">
        <v>80</v>
      </c>
      <c r="AA339" t="s">
        <v>62</v>
      </c>
      <c r="AF339" t="s">
        <v>1116</v>
      </c>
    </row>
    <row r="340" spans="1:32" x14ac:dyDescent="0.35">
      <c r="A340" t="s">
        <v>233</v>
      </c>
      <c r="B340" t="s">
        <v>1076</v>
      </c>
      <c r="C340" t="s">
        <v>896</v>
      </c>
      <c r="D340" t="s">
        <v>1077</v>
      </c>
      <c r="E340" t="s">
        <v>1078</v>
      </c>
      <c r="F340" t="s">
        <v>1079</v>
      </c>
      <c r="G340" t="s">
        <v>1080</v>
      </c>
      <c r="H340" t="s">
        <v>64</v>
      </c>
      <c r="I340" t="s">
        <v>1111</v>
      </c>
      <c r="J340" t="s">
        <v>1082</v>
      </c>
      <c r="K340" t="s">
        <v>1112</v>
      </c>
      <c r="L340">
        <v>45768</v>
      </c>
      <c r="M340">
        <v>46863</v>
      </c>
      <c r="N340" t="s">
        <v>1077</v>
      </c>
      <c r="O340" t="s">
        <v>1078</v>
      </c>
      <c r="Q340" t="s">
        <v>1084</v>
      </c>
      <c r="R340" t="s">
        <v>1085</v>
      </c>
      <c r="S340" t="s">
        <v>1086</v>
      </c>
      <c r="T340" t="s">
        <v>1120</v>
      </c>
      <c r="U340" t="s">
        <v>1114</v>
      </c>
      <c r="V340">
        <f>IF(AND(SUM(IF('Consulta de contratos'!$K$1="",0,1),IF('Consulta de contratos'!$K$2="",0,1),IF('Consulta de contratos'!$K$3="",0,1),IF('Consulta de contratos'!$K$4="",0,1),IF('Consulta de contratos'!$K$5="",0,1),IF('Consulta de contratos'!$K$6="",0,1))&gt;0,OR('Consulta de contratos'!$K$1="",A340='Consulta de contratos'!$K$1),OR('Consulta de contratos'!$K$2="",I340='Consulta de contratos'!$K$2),OR('Consulta de contratos'!$K$3="",C340='Consulta de contratos'!$K$3),OR('Consulta de contratos'!$K$4="",D340='Consulta de contratos'!$K$4),OR('Consulta de contratos'!$K$5="",E340='Consulta de contratos'!$K$5),OR('Consulta de contratos'!$K$6="",IFERROR(ISNUMBER(SEARCH("|"&amp;'Consulta de contratos'!$K$6&amp;"|",AF340)),FALSE))),1,0)</f>
        <v>0</v>
      </c>
      <c r="W340">
        <f>IF(V340=1,SUM($V$2:V340),0)</f>
        <v>0</v>
      </c>
      <c r="X340" t="s">
        <v>59</v>
      </c>
      <c r="Y340" t="s">
        <v>1115</v>
      </c>
      <c r="Z340" t="s">
        <v>80</v>
      </c>
      <c r="AA340" t="s">
        <v>62</v>
      </c>
      <c r="AF340" t="s">
        <v>1116</v>
      </c>
    </row>
    <row r="341" spans="1:32" x14ac:dyDescent="0.35">
      <c r="A341" t="s">
        <v>226</v>
      </c>
      <c r="B341" t="s">
        <v>1076</v>
      </c>
      <c r="C341" t="s">
        <v>896</v>
      </c>
      <c r="D341" t="s">
        <v>1077</v>
      </c>
      <c r="E341" t="s">
        <v>1078</v>
      </c>
      <c r="F341" t="s">
        <v>1079</v>
      </c>
      <c r="G341" t="s">
        <v>1080</v>
      </c>
      <c r="H341" t="s">
        <v>64</v>
      </c>
      <c r="I341" t="s">
        <v>1111</v>
      </c>
      <c r="J341" t="s">
        <v>1082</v>
      </c>
      <c r="K341" t="s">
        <v>1112</v>
      </c>
      <c r="L341">
        <v>45768</v>
      </c>
      <c r="M341">
        <v>46863</v>
      </c>
      <c r="N341" t="s">
        <v>1077</v>
      </c>
      <c r="O341" t="s">
        <v>1078</v>
      </c>
      <c r="Q341" t="s">
        <v>1084</v>
      </c>
      <c r="R341" t="s">
        <v>1085</v>
      </c>
      <c r="S341" t="s">
        <v>1086</v>
      </c>
      <c r="T341" t="s">
        <v>1121</v>
      </c>
      <c r="U341" t="s">
        <v>1114</v>
      </c>
      <c r="V341">
        <f>IF(AND(SUM(IF('Consulta de contratos'!$K$1="",0,1),IF('Consulta de contratos'!$K$2="",0,1),IF('Consulta de contratos'!$K$3="",0,1),IF('Consulta de contratos'!$K$4="",0,1),IF('Consulta de contratos'!$K$5="",0,1),IF('Consulta de contratos'!$K$6="",0,1))&gt;0,OR('Consulta de contratos'!$K$1="",A341='Consulta de contratos'!$K$1),OR('Consulta de contratos'!$K$2="",I341='Consulta de contratos'!$K$2),OR('Consulta de contratos'!$K$3="",C341='Consulta de contratos'!$K$3),OR('Consulta de contratos'!$K$4="",D341='Consulta de contratos'!$K$4),OR('Consulta de contratos'!$K$5="",E341='Consulta de contratos'!$K$5),OR('Consulta de contratos'!$K$6="",IFERROR(ISNUMBER(SEARCH("|"&amp;'Consulta de contratos'!$K$6&amp;"|",AF341)),FALSE))),1,0)</f>
        <v>0</v>
      </c>
      <c r="W341">
        <f>IF(V341=1,SUM($V$2:V341),0)</f>
        <v>0</v>
      </c>
      <c r="X341" t="s">
        <v>59</v>
      </c>
      <c r="Y341" t="s">
        <v>1115</v>
      </c>
      <c r="Z341" t="s">
        <v>80</v>
      </c>
      <c r="AA341" t="s">
        <v>62</v>
      </c>
      <c r="AF341" t="s">
        <v>1116</v>
      </c>
    </row>
    <row r="342" spans="1:32" x14ac:dyDescent="0.35">
      <c r="A342" t="s">
        <v>184</v>
      </c>
      <c r="B342" t="s">
        <v>1076</v>
      </c>
      <c r="C342" t="s">
        <v>896</v>
      </c>
      <c r="D342" t="s">
        <v>1077</v>
      </c>
      <c r="E342" t="s">
        <v>1078</v>
      </c>
      <c r="F342" t="s">
        <v>1079</v>
      </c>
      <c r="G342" t="s">
        <v>1080</v>
      </c>
      <c r="H342" t="s">
        <v>64</v>
      </c>
      <c r="I342" t="s">
        <v>1111</v>
      </c>
      <c r="J342" t="s">
        <v>1082</v>
      </c>
      <c r="K342" t="s">
        <v>1112</v>
      </c>
      <c r="L342">
        <v>45768</v>
      </c>
      <c r="M342">
        <v>46863</v>
      </c>
      <c r="N342" t="s">
        <v>1077</v>
      </c>
      <c r="O342" t="s">
        <v>1078</v>
      </c>
      <c r="Q342" t="s">
        <v>1084</v>
      </c>
      <c r="R342" t="s">
        <v>1085</v>
      </c>
      <c r="S342" t="s">
        <v>1086</v>
      </c>
      <c r="T342" t="s">
        <v>1122</v>
      </c>
      <c r="U342" t="s">
        <v>1114</v>
      </c>
      <c r="V342">
        <f>IF(AND(SUM(IF('Consulta de contratos'!$K$1="",0,1),IF('Consulta de contratos'!$K$2="",0,1),IF('Consulta de contratos'!$K$3="",0,1),IF('Consulta de contratos'!$K$4="",0,1),IF('Consulta de contratos'!$K$5="",0,1),IF('Consulta de contratos'!$K$6="",0,1))&gt;0,OR('Consulta de contratos'!$K$1="",A342='Consulta de contratos'!$K$1),OR('Consulta de contratos'!$K$2="",I342='Consulta de contratos'!$K$2),OR('Consulta de contratos'!$K$3="",C342='Consulta de contratos'!$K$3),OR('Consulta de contratos'!$K$4="",D342='Consulta de contratos'!$K$4),OR('Consulta de contratos'!$K$5="",E342='Consulta de contratos'!$K$5),OR('Consulta de contratos'!$K$6="",IFERROR(ISNUMBER(SEARCH("|"&amp;'Consulta de contratos'!$K$6&amp;"|",AF342)),FALSE))),1,0)</f>
        <v>0</v>
      </c>
      <c r="W342">
        <f>IF(V342=1,SUM($V$2:V342),0)</f>
        <v>0</v>
      </c>
      <c r="X342" t="s">
        <v>59</v>
      </c>
      <c r="Y342" t="s">
        <v>1115</v>
      </c>
      <c r="Z342" t="s">
        <v>80</v>
      </c>
      <c r="AA342" t="s">
        <v>62</v>
      </c>
      <c r="AF342" t="s">
        <v>1116</v>
      </c>
    </row>
    <row r="343" spans="1:32" x14ac:dyDescent="0.35">
      <c r="A343" t="s">
        <v>191</v>
      </c>
      <c r="B343" t="s">
        <v>1076</v>
      </c>
      <c r="C343" t="s">
        <v>896</v>
      </c>
      <c r="D343" t="s">
        <v>1077</v>
      </c>
      <c r="E343" t="s">
        <v>1078</v>
      </c>
      <c r="F343" t="s">
        <v>1079</v>
      </c>
      <c r="G343" t="s">
        <v>1080</v>
      </c>
      <c r="H343" t="s">
        <v>64</v>
      </c>
      <c r="I343" t="s">
        <v>1111</v>
      </c>
      <c r="J343" t="s">
        <v>1082</v>
      </c>
      <c r="K343" t="s">
        <v>1112</v>
      </c>
      <c r="L343">
        <v>45768</v>
      </c>
      <c r="M343">
        <v>46863</v>
      </c>
      <c r="N343" t="s">
        <v>1077</v>
      </c>
      <c r="O343" t="s">
        <v>1078</v>
      </c>
      <c r="Q343" t="s">
        <v>1084</v>
      </c>
      <c r="R343" t="s">
        <v>1085</v>
      </c>
      <c r="S343" t="s">
        <v>1086</v>
      </c>
      <c r="T343" t="s">
        <v>1123</v>
      </c>
      <c r="U343" t="s">
        <v>1114</v>
      </c>
      <c r="V343">
        <f>IF(AND(SUM(IF('Consulta de contratos'!$K$1="",0,1),IF('Consulta de contratos'!$K$2="",0,1),IF('Consulta de contratos'!$K$3="",0,1),IF('Consulta de contratos'!$K$4="",0,1),IF('Consulta de contratos'!$K$5="",0,1),IF('Consulta de contratos'!$K$6="",0,1))&gt;0,OR('Consulta de contratos'!$K$1="",A343='Consulta de contratos'!$K$1),OR('Consulta de contratos'!$K$2="",I343='Consulta de contratos'!$K$2),OR('Consulta de contratos'!$K$3="",C343='Consulta de contratos'!$K$3),OR('Consulta de contratos'!$K$4="",D343='Consulta de contratos'!$K$4),OR('Consulta de contratos'!$K$5="",E343='Consulta de contratos'!$K$5),OR('Consulta de contratos'!$K$6="",IFERROR(ISNUMBER(SEARCH("|"&amp;'Consulta de contratos'!$K$6&amp;"|",AF343)),FALSE))),1,0)</f>
        <v>0</v>
      </c>
      <c r="W343">
        <f>IF(V343=1,SUM($V$2:V343),0)</f>
        <v>0</v>
      </c>
      <c r="X343" t="s">
        <v>59</v>
      </c>
      <c r="Y343" t="s">
        <v>1115</v>
      </c>
      <c r="Z343" t="s">
        <v>80</v>
      </c>
      <c r="AA343" t="s">
        <v>62</v>
      </c>
      <c r="AF343" t="s">
        <v>1116</v>
      </c>
    </row>
    <row r="344" spans="1:32" x14ac:dyDescent="0.35">
      <c r="A344" t="s">
        <v>457</v>
      </c>
      <c r="B344" t="s">
        <v>1076</v>
      </c>
      <c r="C344" t="s">
        <v>896</v>
      </c>
      <c r="D344" t="s">
        <v>1077</v>
      </c>
      <c r="E344" t="s">
        <v>1078</v>
      </c>
      <c r="F344" t="s">
        <v>1079</v>
      </c>
      <c r="G344" t="s">
        <v>1080</v>
      </c>
      <c r="H344" t="s">
        <v>305</v>
      </c>
      <c r="I344" t="s">
        <v>1124</v>
      </c>
      <c r="J344" t="s">
        <v>1125</v>
      </c>
      <c r="K344" t="s">
        <v>1126</v>
      </c>
      <c r="L344">
        <v>45768</v>
      </c>
      <c r="M344">
        <v>46863</v>
      </c>
      <c r="N344" t="s">
        <v>1077</v>
      </c>
      <c r="O344" t="s">
        <v>1078</v>
      </c>
      <c r="Q344" t="s">
        <v>1127</v>
      </c>
      <c r="R344" t="s">
        <v>1085</v>
      </c>
      <c r="S344" t="s">
        <v>1086</v>
      </c>
      <c r="T344" t="s">
        <v>1128</v>
      </c>
      <c r="U344" t="s">
        <v>1129</v>
      </c>
      <c r="V344">
        <f>IF(AND(SUM(IF('Consulta de contratos'!$K$1="",0,1),IF('Consulta de contratos'!$K$2="",0,1),IF('Consulta de contratos'!$K$3="",0,1),IF('Consulta de contratos'!$K$4="",0,1),IF('Consulta de contratos'!$K$5="",0,1),IF('Consulta de contratos'!$K$6="",0,1))&gt;0,OR('Consulta de contratos'!$K$1="",A344='Consulta de contratos'!$K$1),OR('Consulta de contratos'!$K$2="",I344='Consulta de contratos'!$K$2),OR('Consulta de contratos'!$K$3="",C344='Consulta de contratos'!$K$3),OR('Consulta de contratos'!$K$4="",D344='Consulta de contratos'!$K$4),OR('Consulta de contratos'!$K$5="",E344='Consulta de contratos'!$K$5),OR('Consulta de contratos'!$K$6="",IFERROR(ISNUMBER(SEARCH("|"&amp;'Consulta de contratos'!$K$6&amp;"|",AF344)),FALSE))),1,0)</f>
        <v>0</v>
      </c>
      <c r="W344">
        <f>IF(V344=1,SUM($V$2:V344),0)</f>
        <v>0</v>
      </c>
      <c r="X344" t="s">
        <v>59</v>
      </c>
      <c r="Y344" t="s">
        <v>1130</v>
      </c>
      <c r="Z344" t="s">
        <v>346</v>
      </c>
      <c r="AA344" t="s">
        <v>62</v>
      </c>
      <c r="AF344" t="s">
        <v>1131</v>
      </c>
    </row>
    <row r="345" spans="1:32" x14ac:dyDescent="0.35">
      <c r="A345" t="s">
        <v>40</v>
      </c>
      <c r="B345" t="s">
        <v>1076</v>
      </c>
      <c r="C345" t="s">
        <v>896</v>
      </c>
      <c r="D345" t="s">
        <v>1077</v>
      </c>
      <c r="E345" t="s">
        <v>1078</v>
      </c>
      <c r="F345" t="s">
        <v>1132</v>
      </c>
      <c r="G345" t="s">
        <v>1133</v>
      </c>
      <c r="H345" t="s">
        <v>47</v>
      </c>
      <c r="I345" t="s">
        <v>1134</v>
      </c>
      <c r="J345" t="s">
        <v>1135</v>
      </c>
      <c r="K345" t="s">
        <v>1136</v>
      </c>
      <c r="N345" t="s">
        <v>1077</v>
      </c>
      <c r="O345" t="s">
        <v>1078</v>
      </c>
      <c r="Q345" t="s">
        <v>1137</v>
      </c>
      <c r="R345" t="s">
        <v>1138</v>
      </c>
      <c r="S345" t="s">
        <v>1139</v>
      </c>
      <c r="T345" t="s">
        <v>1140</v>
      </c>
      <c r="U345" t="s">
        <v>1141</v>
      </c>
      <c r="V345">
        <f>IF(AND(SUM(IF('Consulta de contratos'!$K$1="",0,1),IF('Consulta de contratos'!$K$2="",0,1),IF('Consulta de contratos'!$K$3="",0,1),IF('Consulta de contratos'!$K$4="",0,1),IF('Consulta de contratos'!$K$5="",0,1),IF('Consulta de contratos'!$K$6="",0,1))&gt;0,OR('Consulta de contratos'!$K$1="",A345='Consulta de contratos'!$K$1),OR('Consulta de contratos'!$K$2="",I345='Consulta de contratos'!$K$2),OR('Consulta de contratos'!$K$3="",C345='Consulta de contratos'!$K$3),OR('Consulta de contratos'!$K$4="",D345='Consulta de contratos'!$K$4),OR('Consulta de contratos'!$K$5="",E345='Consulta de contratos'!$K$5),OR('Consulta de contratos'!$K$6="",IFERROR(ISNUMBER(SEARCH("|"&amp;'Consulta de contratos'!$K$6&amp;"|",AF345)),FALSE))),1,0)</f>
        <v>0</v>
      </c>
      <c r="W345">
        <f>IF(V345=1,SUM($V$2:V345),0)</f>
        <v>0</v>
      </c>
      <c r="X345" t="s">
        <v>468</v>
      </c>
      <c r="Y345" t="s">
        <v>1134</v>
      </c>
      <c r="Z345" t="s">
        <v>71</v>
      </c>
      <c r="AA345" t="s">
        <v>62</v>
      </c>
      <c r="AF345" t="s">
        <v>1142</v>
      </c>
    </row>
    <row r="346" spans="1:32" x14ac:dyDescent="0.35">
      <c r="A346" t="s">
        <v>123</v>
      </c>
      <c r="B346" t="s">
        <v>1076</v>
      </c>
      <c r="C346" t="s">
        <v>896</v>
      </c>
      <c r="D346" t="s">
        <v>1077</v>
      </c>
      <c r="E346" t="s">
        <v>1078</v>
      </c>
      <c r="F346" t="s">
        <v>1132</v>
      </c>
      <c r="G346" t="s">
        <v>1133</v>
      </c>
      <c r="H346" t="s">
        <v>47</v>
      </c>
      <c r="I346" t="s">
        <v>1134</v>
      </c>
      <c r="J346" t="s">
        <v>1135</v>
      </c>
      <c r="K346" t="s">
        <v>1136</v>
      </c>
      <c r="N346" t="s">
        <v>1077</v>
      </c>
      <c r="O346" t="s">
        <v>1078</v>
      </c>
      <c r="Q346" t="s">
        <v>1137</v>
      </c>
      <c r="R346" t="s">
        <v>1138</v>
      </c>
      <c r="S346" t="s">
        <v>1139</v>
      </c>
      <c r="T346" t="s">
        <v>1143</v>
      </c>
      <c r="U346" t="s">
        <v>1141</v>
      </c>
      <c r="V346">
        <f>IF(AND(SUM(IF('Consulta de contratos'!$K$1="",0,1),IF('Consulta de contratos'!$K$2="",0,1),IF('Consulta de contratos'!$K$3="",0,1),IF('Consulta de contratos'!$K$4="",0,1),IF('Consulta de contratos'!$K$5="",0,1),IF('Consulta de contratos'!$K$6="",0,1))&gt;0,OR('Consulta de contratos'!$K$1="",A346='Consulta de contratos'!$K$1),OR('Consulta de contratos'!$K$2="",I346='Consulta de contratos'!$K$2),OR('Consulta de contratos'!$K$3="",C346='Consulta de contratos'!$K$3),OR('Consulta de contratos'!$K$4="",D346='Consulta de contratos'!$K$4),OR('Consulta de contratos'!$K$5="",E346='Consulta de contratos'!$K$5),OR('Consulta de contratos'!$K$6="",IFERROR(ISNUMBER(SEARCH("|"&amp;'Consulta de contratos'!$K$6&amp;"|",AF346)),FALSE))),1,0)</f>
        <v>0</v>
      </c>
      <c r="W346">
        <f>IF(V346=1,SUM($V$2:V346),0)</f>
        <v>0</v>
      </c>
      <c r="X346" t="s">
        <v>468</v>
      </c>
      <c r="Y346" t="s">
        <v>1134</v>
      </c>
      <c r="Z346" t="s">
        <v>71</v>
      </c>
      <c r="AA346" t="s">
        <v>62</v>
      </c>
      <c r="AF346" t="s">
        <v>1142</v>
      </c>
    </row>
    <row r="347" spans="1:32" x14ac:dyDescent="0.35">
      <c r="A347" t="s">
        <v>163</v>
      </c>
      <c r="B347" t="s">
        <v>1076</v>
      </c>
      <c r="C347" t="s">
        <v>896</v>
      </c>
      <c r="D347" t="s">
        <v>1077</v>
      </c>
      <c r="E347" t="s">
        <v>1078</v>
      </c>
      <c r="F347" t="s">
        <v>1132</v>
      </c>
      <c r="G347" t="s">
        <v>1133</v>
      </c>
      <c r="H347" t="s">
        <v>124</v>
      </c>
      <c r="I347" t="s">
        <v>1144</v>
      </c>
      <c r="J347" t="s">
        <v>1135</v>
      </c>
      <c r="K347" t="s">
        <v>1145</v>
      </c>
      <c r="N347" t="s">
        <v>1077</v>
      </c>
      <c r="O347" t="s">
        <v>1078</v>
      </c>
      <c r="Q347" t="s">
        <v>1137</v>
      </c>
      <c r="R347" t="s">
        <v>1138</v>
      </c>
      <c r="S347" t="s">
        <v>1139</v>
      </c>
      <c r="T347" t="s">
        <v>1146</v>
      </c>
      <c r="U347" t="s">
        <v>1147</v>
      </c>
      <c r="V347">
        <f>IF(AND(SUM(IF('Consulta de contratos'!$K$1="",0,1),IF('Consulta de contratos'!$K$2="",0,1),IF('Consulta de contratos'!$K$3="",0,1),IF('Consulta de contratos'!$K$4="",0,1),IF('Consulta de contratos'!$K$5="",0,1),IF('Consulta de contratos'!$K$6="",0,1))&gt;0,OR('Consulta de contratos'!$K$1="",A347='Consulta de contratos'!$K$1),OR('Consulta de contratos'!$K$2="",I347='Consulta de contratos'!$K$2),OR('Consulta de contratos'!$K$3="",C347='Consulta de contratos'!$K$3),OR('Consulta de contratos'!$K$4="",D347='Consulta de contratos'!$K$4),OR('Consulta de contratos'!$K$5="",E347='Consulta de contratos'!$K$5),OR('Consulta de contratos'!$K$6="",IFERROR(ISNUMBER(SEARCH("|"&amp;'Consulta de contratos'!$K$6&amp;"|",AF347)),FALSE))),1,0)</f>
        <v>0</v>
      </c>
      <c r="W347">
        <f>IF(V347=1,SUM($V$2:V347),0)</f>
        <v>0</v>
      </c>
      <c r="X347" t="s">
        <v>468</v>
      </c>
      <c r="Y347" t="s">
        <v>1144</v>
      </c>
      <c r="Z347" t="s">
        <v>71</v>
      </c>
      <c r="AA347" t="s">
        <v>62</v>
      </c>
      <c r="AF347" t="s">
        <v>1148</v>
      </c>
    </row>
    <row r="348" spans="1:32" x14ac:dyDescent="0.35">
      <c r="A348" t="s">
        <v>170</v>
      </c>
      <c r="B348" t="s">
        <v>1076</v>
      </c>
      <c r="C348" t="s">
        <v>896</v>
      </c>
      <c r="D348" t="s">
        <v>1077</v>
      </c>
      <c r="E348" t="s">
        <v>1078</v>
      </c>
      <c r="F348" t="s">
        <v>1132</v>
      </c>
      <c r="G348" t="s">
        <v>1133</v>
      </c>
      <c r="H348" t="s">
        <v>124</v>
      </c>
      <c r="I348" t="s">
        <v>1144</v>
      </c>
      <c r="J348" t="s">
        <v>1135</v>
      </c>
      <c r="K348" t="s">
        <v>1145</v>
      </c>
      <c r="N348" t="s">
        <v>1077</v>
      </c>
      <c r="O348" t="s">
        <v>1078</v>
      </c>
      <c r="Q348" t="s">
        <v>1137</v>
      </c>
      <c r="R348" t="s">
        <v>1138</v>
      </c>
      <c r="S348" t="s">
        <v>1139</v>
      </c>
      <c r="T348" t="s">
        <v>1149</v>
      </c>
      <c r="U348" t="s">
        <v>1147</v>
      </c>
      <c r="V348">
        <f>IF(AND(SUM(IF('Consulta de contratos'!$K$1="",0,1),IF('Consulta de contratos'!$K$2="",0,1),IF('Consulta de contratos'!$K$3="",0,1),IF('Consulta de contratos'!$K$4="",0,1),IF('Consulta de contratos'!$K$5="",0,1),IF('Consulta de contratos'!$K$6="",0,1))&gt;0,OR('Consulta de contratos'!$K$1="",A348='Consulta de contratos'!$K$1),OR('Consulta de contratos'!$K$2="",I348='Consulta de contratos'!$K$2),OR('Consulta de contratos'!$K$3="",C348='Consulta de contratos'!$K$3),OR('Consulta de contratos'!$K$4="",D348='Consulta de contratos'!$K$4),OR('Consulta de contratos'!$K$5="",E348='Consulta de contratos'!$K$5),OR('Consulta de contratos'!$K$6="",IFERROR(ISNUMBER(SEARCH("|"&amp;'Consulta de contratos'!$K$6&amp;"|",AF348)),FALSE))),1,0)</f>
        <v>0</v>
      </c>
      <c r="W348">
        <f>IF(V348=1,SUM($V$2:V348),0)</f>
        <v>0</v>
      </c>
      <c r="X348" t="s">
        <v>468</v>
      </c>
      <c r="Y348" t="s">
        <v>1144</v>
      </c>
      <c r="Z348" t="s">
        <v>71</v>
      </c>
      <c r="AA348" t="s">
        <v>62</v>
      </c>
      <c r="AF348" t="s">
        <v>1148</v>
      </c>
    </row>
    <row r="349" spans="1:32" x14ac:dyDescent="0.35">
      <c r="A349" t="s">
        <v>149</v>
      </c>
      <c r="B349" t="s">
        <v>1076</v>
      </c>
      <c r="C349" t="s">
        <v>896</v>
      </c>
      <c r="D349" t="s">
        <v>1077</v>
      </c>
      <c r="E349" t="s">
        <v>1078</v>
      </c>
      <c r="F349" t="s">
        <v>1132</v>
      </c>
      <c r="G349" t="s">
        <v>1133</v>
      </c>
      <c r="H349" t="s">
        <v>124</v>
      </c>
      <c r="I349" t="s">
        <v>1144</v>
      </c>
      <c r="J349" t="s">
        <v>1135</v>
      </c>
      <c r="K349" t="s">
        <v>1145</v>
      </c>
      <c r="N349" t="s">
        <v>1077</v>
      </c>
      <c r="O349" t="s">
        <v>1078</v>
      </c>
      <c r="Q349" t="s">
        <v>1137</v>
      </c>
      <c r="R349" t="s">
        <v>1138</v>
      </c>
      <c r="S349" t="s">
        <v>1139</v>
      </c>
      <c r="T349" t="s">
        <v>1150</v>
      </c>
      <c r="U349" t="s">
        <v>1147</v>
      </c>
      <c r="V349">
        <f>IF(AND(SUM(IF('Consulta de contratos'!$K$1="",0,1),IF('Consulta de contratos'!$K$2="",0,1),IF('Consulta de contratos'!$K$3="",0,1),IF('Consulta de contratos'!$K$4="",0,1),IF('Consulta de contratos'!$K$5="",0,1),IF('Consulta de contratos'!$K$6="",0,1))&gt;0,OR('Consulta de contratos'!$K$1="",A349='Consulta de contratos'!$K$1),OR('Consulta de contratos'!$K$2="",I349='Consulta de contratos'!$K$2),OR('Consulta de contratos'!$K$3="",C349='Consulta de contratos'!$K$3),OR('Consulta de contratos'!$K$4="",D349='Consulta de contratos'!$K$4),OR('Consulta de contratos'!$K$5="",E349='Consulta de contratos'!$K$5),OR('Consulta de contratos'!$K$6="",IFERROR(ISNUMBER(SEARCH("|"&amp;'Consulta de contratos'!$K$6&amp;"|",AF349)),FALSE))),1,0)</f>
        <v>0</v>
      </c>
      <c r="W349">
        <f>IF(V349=1,SUM($V$2:V349),0)</f>
        <v>0</v>
      </c>
      <c r="X349" t="s">
        <v>468</v>
      </c>
      <c r="Y349" t="s">
        <v>1144</v>
      </c>
      <c r="Z349" t="s">
        <v>71</v>
      </c>
      <c r="AA349" t="s">
        <v>62</v>
      </c>
      <c r="AF349" t="s">
        <v>1148</v>
      </c>
    </row>
    <row r="350" spans="1:32" x14ac:dyDescent="0.35">
      <c r="A350" t="s">
        <v>156</v>
      </c>
      <c r="B350" t="s">
        <v>1076</v>
      </c>
      <c r="C350" t="s">
        <v>896</v>
      </c>
      <c r="D350" t="s">
        <v>1077</v>
      </c>
      <c r="E350" t="s">
        <v>1078</v>
      </c>
      <c r="F350" t="s">
        <v>1132</v>
      </c>
      <c r="G350" t="s">
        <v>1133</v>
      </c>
      <c r="H350" t="s">
        <v>124</v>
      </c>
      <c r="I350" t="s">
        <v>1144</v>
      </c>
      <c r="J350" t="s">
        <v>1135</v>
      </c>
      <c r="K350" t="s">
        <v>1145</v>
      </c>
      <c r="N350" t="s">
        <v>1077</v>
      </c>
      <c r="O350" t="s">
        <v>1078</v>
      </c>
      <c r="Q350" t="s">
        <v>1137</v>
      </c>
      <c r="R350" t="s">
        <v>1138</v>
      </c>
      <c r="S350" t="s">
        <v>1139</v>
      </c>
      <c r="T350" t="s">
        <v>1151</v>
      </c>
      <c r="U350" t="s">
        <v>1147</v>
      </c>
      <c r="V350">
        <f>IF(AND(SUM(IF('Consulta de contratos'!$K$1="",0,1),IF('Consulta de contratos'!$K$2="",0,1),IF('Consulta de contratos'!$K$3="",0,1),IF('Consulta de contratos'!$K$4="",0,1),IF('Consulta de contratos'!$K$5="",0,1),IF('Consulta de contratos'!$K$6="",0,1))&gt;0,OR('Consulta de contratos'!$K$1="",A350='Consulta de contratos'!$K$1),OR('Consulta de contratos'!$K$2="",I350='Consulta de contratos'!$K$2),OR('Consulta de contratos'!$K$3="",C350='Consulta de contratos'!$K$3),OR('Consulta de contratos'!$K$4="",D350='Consulta de contratos'!$K$4),OR('Consulta de contratos'!$K$5="",E350='Consulta de contratos'!$K$5),OR('Consulta de contratos'!$K$6="",IFERROR(ISNUMBER(SEARCH("|"&amp;'Consulta de contratos'!$K$6&amp;"|",AF350)),FALSE))),1,0)</f>
        <v>0</v>
      </c>
      <c r="W350">
        <f>IF(V350=1,SUM($V$2:V350),0)</f>
        <v>0</v>
      </c>
      <c r="X350" t="s">
        <v>468</v>
      </c>
      <c r="Y350" t="s">
        <v>1144</v>
      </c>
      <c r="Z350" t="s">
        <v>71</v>
      </c>
      <c r="AA350" t="s">
        <v>62</v>
      </c>
      <c r="AF350" t="s">
        <v>1148</v>
      </c>
    </row>
    <row r="351" spans="1:32" x14ac:dyDescent="0.35">
      <c r="A351" t="s">
        <v>177</v>
      </c>
      <c r="B351" t="s">
        <v>1076</v>
      </c>
      <c r="C351" t="s">
        <v>896</v>
      </c>
      <c r="D351" t="s">
        <v>1077</v>
      </c>
      <c r="E351" t="s">
        <v>1078</v>
      </c>
      <c r="F351" t="s">
        <v>1132</v>
      </c>
      <c r="G351" t="s">
        <v>1133</v>
      </c>
      <c r="H351" t="s">
        <v>124</v>
      </c>
      <c r="I351" t="s">
        <v>1144</v>
      </c>
      <c r="J351" t="s">
        <v>1135</v>
      </c>
      <c r="K351" t="s">
        <v>1145</v>
      </c>
      <c r="N351" t="s">
        <v>1077</v>
      </c>
      <c r="O351" t="s">
        <v>1078</v>
      </c>
      <c r="Q351" t="s">
        <v>1137</v>
      </c>
      <c r="R351" t="s">
        <v>1138</v>
      </c>
      <c r="S351" t="s">
        <v>1139</v>
      </c>
      <c r="T351" t="s">
        <v>1152</v>
      </c>
      <c r="U351" t="s">
        <v>1147</v>
      </c>
      <c r="V351">
        <f>IF(AND(SUM(IF('Consulta de contratos'!$K$1="",0,1),IF('Consulta de contratos'!$K$2="",0,1),IF('Consulta de contratos'!$K$3="",0,1),IF('Consulta de contratos'!$K$4="",0,1),IF('Consulta de contratos'!$K$5="",0,1),IF('Consulta de contratos'!$K$6="",0,1))&gt;0,OR('Consulta de contratos'!$K$1="",A351='Consulta de contratos'!$K$1),OR('Consulta de contratos'!$K$2="",I351='Consulta de contratos'!$K$2),OR('Consulta de contratos'!$K$3="",C351='Consulta de contratos'!$K$3),OR('Consulta de contratos'!$K$4="",D351='Consulta de contratos'!$K$4),OR('Consulta de contratos'!$K$5="",E351='Consulta de contratos'!$K$5),OR('Consulta de contratos'!$K$6="",IFERROR(ISNUMBER(SEARCH("|"&amp;'Consulta de contratos'!$K$6&amp;"|",AF351)),FALSE))),1,0)</f>
        <v>0</v>
      </c>
      <c r="W351">
        <f>IF(V351=1,SUM($V$2:V351),0)</f>
        <v>0</v>
      </c>
      <c r="X351" t="s">
        <v>468</v>
      </c>
      <c r="Y351" t="s">
        <v>1144</v>
      </c>
      <c r="Z351" t="s">
        <v>71</v>
      </c>
      <c r="AA351" t="s">
        <v>62</v>
      </c>
      <c r="AF351" t="s">
        <v>1148</v>
      </c>
    </row>
    <row r="352" spans="1:32" x14ac:dyDescent="0.35">
      <c r="A352" t="s">
        <v>142</v>
      </c>
      <c r="B352" t="s">
        <v>1076</v>
      </c>
      <c r="C352" t="s">
        <v>896</v>
      </c>
      <c r="D352" t="s">
        <v>1077</v>
      </c>
      <c r="E352" t="s">
        <v>1078</v>
      </c>
      <c r="F352" t="s">
        <v>1132</v>
      </c>
      <c r="G352" t="s">
        <v>1133</v>
      </c>
      <c r="H352" t="s">
        <v>73</v>
      </c>
      <c r="I352" t="s">
        <v>1153</v>
      </c>
      <c r="J352" t="s">
        <v>1135</v>
      </c>
      <c r="K352" t="s">
        <v>1154</v>
      </c>
      <c r="N352" t="s">
        <v>1077</v>
      </c>
      <c r="O352" t="s">
        <v>1078</v>
      </c>
      <c r="Q352" t="s">
        <v>1137</v>
      </c>
      <c r="R352" t="s">
        <v>1138</v>
      </c>
      <c r="S352" t="s">
        <v>1139</v>
      </c>
      <c r="T352" t="s">
        <v>1155</v>
      </c>
      <c r="U352" t="s">
        <v>1156</v>
      </c>
      <c r="V352">
        <f>IF(AND(SUM(IF('Consulta de contratos'!$K$1="",0,1),IF('Consulta de contratos'!$K$2="",0,1),IF('Consulta de contratos'!$K$3="",0,1),IF('Consulta de contratos'!$K$4="",0,1),IF('Consulta de contratos'!$K$5="",0,1),IF('Consulta de contratos'!$K$6="",0,1))&gt;0,OR('Consulta de contratos'!$K$1="",A352='Consulta de contratos'!$K$1),OR('Consulta de contratos'!$K$2="",I352='Consulta de contratos'!$K$2),OR('Consulta de contratos'!$K$3="",C352='Consulta de contratos'!$K$3),OR('Consulta de contratos'!$K$4="",D352='Consulta de contratos'!$K$4),OR('Consulta de contratos'!$K$5="",E352='Consulta de contratos'!$K$5),OR('Consulta de contratos'!$K$6="",IFERROR(ISNUMBER(SEARCH("|"&amp;'Consulta de contratos'!$K$6&amp;"|",AF352)),FALSE))),1,0)</f>
        <v>0</v>
      </c>
      <c r="W352">
        <f>IF(V352=1,SUM($V$2:V352),0)</f>
        <v>0</v>
      </c>
      <c r="X352" t="s">
        <v>468</v>
      </c>
      <c r="Y352" t="s">
        <v>1157</v>
      </c>
      <c r="Z352" t="s">
        <v>61</v>
      </c>
      <c r="AA352" t="s">
        <v>62</v>
      </c>
      <c r="AF352" t="s">
        <v>1158</v>
      </c>
    </row>
    <row r="353" spans="1:32" x14ac:dyDescent="0.35">
      <c r="A353" t="s">
        <v>135</v>
      </c>
      <c r="B353" t="s">
        <v>1076</v>
      </c>
      <c r="C353" t="s">
        <v>896</v>
      </c>
      <c r="D353" t="s">
        <v>1077</v>
      </c>
      <c r="E353" t="s">
        <v>1078</v>
      </c>
      <c r="F353" t="s">
        <v>1132</v>
      </c>
      <c r="G353" t="s">
        <v>1133</v>
      </c>
      <c r="H353" t="s">
        <v>73</v>
      </c>
      <c r="I353" t="s">
        <v>1153</v>
      </c>
      <c r="J353" t="s">
        <v>1135</v>
      </c>
      <c r="K353" t="s">
        <v>1154</v>
      </c>
      <c r="N353" t="s">
        <v>1077</v>
      </c>
      <c r="O353" t="s">
        <v>1078</v>
      </c>
      <c r="Q353" t="s">
        <v>1137</v>
      </c>
      <c r="R353" t="s">
        <v>1138</v>
      </c>
      <c r="S353" t="s">
        <v>1139</v>
      </c>
      <c r="T353" t="s">
        <v>1159</v>
      </c>
      <c r="U353" t="s">
        <v>1156</v>
      </c>
      <c r="V353">
        <f>IF(AND(SUM(IF('Consulta de contratos'!$K$1="",0,1),IF('Consulta de contratos'!$K$2="",0,1),IF('Consulta de contratos'!$K$3="",0,1),IF('Consulta de contratos'!$K$4="",0,1),IF('Consulta de contratos'!$K$5="",0,1),IF('Consulta de contratos'!$K$6="",0,1))&gt;0,OR('Consulta de contratos'!$K$1="",A353='Consulta de contratos'!$K$1),OR('Consulta de contratos'!$K$2="",I353='Consulta de contratos'!$K$2),OR('Consulta de contratos'!$K$3="",C353='Consulta de contratos'!$K$3),OR('Consulta de contratos'!$K$4="",D353='Consulta de contratos'!$K$4),OR('Consulta de contratos'!$K$5="",E353='Consulta de contratos'!$K$5),OR('Consulta de contratos'!$K$6="",IFERROR(ISNUMBER(SEARCH("|"&amp;'Consulta de contratos'!$K$6&amp;"|",AF353)),FALSE))),1,0)</f>
        <v>0</v>
      </c>
      <c r="W353">
        <f>IF(V353=1,SUM($V$2:V353),0)</f>
        <v>0</v>
      </c>
      <c r="X353" t="s">
        <v>468</v>
      </c>
      <c r="Y353" t="s">
        <v>1157</v>
      </c>
      <c r="Z353" t="s">
        <v>61</v>
      </c>
      <c r="AA353" t="s">
        <v>62</v>
      </c>
      <c r="AF353" t="s">
        <v>1158</v>
      </c>
    </row>
    <row r="354" spans="1:32" x14ac:dyDescent="0.35">
      <c r="A354" t="s">
        <v>212</v>
      </c>
      <c r="B354" t="s">
        <v>1076</v>
      </c>
      <c r="C354" t="s">
        <v>896</v>
      </c>
      <c r="D354" t="s">
        <v>1077</v>
      </c>
      <c r="E354" t="s">
        <v>1078</v>
      </c>
      <c r="F354" t="s">
        <v>1132</v>
      </c>
      <c r="G354" t="s">
        <v>1133</v>
      </c>
      <c r="H354" t="s">
        <v>73</v>
      </c>
      <c r="I354" t="s">
        <v>1153</v>
      </c>
      <c r="J354" t="s">
        <v>1135</v>
      </c>
      <c r="K354" t="s">
        <v>1154</v>
      </c>
      <c r="N354" t="s">
        <v>1077</v>
      </c>
      <c r="O354" t="s">
        <v>1078</v>
      </c>
      <c r="Q354" t="s">
        <v>1137</v>
      </c>
      <c r="R354" t="s">
        <v>1138</v>
      </c>
      <c r="S354" t="s">
        <v>1139</v>
      </c>
      <c r="T354" t="s">
        <v>1160</v>
      </c>
      <c r="U354" t="s">
        <v>1156</v>
      </c>
      <c r="V354">
        <f>IF(AND(SUM(IF('Consulta de contratos'!$K$1="",0,1),IF('Consulta de contratos'!$K$2="",0,1),IF('Consulta de contratos'!$K$3="",0,1),IF('Consulta de contratos'!$K$4="",0,1),IF('Consulta de contratos'!$K$5="",0,1),IF('Consulta de contratos'!$K$6="",0,1))&gt;0,OR('Consulta de contratos'!$K$1="",A354='Consulta de contratos'!$K$1),OR('Consulta de contratos'!$K$2="",I354='Consulta de contratos'!$K$2),OR('Consulta de contratos'!$K$3="",C354='Consulta de contratos'!$K$3),OR('Consulta de contratos'!$K$4="",D354='Consulta de contratos'!$K$4),OR('Consulta de contratos'!$K$5="",E354='Consulta de contratos'!$K$5),OR('Consulta de contratos'!$K$6="",IFERROR(ISNUMBER(SEARCH("|"&amp;'Consulta de contratos'!$K$6&amp;"|",AF354)),FALSE))),1,0)</f>
        <v>0</v>
      </c>
      <c r="W354">
        <f>IF(V354=1,SUM($V$2:V354),0)</f>
        <v>0</v>
      </c>
      <c r="X354" t="s">
        <v>468</v>
      </c>
      <c r="Y354" t="s">
        <v>1157</v>
      </c>
      <c r="Z354" t="s">
        <v>61</v>
      </c>
      <c r="AA354" t="s">
        <v>62</v>
      </c>
      <c r="AF354" t="s">
        <v>1158</v>
      </c>
    </row>
    <row r="355" spans="1:32" x14ac:dyDescent="0.35">
      <c r="A355" t="s">
        <v>205</v>
      </c>
      <c r="B355" t="s">
        <v>1076</v>
      </c>
      <c r="C355" t="s">
        <v>896</v>
      </c>
      <c r="D355" t="s">
        <v>1077</v>
      </c>
      <c r="E355" t="s">
        <v>1078</v>
      </c>
      <c r="F355" t="s">
        <v>1132</v>
      </c>
      <c r="G355" t="s">
        <v>1133</v>
      </c>
      <c r="H355" t="s">
        <v>73</v>
      </c>
      <c r="I355" t="s">
        <v>1153</v>
      </c>
      <c r="J355" t="s">
        <v>1135</v>
      </c>
      <c r="K355" t="s">
        <v>1154</v>
      </c>
      <c r="N355" t="s">
        <v>1077</v>
      </c>
      <c r="O355" t="s">
        <v>1078</v>
      </c>
      <c r="Q355" t="s">
        <v>1137</v>
      </c>
      <c r="R355" t="s">
        <v>1138</v>
      </c>
      <c r="S355" t="s">
        <v>1139</v>
      </c>
      <c r="T355" t="s">
        <v>1161</v>
      </c>
      <c r="U355" t="s">
        <v>1156</v>
      </c>
      <c r="V355">
        <f>IF(AND(SUM(IF('Consulta de contratos'!$K$1="",0,1),IF('Consulta de contratos'!$K$2="",0,1),IF('Consulta de contratos'!$K$3="",0,1),IF('Consulta de contratos'!$K$4="",0,1),IF('Consulta de contratos'!$K$5="",0,1),IF('Consulta de contratos'!$K$6="",0,1))&gt;0,OR('Consulta de contratos'!$K$1="",A355='Consulta de contratos'!$K$1),OR('Consulta de contratos'!$K$2="",I355='Consulta de contratos'!$K$2),OR('Consulta de contratos'!$K$3="",C355='Consulta de contratos'!$K$3),OR('Consulta de contratos'!$K$4="",D355='Consulta de contratos'!$K$4),OR('Consulta de contratos'!$K$5="",E355='Consulta de contratos'!$K$5),OR('Consulta de contratos'!$K$6="",IFERROR(ISNUMBER(SEARCH("|"&amp;'Consulta de contratos'!$K$6&amp;"|",AF355)),FALSE))),1,0)</f>
        <v>0</v>
      </c>
      <c r="W355">
        <f>IF(V355=1,SUM($V$2:V355),0)</f>
        <v>0</v>
      </c>
      <c r="X355" t="s">
        <v>468</v>
      </c>
      <c r="Y355" t="s">
        <v>1157</v>
      </c>
      <c r="Z355" t="s">
        <v>61</v>
      </c>
      <c r="AA355" t="s">
        <v>62</v>
      </c>
      <c r="AF355" t="s">
        <v>1158</v>
      </c>
    </row>
    <row r="356" spans="1:32" x14ac:dyDescent="0.35">
      <c r="A356" t="s">
        <v>198</v>
      </c>
      <c r="B356" t="s">
        <v>1076</v>
      </c>
      <c r="C356" t="s">
        <v>896</v>
      </c>
      <c r="D356" t="s">
        <v>1077</v>
      </c>
      <c r="E356" t="s">
        <v>1078</v>
      </c>
      <c r="F356" t="s">
        <v>1132</v>
      </c>
      <c r="G356" t="s">
        <v>1133</v>
      </c>
      <c r="H356" t="s">
        <v>73</v>
      </c>
      <c r="I356" t="s">
        <v>1153</v>
      </c>
      <c r="J356" t="s">
        <v>1135</v>
      </c>
      <c r="K356" t="s">
        <v>1154</v>
      </c>
      <c r="N356" t="s">
        <v>1077</v>
      </c>
      <c r="O356" t="s">
        <v>1078</v>
      </c>
      <c r="Q356" t="s">
        <v>1137</v>
      </c>
      <c r="R356" t="s">
        <v>1138</v>
      </c>
      <c r="S356" t="s">
        <v>1139</v>
      </c>
      <c r="T356" t="s">
        <v>1162</v>
      </c>
      <c r="U356" t="s">
        <v>1156</v>
      </c>
      <c r="V356">
        <f>IF(AND(SUM(IF('Consulta de contratos'!$K$1="",0,1),IF('Consulta de contratos'!$K$2="",0,1),IF('Consulta de contratos'!$K$3="",0,1),IF('Consulta de contratos'!$K$4="",0,1),IF('Consulta de contratos'!$K$5="",0,1),IF('Consulta de contratos'!$K$6="",0,1))&gt;0,OR('Consulta de contratos'!$K$1="",A356='Consulta de contratos'!$K$1),OR('Consulta de contratos'!$K$2="",I356='Consulta de contratos'!$K$2),OR('Consulta de contratos'!$K$3="",C356='Consulta de contratos'!$K$3),OR('Consulta de contratos'!$K$4="",D356='Consulta de contratos'!$K$4),OR('Consulta de contratos'!$K$5="",E356='Consulta de contratos'!$K$5),OR('Consulta de contratos'!$K$6="",IFERROR(ISNUMBER(SEARCH("|"&amp;'Consulta de contratos'!$K$6&amp;"|",AF356)),FALSE))),1,0)</f>
        <v>0</v>
      </c>
      <c r="W356">
        <f>IF(V356=1,SUM($V$2:V356),0)</f>
        <v>0</v>
      </c>
      <c r="X356" t="s">
        <v>468</v>
      </c>
      <c r="Y356" t="s">
        <v>1157</v>
      </c>
      <c r="Z356" t="s">
        <v>61</v>
      </c>
      <c r="AA356" t="s">
        <v>62</v>
      </c>
      <c r="AF356" t="s">
        <v>1158</v>
      </c>
    </row>
    <row r="357" spans="1:32" x14ac:dyDescent="0.35">
      <c r="A357" t="s">
        <v>116</v>
      </c>
      <c r="B357" t="s">
        <v>1076</v>
      </c>
      <c r="C357" t="s">
        <v>896</v>
      </c>
      <c r="D357" t="s">
        <v>1077</v>
      </c>
      <c r="E357" t="s">
        <v>1078</v>
      </c>
      <c r="F357" t="s">
        <v>1132</v>
      </c>
      <c r="G357" t="s">
        <v>1133</v>
      </c>
      <c r="H357" t="s">
        <v>73</v>
      </c>
      <c r="I357" t="s">
        <v>1153</v>
      </c>
      <c r="J357" t="s">
        <v>1135</v>
      </c>
      <c r="K357" t="s">
        <v>1154</v>
      </c>
      <c r="N357" t="s">
        <v>1077</v>
      </c>
      <c r="O357" t="s">
        <v>1078</v>
      </c>
      <c r="Q357" t="s">
        <v>1137</v>
      </c>
      <c r="R357" t="s">
        <v>1138</v>
      </c>
      <c r="S357" t="s">
        <v>1139</v>
      </c>
      <c r="T357" t="s">
        <v>1163</v>
      </c>
      <c r="U357" t="s">
        <v>1156</v>
      </c>
      <c r="V357">
        <f>IF(AND(SUM(IF('Consulta de contratos'!$K$1="",0,1),IF('Consulta de contratos'!$K$2="",0,1),IF('Consulta de contratos'!$K$3="",0,1),IF('Consulta de contratos'!$K$4="",0,1),IF('Consulta de contratos'!$K$5="",0,1),IF('Consulta de contratos'!$K$6="",0,1))&gt;0,OR('Consulta de contratos'!$K$1="",A357='Consulta de contratos'!$K$1),OR('Consulta de contratos'!$K$2="",I357='Consulta de contratos'!$K$2),OR('Consulta de contratos'!$K$3="",C357='Consulta de contratos'!$K$3),OR('Consulta de contratos'!$K$4="",D357='Consulta de contratos'!$K$4),OR('Consulta de contratos'!$K$5="",E357='Consulta de contratos'!$K$5),OR('Consulta de contratos'!$K$6="",IFERROR(ISNUMBER(SEARCH("|"&amp;'Consulta de contratos'!$K$6&amp;"|",AF357)),FALSE))),1,0)</f>
        <v>0</v>
      </c>
      <c r="W357">
        <f>IF(V357=1,SUM($V$2:V357),0)</f>
        <v>0</v>
      </c>
      <c r="X357" t="s">
        <v>468</v>
      </c>
      <c r="Y357" t="s">
        <v>1157</v>
      </c>
      <c r="Z357" t="s">
        <v>61</v>
      </c>
      <c r="AA357" t="s">
        <v>62</v>
      </c>
      <c r="AF357" t="s">
        <v>1158</v>
      </c>
    </row>
    <row r="358" spans="1:32" x14ac:dyDescent="0.35">
      <c r="A358" t="s">
        <v>219</v>
      </c>
      <c r="B358" t="s">
        <v>1076</v>
      </c>
      <c r="C358" t="s">
        <v>896</v>
      </c>
      <c r="D358" t="s">
        <v>1077</v>
      </c>
      <c r="E358" t="s">
        <v>1078</v>
      </c>
      <c r="F358" t="s">
        <v>1132</v>
      </c>
      <c r="G358" t="s">
        <v>1133</v>
      </c>
      <c r="H358" t="s">
        <v>64</v>
      </c>
      <c r="I358" t="s">
        <v>1164</v>
      </c>
      <c r="J358" t="s">
        <v>1135</v>
      </c>
      <c r="K358" t="s">
        <v>1165</v>
      </c>
      <c r="N358" t="s">
        <v>1077</v>
      </c>
      <c r="O358" t="s">
        <v>1078</v>
      </c>
      <c r="Q358" t="s">
        <v>1137</v>
      </c>
      <c r="R358" t="s">
        <v>1138</v>
      </c>
      <c r="S358" t="s">
        <v>1139</v>
      </c>
      <c r="T358" t="s">
        <v>1166</v>
      </c>
      <c r="U358" t="s">
        <v>1167</v>
      </c>
      <c r="V358">
        <f>IF(AND(SUM(IF('Consulta de contratos'!$K$1="",0,1),IF('Consulta de contratos'!$K$2="",0,1),IF('Consulta de contratos'!$K$3="",0,1),IF('Consulta de contratos'!$K$4="",0,1),IF('Consulta de contratos'!$K$5="",0,1),IF('Consulta de contratos'!$K$6="",0,1))&gt;0,OR('Consulta de contratos'!$K$1="",A358='Consulta de contratos'!$K$1),OR('Consulta de contratos'!$K$2="",I358='Consulta de contratos'!$K$2),OR('Consulta de contratos'!$K$3="",C358='Consulta de contratos'!$K$3),OR('Consulta de contratos'!$K$4="",D358='Consulta de contratos'!$K$4),OR('Consulta de contratos'!$K$5="",E358='Consulta de contratos'!$K$5),OR('Consulta de contratos'!$K$6="",IFERROR(ISNUMBER(SEARCH("|"&amp;'Consulta de contratos'!$K$6&amp;"|",AF358)),FALSE))),1,0)</f>
        <v>0</v>
      </c>
      <c r="W358">
        <f>IF(V358=1,SUM($V$2:V358),0)</f>
        <v>0</v>
      </c>
      <c r="X358" t="s">
        <v>468</v>
      </c>
      <c r="Y358" t="s">
        <v>1168</v>
      </c>
      <c r="Z358" t="s">
        <v>927</v>
      </c>
      <c r="AA358" t="s">
        <v>62</v>
      </c>
      <c r="AF358" t="s">
        <v>1169</v>
      </c>
    </row>
    <row r="359" spans="1:32" x14ac:dyDescent="0.35">
      <c r="A359" t="s">
        <v>254</v>
      </c>
      <c r="B359" t="s">
        <v>1076</v>
      </c>
      <c r="C359" t="s">
        <v>896</v>
      </c>
      <c r="D359" t="s">
        <v>1077</v>
      </c>
      <c r="E359" t="s">
        <v>1078</v>
      </c>
      <c r="F359" t="s">
        <v>1132</v>
      </c>
      <c r="G359" t="s">
        <v>1133</v>
      </c>
      <c r="H359" t="s">
        <v>64</v>
      </c>
      <c r="I359" t="s">
        <v>1164</v>
      </c>
      <c r="J359" t="s">
        <v>1135</v>
      </c>
      <c r="K359" t="s">
        <v>1165</v>
      </c>
      <c r="N359" t="s">
        <v>1077</v>
      </c>
      <c r="O359" t="s">
        <v>1078</v>
      </c>
      <c r="Q359" t="s">
        <v>1137</v>
      </c>
      <c r="R359" t="s">
        <v>1138</v>
      </c>
      <c r="S359" t="s">
        <v>1139</v>
      </c>
      <c r="T359" t="s">
        <v>1170</v>
      </c>
      <c r="U359" t="s">
        <v>1167</v>
      </c>
      <c r="V359">
        <f>IF(AND(SUM(IF('Consulta de contratos'!$K$1="",0,1),IF('Consulta de contratos'!$K$2="",0,1),IF('Consulta de contratos'!$K$3="",0,1),IF('Consulta de contratos'!$K$4="",0,1),IF('Consulta de contratos'!$K$5="",0,1),IF('Consulta de contratos'!$K$6="",0,1))&gt;0,OR('Consulta de contratos'!$K$1="",A359='Consulta de contratos'!$K$1),OR('Consulta de contratos'!$K$2="",I359='Consulta de contratos'!$K$2),OR('Consulta de contratos'!$K$3="",C359='Consulta de contratos'!$K$3),OR('Consulta de contratos'!$K$4="",D359='Consulta de contratos'!$K$4),OR('Consulta de contratos'!$K$5="",E359='Consulta de contratos'!$K$5),OR('Consulta de contratos'!$K$6="",IFERROR(ISNUMBER(SEARCH("|"&amp;'Consulta de contratos'!$K$6&amp;"|",AF359)),FALSE))),1,0)</f>
        <v>0</v>
      </c>
      <c r="W359">
        <f>IF(V359=1,SUM($V$2:V359),0)</f>
        <v>0</v>
      </c>
      <c r="X359" t="s">
        <v>468</v>
      </c>
      <c r="Y359" t="s">
        <v>1168</v>
      </c>
      <c r="Z359" t="s">
        <v>927</v>
      </c>
      <c r="AA359" t="s">
        <v>62</v>
      </c>
      <c r="AF359" t="s">
        <v>1169</v>
      </c>
    </row>
    <row r="360" spans="1:32" x14ac:dyDescent="0.35">
      <c r="A360" t="s">
        <v>247</v>
      </c>
      <c r="B360" t="s">
        <v>1076</v>
      </c>
      <c r="C360" t="s">
        <v>896</v>
      </c>
      <c r="D360" t="s">
        <v>1077</v>
      </c>
      <c r="E360" t="s">
        <v>1078</v>
      </c>
      <c r="F360" t="s">
        <v>1132</v>
      </c>
      <c r="G360" t="s">
        <v>1133</v>
      </c>
      <c r="H360" t="s">
        <v>64</v>
      </c>
      <c r="I360" t="s">
        <v>1164</v>
      </c>
      <c r="J360" t="s">
        <v>1135</v>
      </c>
      <c r="K360" t="s">
        <v>1165</v>
      </c>
      <c r="N360" t="s">
        <v>1077</v>
      </c>
      <c r="O360" t="s">
        <v>1078</v>
      </c>
      <c r="Q360" t="s">
        <v>1137</v>
      </c>
      <c r="R360" t="s">
        <v>1138</v>
      </c>
      <c r="S360" t="s">
        <v>1139</v>
      </c>
      <c r="T360" t="s">
        <v>1171</v>
      </c>
      <c r="U360" t="s">
        <v>1167</v>
      </c>
      <c r="V360">
        <f>IF(AND(SUM(IF('Consulta de contratos'!$K$1="",0,1),IF('Consulta de contratos'!$K$2="",0,1),IF('Consulta de contratos'!$K$3="",0,1),IF('Consulta de contratos'!$K$4="",0,1),IF('Consulta de contratos'!$K$5="",0,1),IF('Consulta de contratos'!$K$6="",0,1))&gt;0,OR('Consulta de contratos'!$K$1="",A360='Consulta de contratos'!$K$1),OR('Consulta de contratos'!$K$2="",I360='Consulta de contratos'!$K$2),OR('Consulta de contratos'!$K$3="",C360='Consulta de contratos'!$K$3),OR('Consulta de contratos'!$K$4="",D360='Consulta de contratos'!$K$4),OR('Consulta de contratos'!$K$5="",E360='Consulta de contratos'!$K$5),OR('Consulta de contratos'!$K$6="",IFERROR(ISNUMBER(SEARCH("|"&amp;'Consulta de contratos'!$K$6&amp;"|",AF360)),FALSE))),1,0)</f>
        <v>0</v>
      </c>
      <c r="W360">
        <f>IF(V360=1,SUM($V$2:V360),0)</f>
        <v>0</v>
      </c>
      <c r="X360" t="s">
        <v>468</v>
      </c>
      <c r="Y360" t="s">
        <v>1168</v>
      </c>
      <c r="Z360" t="s">
        <v>927</v>
      </c>
      <c r="AA360" t="s">
        <v>62</v>
      </c>
      <c r="AF360" t="s">
        <v>1169</v>
      </c>
    </row>
    <row r="361" spans="1:32" x14ac:dyDescent="0.35">
      <c r="A361" t="s">
        <v>240</v>
      </c>
      <c r="B361" t="s">
        <v>1076</v>
      </c>
      <c r="C361" t="s">
        <v>896</v>
      </c>
      <c r="D361" t="s">
        <v>1077</v>
      </c>
      <c r="E361" t="s">
        <v>1078</v>
      </c>
      <c r="F361" t="s">
        <v>1132</v>
      </c>
      <c r="G361" t="s">
        <v>1133</v>
      </c>
      <c r="H361" t="s">
        <v>64</v>
      </c>
      <c r="I361" t="s">
        <v>1164</v>
      </c>
      <c r="J361" t="s">
        <v>1135</v>
      </c>
      <c r="K361" t="s">
        <v>1165</v>
      </c>
      <c r="N361" t="s">
        <v>1077</v>
      </c>
      <c r="O361" t="s">
        <v>1078</v>
      </c>
      <c r="Q361" t="s">
        <v>1137</v>
      </c>
      <c r="R361" t="s">
        <v>1138</v>
      </c>
      <c r="S361" t="s">
        <v>1139</v>
      </c>
      <c r="T361" t="s">
        <v>1172</v>
      </c>
      <c r="U361" t="s">
        <v>1167</v>
      </c>
      <c r="V361">
        <f>IF(AND(SUM(IF('Consulta de contratos'!$K$1="",0,1),IF('Consulta de contratos'!$K$2="",0,1),IF('Consulta de contratos'!$K$3="",0,1),IF('Consulta de contratos'!$K$4="",0,1),IF('Consulta de contratos'!$K$5="",0,1),IF('Consulta de contratos'!$K$6="",0,1))&gt;0,OR('Consulta de contratos'!$K$1="",A361='Consulta de contratos'!$K$1),OR('Consulta de contratos'!$K$2="",I361='Consulta de contratos'!$K$2),OR('Consulta de contratos'!$K$3="",C361='Consulta de contratos'!$K$3),OR('Consulta de contratos'!$K$4="",D361='Consulta de contratos'!$K$4),OR('Consulta de contratos'!$K$5="",E361='Consulta de contratos'!$K$5),OR('Consulta de contratos'!$K$6="",IFERROR(ISNUMBER(SEARCH("|"&amp;'Consulta de contratos'!$K$6&amp;"|",AF361)),FALSE))),1,0)</f>
        <v>0</v>
      </c>
      <c r="W361">
        <f>IF(V361=1,SUM($V$2:V361),0)</f>
        <v>0</v>
      </c>
      <c r="X361" t="s">
        <v>468</v>
      </c>
      <c r="Y361" t="s">
        <v>1168</v>
      </c>
      <c r="Z361" t="s">
        <v>927</v>
      </c>
      <c r="AA361" t="s">
        <v>62</v>
      </c>
      <c r="AF361" t="s">
        <v>1169</v>
      </c>
    </row>
    <row r="362" spans="1:32" x14ac:dyDescent="0.35">
      <c r="A362" t="s">
        <v>233</v>
      </c>
      <c r="B362" t="s">
        <v>1076</v>
      </c>
      <c r="C362" t="s">
        <v>896</v>
      </c>
      <c r="D362" t="s">
        <v>1077</v>
      </c>
      <c r="E362" t="s">
        <v>1078</v>
      </c>
      <c r="F362" t="s">
        <v>1132</v>
      </c>
      <c r="G362" t="s">
        <v>1133</v>
      </c>
      <c r="H362" t="s">
        <v>64</v>
      </c>
      <c r="I362" t="s">
        <v>1164</v>
      </c>
      <c r="J362" t="s">
        <v>1135</v>
      </c>
      <c r="K362" t="s">
        <v>1165</v>
      </c>
      <c r="N362" t="s">
        <v>1077</v>
      </c>
      <c r="O362" t="s">
        <v>1078</v>
      </c>
      <c r="Q362" t="s">
        <v>1137</v>
      </c>
      <c r="R362" t="s">
        <v>1138</v>
      </c>
      <c r="S362" t="s">
        <v>1139</v>
      </c>
      <c r="T362" t="s">
        <v>1173</v>
      </c>
      <c r="U362" t="s">
        <v>1167</v>
      </c>
      <c r="V362">
        <f>IF(AND(SUM(IF('Consulta de contratos'!$K$1="",0,1),IF('Consulta de contratos'!$K$2="",0,1),IF('Consulta de contratos'!$K$3="",0,1),IF('Consulta de contratos'!$K$4="",0,1),IF('Consulta de contratos'!$K$5="",0,1),IF('Consulta de contratos'!$K$6="",0,1))&gt;0,OR('Consulta de contratos'!$K$1="",A362='Consulta de contratos'!$K$1),OR('Consulta de contratos'!$K$2="",I362='Consulta de contratos'!$K$2),OR('Consulta de contratos'!$K$3="",C362='Consulta de contratos'!$K$3),OR('Consulta de contratos'!$K$4="",D362='Consulta de contratos'!$K$4),OR('Consulta de contratos'!$K$5="",E362='Consulta de contratos'!$K$5),OR('Consulta de contratos'!$K$6="",IFERROR(ISNUMBER(SEARCH("|"&amp;'Consulta de contratos'!$K$6&amp;"|",AF362)),FALSE))),1,0)</f>
        <v>0</v>
      </c>
      <c r="W362">
        <f>IF(V362=1,SUM($V$2:V362),0)</f>
        <v>0</v>
      </c>
      <c r="X362" t="s">
        <v>468</v>
      </c>
      <c r="Y362" t="s">
        <v>1168</v>
      </c>
      <c r="Z362" t="s">
        <v>927</v>
      </c>
      <c r="AA362" t="s">
        <v>62</v>
      </c>
      <c r="AF362" t="s">
        <v>1169</v>
      </c>
    </row>
    <row r="363" spans="1:32" x14ac:dyDescent="0.35">
      <c r="A363" t="s">
        <v>226</v>
      </c>
      <c r="B363" t="s">
        <v>1076</v>
      </c>
      <c r="C363" t="s">
        <v>896</v>
      </c>
      <c r="D363" t="s">
        <v>1077</v>
      </c>
      <c r="E363" t="s">
        <v>1078</v>
      </c>
      <c r="F363" t="s">
        <v>1132</v>
      </c>
      <c r="G363" t="s">
        <v>1133</v>
      </c>
      <c r="H363" t="s">
        <v>64</v>
      </c>
      <c r="I363" t="s">
        <v>1164</v>
      </c>
      <c r="J363" t="s">
        <v>1135</v>
      </c>
      <c r="K363" t="s">
        <v>1165</v>
      </c>
      <c r="N363" t="s">
        <v>1077</v>
      </c>
      <c r="O363" t="s">
        <v>1078</v>
      </c>
      <c r="Q363" t="s">
        <v>1137</v>
      </c>
      <c r="R363" t="s">
        <v>1138</v>
      </c>
      <c r="S363" t="s">
        <v>1139</v>
      </c>
      <c r="T363" t="s">
        <v>1174</v>
      </c>
      <c r="U363" t="s">
        <v>1167</v>
      </c>
      <c r="V363">
        <f>IF(AND(SUM(IF('Consulta de contratos'!$K$1="",0,1),IF('Consulta de contratos'!$K$2="",0,1),IF('Consulta de contratos'!$K$3="",0,1),IF('Consulta de contratos'!$K$4="",0,1),IF('Consulta de contratos'!$K$5="",0,1),IF('Consulta de contratos'!$K$6="",0,1))&gt;0,OR('Consulta de contratos'!$K$1="",A363='Consulta de contratos'!$K$1),OR('Consulta de contratos'!$K$2="",I363='Consulta de contratos'!$K$2),OR('Consulta de contratos'!$K$3="",C363='Consulta de contratos'!$K$3),OR('Consulta de contratos'!$K$4="",D363='Consulta de contratos'!$K$4),OR('Consulta de contratos'!$K$5="",E363='Consulta de contratos'!$K$5),OR('Consulta de contratos'!$K$6="",IFERROR(ISNUMBER(SEARCH("|"&amp;'Consulta de contratos'!$K$6&amp;"|",AF363)),FALSE))),1,0)</f>
        <v>0</v>
      </c>
      <c r="W363">
        <f>IF(V363=1,SUM($V$2:V363),0)</f>
        <v>0</v>
      </c>
      <c r="X363" t="s">
        <v>468</v>
      </c>
      <c r="Y363" t="s">
        <v>1168</v>
      </c>
      <c r="Z363" t="s">
        <v>927</v>
      </c>
      <c r="AA363" t="s">
        <v>62</v>
      </c>
      <c r="AF363" t="s">
        <v>1169</v>
      </c>
    </row>
    <row r="364" spans="1:32" x14ac:dyDescent="0.35">
      <c r="A364" t="s">
        <v>184</v>
      </c>
      <c r="B364" t="s">
        <v>1076</v>
      </c>
      <c r="C364" t="s">
        <v>896</v>
      </c>
      <c r="D364" t="s">
        <v>1077</v>
      </c>
      <c r="E364" t="s">
        <v>1078</v>
      </c>
      <c r="F364" t="s">
        <v>1132</v>
      </c>
      <c r="G364" t="s">
        <v>1133</v>
      </c>
      <c r="H364" t="s">
        <v>64</v>
      </c>
      <c r="I364" t="s">
        <v>1164</v>
      </c>
      <c r="J364" t="s">
        <v>1135</v>
      </c>
      <c r="K364" t="s">
        <v>1165</v>
      </c>
      <c r="N364" t="s">
        <v>1077</v>
      </c>
      <c r="O364" t="s">
        <v>1078</v>
      </c>
      <c r="Q364" t="s">
        <v>1137</v>
      </c>
      <c r="R364" t="s">
        <v>1138</v>
      </c>
      <c r="S364" t="s">
        <v>1139</v>
      </c>
      <c r="T364" t="s">
        <v>1175</v>
      </c>
      <c r="U364" t="s">
        <v>1167</v>
      </c>
      <c r="V364">
        <f>IF(AND(SUM(IF('Consulta de contratos'!$K$1="",0,1),IF('Consulta de contratos'!$K$2="",0,1),IF('Consulta de contratos'!$K$3="",0,1),IF('Consulta de contratos'!$K$4="",0,1),IF('Consulta de contratos'!$K$5="",0,1),IF('Consulta de contratos'!$K$6="",0,1))&gt;0,OR('Consulta de contratos'!$K$1="",A364='Consulta de contratos'!$K$1),OR('Consulta de contratos'!$K$2="",I364='Consulta de contratos'!$K$2),OR('Consulta de contratos'!$K$3="",C364='Consulta de contratos'!$K$3),OR('Consulta de contratos'!$K$4="",D364='Consulta de contratos'!$K$4),OR('Consulta de contratos'!$K$5="",E364='Consulta de contratos'!$K$5),OR('Consulta de contratos'!$K$6="",IFERROR(ISNUMBER(SEARCH("|"&amp;'Consulta de contratos'!$K$6&amp;"|",AF364)),FALSE))),1,0)</f>
        <v>0</v>
      </c>
      <c r="W364">
        <f>IF(V364=1,SUM($V$2:V364),0)</f>
        <v>0</v>
      </c>
      <c r="X364" t="s">
        <v>468</v>
      </c>
      <c r="Y364" t="s">
        <v>1168</v>
      </c>
      <c r="Z364" t="s">
        <v>927</v>
      </c>
      <c r="AA364" t="s">
        <v>62</v>
      </c>
      <c r="AF364" t="s">
        <v>1169</v>
      </c>
    </row>
    <row r="365" spans="1:32" x14ac:dyDescent="0.35">
      <c r="A365" t="s">
        <v>191</v>
      </c>
      <c r="B365" t="s">
        <v>1076</v>
      </c>
      <c r="C365" t="s">
        <v>896</v>
      </c>
      <c r="D365" t="s">
        <v>1077</v>
      </c>
      <c r="E365" t="s">
        <v>1078</v>
      </c>
      <c r="F365" t="s">
        <v>1132</v>
      </c>
      <c r="G365" t="s">
        <v>1133</v>
      </c>
      <c r="H365" t="s">
        <v>64</v>
      </c>
      <c r="I365" t="s">
        <v>1164</v>
      </c>
      <c r="J365" t="s">
        <v>1135</v>
      </c>
      <c r="K365" t="s">
        <v>1165</v>
      </c>
      <c r="N365" t="s">
        <v>1077</v>
      </c>
      <c r="O365" t="s">
        <v>1078</v>
      </c>
      <c r="Q365" t="s">
        <v>1137</v>
      </c>
      <c r="R365" t="s">
        <v>1138</v>
      </c>
      <c r="S365" t="s">
        <v>1139</v>
      </c>
      <c r="T365" t="s">
        <v>1176</v>
      </c>
      <c r="U365" t="s">
        <v>1167</v>
      </c>
      <c r="V365">
        <f>IF(AND(SUM(IF('Consulta de contratos'!$K$1="",0,1),IF('Consulta de contratos'!$K$2="",0,1),IF('Consulta de contratos'!$K$3="",0,1),IF('Consulta de contratos'!$K$4="",0,1),IF('Consulta de contratos'!$K$5="",0,1),IF('Consulta de contratos'!$K$6="",0,1))&gt;0,OR('Consulta de contratos'!$K$1="",A365='Consulta de contratos'!$K$1),OR('Consulta de contratos'!$K$2="",I365='Consulta de contratos'!$K$2),OR('Consulta de contratos'!$K$3="",C365='Consulta de contratos'!$K$3),OR('Consulta de contratos'!$K$4="",D365='Consulta de contratos'!$K$4),OR('Consulta de contratos'!$K$5="",E365='Consulta de contratos'!$K$5),OR('Consulta de contratos'!$K$6="",IFERROR(ISNUMBER(SEARCH("|"&amp;'Consulta de contratos'!$K$6&amp;"|",AF365)),FALSE))),1,0)</f>
        <v>0</v>
      </c>
      <c r="W365">
        <f>IF(V365=1,SUM($V$2:V365),0)</f>
        <v>0</v>
      </c>
      <c r="X365" t="s">
        <v>468</v>
      </c>
      <c r="Y365" t="s">
        <v>1168</v>
      </c>
      <c r="Z365" t="s">
        <v>927</v>
      </c>
      <c r="AA365" t="s">
        <v>62</v>
      </c>
      <c r="AF365" t="s">
        <v>1169</v>
      </c>
    </row>
    <row r="366" spans="1:32" x14ac:dyDescent="0.35">
      <c r="A366" t="s">
        <v>457</v>
      </c>
      <c r="B366" t="s">
        <v>1076</v>
      </c>
      <c r="C366" t="s">
        <v>896</v>
      </c>
      <c r="D366" t="s">
        <v>1077</v>
      </c>
      <c r="E366" t="s">
        <v>1078</v>
      </c>
      <c r="F366" t="s">
        <v>1132</v>
      </c>
      <c r="G366" t="s">
        <v>1133</v>
      </c>
      <c r="H366" t="s">
        <v>305</v>
      </c>
      <c r="I366" t="s">
        <v>1177</v>
      </c>
      <c r="J366" t="s">
        <v>1178</v>
      </c>
      <c r="K366" t="s">
        <v>1179</v>
      </c>
      <c r="N366" t="s">
        <v>1077</v>
      </c>
      <c r="O366" t="s">
        <v>1078</v>
      </c>
      <c r="Q366" t="s">
        <v>1137</v>
      </c>
      <c r="R366" t="s">
        <v>1138</v>
      </c>
      <c r="S366" t="s">
        <v>1139</v>
      </c>
      <c r="T366" t="s">
        <v>1180</v>
      </c>
      <c r="U366" t="s">
        <v>1181</v>
      </c>
      <c r="V366">
        <f>IF(AND(SUM(IF('Consulta de contratos'!$K$1="",0,1),IF('Consulta de contratos'!$K$2="",0,1),IF('Consulta de contratos'!$K$3="",0,1),IF('Consulta de contratos'!$K$4="",0,1),IF('Consulta de contratos'!$K$5="",0,1),IF('Consulta de contratos'!$K$6="",0,1))&gt;0,OR('Consulta de contratos'!$K$1="",A366='Consulta de contratos'!$K$1),OR('Consulta de contratos'!$K$2="",I366='Consulta de contratos'!$K$2),OR('Consulta de contratos'!$K$3="",C366='Consulta de contratos'!$K$3),OR('Consulta de contratos'!$K$4="",D366='Consulta de contratos'!$K$4),OR('Consulta de contratos'!$K$5="",E366='Consulta de contratos'!$K$5),OR('Consulta de contratos'!$K$6="",IFERROR(ISNUMBER(SEARCH("|"&amp;'Consulta de contratos'!$K$6&amp;"|",AF366)),FALSE))),1,0)</f>
        <v>0</v>
      </c>
      <c r="W366">
        <f>IF(V366=1,SUM($V$2:V366),0)</f>
        <v>0</v>
      </c>
      <c r="X366" t="s">
        <v>468</v>
      </c>
      <c r="Y366" t="s">
        <v>1182</v>
      </c>
      <c r="Z366" t="s">
        <v>346</v>
      </c>
      <c r="AA366" t="s">
        <v>62</v>
      </c>
      <c r="AF366" t="s">
        <v>1183</v>
      </c>
    </row>
    <row r="367" spans="1:32" x14ac:dyDescent="0.35">
      <c r="A367" t="s">
        <v>457</v>
      </c>
      <c r="B367" t="s">
        <v>1076</v>
      </c>
      <c r="C367" t="s">
        <v>896</v>
      </c>
      <c r="D367" t="s">
        <v>1077</v>
      </c>
      <c r="E367" t="s">
        <v>1078</v>
      </c>
      <c r="F367" t="s">
        <v>1184</v>
      </c>
      <c r="G367" t="s">
        <v>1185</v>
      </c>
      <c r="H367" t="s">
        <v>47</v>
      </c>
      <c r="I367" t="s">
        <v>1186</v>
      </c>
      <c r="J367" t="s">
        <v>1187</v>
      </c>
      <c r="K367" t="s">
        <v>1188</v>
      </c>
      <c r="L367">
        <v>46082</v>
      </c>
      <c r="M367">
        <v>46811</v>
      </c>
      <c r="N367" t="s">
        <v>1077</v>
      </c>
      <c r="O367" t="s">
        <v>1078</v>
      </c>
      <c r="Q367" t="s">
        <v>1189</v>
      </c>
      <c r="R367" t="s">
        <v>1190</v>
      </c>
      <c r="S367" t="s">
        <v>1191</v>
      </c>
      <c r="T367" t="s">
        <v>1192</v>
      </c>
      <c r="U367" t="s">
        <v>1193</v>
      </c>
      <c r="V367">
        <f>IF(AND(SUM(IF('Consulta de contratos'!$K$1="",0,1),IF('Consulta de contratos'!$K$2="",0,1),IF('Consulta de contratos'!$K$3="",0,1),IF('Consulta de contratos'!$K$4="",0,1),IF('Consulta de contratos'!$K$5="",0,1),IF('Consulta de contratos'!$K$6="",0,1))&gt;0,OR('Consulta de contratos'!$K$1="",A367='Consulta de contratos'!$K$1),OR('Consulta de contratos'!$K$2="",I367='Consulta de contratos'!$K$2),OR('Consulta de contratos'!$K$3="",C367='Consulta de contratos'!$K$3),OR('Consulta de contratos'!$K$4="",D367='Consulta de contratos'!$K$4),OR('Consulta de contratos'!$K$5="",E367='Consulta de contratos'!$K$5),OR('Consulta de contratos'!$K$6="",IFERROR(ISNUMBER(SEARCH("|"&amp;'Consulta de contratos'!$K$6&amp;"|",AF367)),FALSE))),1,0)</f>
        <v>0</v>
      </c>
      <c r="W367">
        <f>IF(V367=1,SUM($V$2:V367),0)</f>
        <v>0</v>
      </c>
      <c r="X367" t="s">
        <v>59</v>
      </c>
      <c r="Y367" t="s">
        <v>1194</v>
      </c>
      <c r="Z367" t="s">
        <v>346</v>
      </c>
      <c r="AA367" t="s">
        <v>62</v>
      </c>
      <c r="AF367" t="s">
        <v>1195</v>
      </c>
    </row>
    <row r="368" spans="1:32" x14ac:dyDescent="0.35">
      <c r="A368" t="s">
        <v>457</v>
      </c>
      <c r="B368" t="s">
        <v>1076</v>
      </c>
      <c r="C368" t="s">
        <v>896</v>
      </c>
      <c r="D368" t="s">
        <v>1077</v>
      </c>
      <c r="E368" t="s">
        <v>1078</v>
      </c>
      <c r="F368" t="s">
        <v>1184</v>
      </c>
      <c r="G368" t="s">
        <v>1185</v>
      </c>
      <c r="H368" t="s">
        <v>124</v>
      </c>
      <c r="I368" t="s">
        <v>1196</v>
      </c>
      <c r="J368" t="s">
        <v>1187</v>
      </c>
      <c r="K368" t="s">
        <v>1188</v>
      </c>
      <c r="L368">
        <v>46082</v>
      </c>
      <c r="M368">
        <v>46811</v>
      </c>
      <c r="N368" t="s">
        <v>1077</v>
      </c>
      <c r="O368" t="s">
        <v>1078</v>
      </c>
      <c r="Q368" t="s">
        <v>1197</v>
      </c>
      <c r="R368" t="s">
        <v>1198</v>
      </c>
      <c r="S368" t="s">
        <v>1199</v>
      </c>
      <c r="T368" t="s">
        <v>1200</v>
      </c>
      <c r="U368" t="s">
        <v>1201</v>
      </c>
      <c r="V368">
        <f>IF(AND(SUM(IF('Consulta de contratos'!$K$1="",0,1),IF('Consulta de contratos'!$K$2="",0,1),IF('Consulta de contratos'!$K$3="",0,1),IF('Consulta de contratos'!$K$4="",0,1),IF('Consulta de contratos'!$K$5="",0,1),IF('Consulta de contratos'!$K$6="",0,1))&gt;0,OR('Consulta de contratos'!$K$1="",A368='Consulta de contratos'!$K$1),OR('Consulta de contratos'!$K$2="",I368='Consulta de contratos'!$K$2),OR('Consulta de contratos'!$K$3="",C368='Consulta de contratos'!$K$3),OR('Consulta de contratos'!$K$4="",D368='Consulta de contratos'!$K$4),OR('Consulta de contratos'!$K$5="",E368='Consulta de contratos'!$K$5),OR('Consulta de contratos'!$K$6="",IFERROR(ISNUMBER(SEARCH("|"&amp;'Consulta de contratos'!$K$6&amp;"|",AF368)),FALSE))),1,0)</f>
        <v>0</v>
      </c>
      <c r="W368">
        <f>IF(V368=1,SUM($V$2:V368),0)</f>
        <v>0</v>
      </c>
      <c r="X368" t="s">
        <v>59</v>
      </c>
      <c r="Y368" t="s">
        <v>1202</v>
      </c>
      <c r="Z368" t="s">
        <v>1203</v>
      </c>
      <c r="AA368" t="s">
        <v>62</v>
      </c>
      <c r="AF368" t="s">
        <v>1204</v>
      </c>
    </row>
    <row r="369" spans="1:32" x14ac:dyDescent="0.35">
      <c r="A369" t="s">
        <v>40</v>
      </c>
      <c r="B369" t="s">
        <v>1076</v>
      </c>
      <c r="C369" t="s">
        <v>896</v>
      </c>
      <c r="D369" t="s">
        <v>1077</v>
      </c>
      <c r="E369" t="s">
        <v>1078</v>
      </c>
      <c r="F369" t="s">
        <v>1205</v>
      </c>
      <c r="G369" t="s">
        <v>1206</v>
      </c>
      <c r="H369" t="s">
        <v>47</v>
      </c>
      <c r="I369" t="s">
        <v>1081</v>
      </c>
      <c r="J369" t="s">
        <v>1207</v>
      </c>
      <c r="K369" t="s">
        <v>1208</v>
      </c>
      <c r="N369" t="s">
        <v>1077</v>
      </c>
      <c r="O369" t="s">
        <v>1078</v>
      </c>
      <c r="Q369" t="s">
        <v>1209</v>
      </c>
      <c r="R369" t="s">
        <v>1210</v>
      </c>
      <c r="S369" t="s">
        <v>1211</v>
      </c>
      <c r="T369" t="s">
        <v>1212</v>
      </c>
      <c r="U369" t="s">
        <v>1213</v>
      </c>
      <c r="V369">
        <f>IF(AND(SUM(IF('Consulta de contratos'!$K$1="",0,1),IF('Consulta de contratos'!$K$2="",0,1),IF('Consulta de contratos'!$K$3="",0,1),IF('Consulta de contratos'!$K$4="",0,1),IF('Consulta de contratos'!$K$5="",0,1),IF('Consulta de contratos'!$K$6="",0,1))&gt;0,OR('Consulta de contratos'!$K$1="",A369='Consulta de contratos'!$K$1),OR('Consulta de contratos'!$K$2="",I369='Consulta de contratos'!$K$2),OR('Consulta de contratos'!$K$3="",C369='Consulta de contratos'!$K$3),OR('Consulta de contratos'!$K$4="",D369='Consulta de contratos'!$K$4),OR('Consulta de contratos'!$K$5="",E369='Consulta de contratos'!$K$5),OR('Consulta de contratos'!$K$6="",IFERROR(ISNUMBER(SEARCH("|"&amp;'Consulta de contratos'!$K$6&amp;"|",AF369)),FALSE))),1,0)</f>
        <v>0</v>
      </c>
      <c r="W369">
        <f>IF(V369=1,SUM($V$2:V369),0)</f>
        <v>0</v>
      </c>
      <c r="X369" t="s">
        <v>468</v>
      </c>
      <c r="Y369" t="s">
        <v>1034</v>
      </c>
      <c r="Z369" t="s">
        <v>80</v>
      </c>
      <c r="AA369" t="s">
        <v>62</v>
      </c>
      <c r="AF369" t="s">
        <v>1035</v>
      </c>
    </row>
    <row r="370" spans="1:32" x14ac:dyDescent="0.35">
      <c r="A370" t="s">
        <v>156</v>
      </c>
      <c r="B370" t="s">
        <v>1076</v>
      </c>
      <c r="C370" t="s">
        <v>896</v>
      </c>
      <c r="D370" t="s">
        <v>1077</v>
      </c>
      <c r="E370" t="s">
        <v>1078</v>
      </c>
      <c r="F370" t="s">
        <v>1214</v>
      </c>
      <c r="G370" t="s">
        <v>1215</v>
      </c>
      <c r="H370" t="s">
        <v>124</v>
      </c>
      <c r="I370" t="s">
        <v>1090</v>
      </c>
      <c r="J370" t="s">
        <v>1216</v>
      </c>
      <c r="K370" t="s">
        <v>1217</v>
      </c>
      <c r="M370">
        <v>46511</v>
      </c>
      <c r="N370" t="s">
        <v>1077</v>
      </c>
      <c r="O370" t="s">
        <v>1078</v>
      </c>
      <c r="Q370" t="s">
        <v>1209</v>
      </c>
      <c r="R370" t="s">
        <v>1218</v>
      </c>
      <c r="S370" t="s">
        <v>1219</v>
      </c>
      <c r="T370" t="s">
        <v>1220</v>
      </c>
      <c r="U370" t="s">
        <v>1221</v>
      </c>
      <c r="V370">
        <f>IF(AND(SUM(IF('Consulta de contratos'!$K$1="",0,1),IF('Consulta de contratos'!$K$2="",0,1),IF('Consulta de contratos'!$K$3="",0,1),IF('Consulta de contratos'!$K$4="",0,1),IF('Consulta de contratos'!$K$5="",0,1),IF('Consulta de contratos'!$K$6="",0,1))&gt;0,OR('Consulta de contratos'!$K$1="",A370='Consulta de contratos'!$K$1),OR('Consulta de contratos'!$K$2="",I370='Consulta de contratos'!$K$2),OR('Consulta de contratos'!$K$3="",C370='Consulta de contratos'!$K$3),OR('Consulta de contratos'!$K$4="",D370='Consulta de contratos'!$K$4),OR('Consulta de contratos'!$K$5="",E370='Consulta de contratos'!$K$5),OR('Consulta de contratos'!$K$6="",IFERROR(ISNUMBER(SEARCH("|"&amp;'Consulta de contratos'!$K$6&amp;"|",AF370)),FALSE))),1,0)</f>
        <v>0</v>
      </c>
      <c r="W370">
        <f>IF(V370=1,SUM($V$2:V370),0)</f>
        <v>0</v>
      </c>
      <c r="X370" t="s">
        <v>59</v>
      </c>
      <c r="Y370" t="s">
        <v>1094</v>
      </c>
      <c r="Z370" t="s">
        <v>80</v>
      </c>
      <c r="AA370" t="s">
        <v>62</v>
      </c>
      <c r="AF370" t="s">
        <v>1095</v>
      </c>
    </row>
    <row r="371" spans="1:32" x14ac:dyDescent="0.35">
      <c r="A371" t="s">
        <v>212</v>
      </c>
      <c r="B371" t="s">
        <v>1076</v>
      </c>
      <c r="C371" t="s">
        <v>896</v>
      </c>
      <c r="D371" t="s">
        <v>1077</v>
      </c>
      <c r="E371" t="s">
        <v>1078</v>
      </c>
      <c r="F371" t="s">
        <v>1222</v>
      </c>
      <c r="G371" t="s">
        <v>1223</v>
      </c>
      <c r="H371" t="s">
        <v>73</v>
      </c>
      <c r="I371" t="s">
        <v>1100</v>
      </c>
      <c r="J371" t="s">
        <v>1224</v>
      </c>
      <c r="K371" t="s">
        <v>1225</v>
      </c>
      <c r="N371" t="s">
        <v>1077</v>
      </c>
      <c r="O371" t="s">
        <v>1078</v>
      </c>
      <c r="Q371" t="s">
        <v>1209</v>
      </c>
      <c r="R371" t="s">
        <v>1226</v>
      </c>
      <c r="S371" t="s">
        <v>1227</v>
      </c>
      <c r="T371" t="s">
        <v>1228</v>
      </c>
      <c r="U371" t="s">
        <v>1229</v>
      </c>
      <c r="V371">
        <f>IF(AND(SUM(IF('Consulta de contratos'!$K$1="",0,1),IF('Consulta de contratos'!$K$2="",0,1),IF('Consulta de contratos'!$K$3="",0,1),IF('Consulta de contratos'!$K$4="",0,1),IF('Consulta de contratos'!$K$5="",0,1),IF('Consulta de contratos'!$K$6="",0,1))&gt;0,OR('Consulta de contratos'!$K$1="",A371='Consulta de contratos'!$K$1),OR('Consulta de contratos'!$K$2="",I371='Consulta de contratos'!$K$2),OR('Consulta de contratos'!$K$3="",C371='Consulta de contratos'!$K$3),OR('Consulta de contratos'!$K$4="",D371='Consulta de contratos'!$K$4),OR('Consulta de contratos'!$K$5="",E371='Consulta de contratos'!$K$5),OR('Consulta de contratos'!$K$6="",IFERROR(ISNUMBER(SEARCH("|"&amp;'Consulta de contratos'!$K$6&amp;"|",AF371)),FALSE))),1,0)</f>
        <v>0</v>
      </c>
      <c r="W371">
        <f>IF(V371=1,SUM($V$2:V371),0)</f>
        <v>0</v>
      </c>
      <c r="X371" t="s">
        <v>468</v>
      </c>
      <c r="Y371" t="s">
        <v>1104</v>
      </c>
      <c r="Z371" t="s">
        <v>346</v>
      </c>
      <c r="AA371" t="s">
        <v>62</v>
      </c>
      <c r="AF371" t="s">
        <v>1105</v>
      </c>
    </row>
    <row r="372" spans="1:32" x14ac:dyDescent="0.35">
      <c r="A372" t="s">
        <v>191</v>
      </c>
      <c r="B372" t="s">
        <v>1076</v>
      </c>
      <c r="C372" t="s">
        <v>896</v>
      </c>
      <c r="D372" t="s">
        <v>1077</v>
      </c>
      <c r="E372" t="s">
        <v>1078</v>
      </c>
      <c r="F372" t="s">
        <v>1230</v>
      </c>
      <c r="G372" t="s">
        <v>1231</v>
      </c>
      <c r="H372" t="s">
        <v>64</v>
      </c>
      <c r="I372" t="s">
        <v>1111</v>
      </c>
      <c r="J372" t="s">
        <v>1232</v>
      </c>
      <c r="K372" t="s">
        <v>1233</v>
      </c>
      <c r="M372">
        <v>46579</v>
      </c>
      <c r="N372" t="s">
        <v>1077</v>
      </c>
      <c r="O372" t="s">
        <v>1078</v>
      </c>
      <c r="Q372" t="s">
        <v>1209</v>
      </c>
      <c r="R372" t="s">
        <v>1234</v>
      </c>
      <c r="S372" t="s">
        <v>1235</v>
      </c>
      <c r="T372" t="s">
        <v>1236</v>
      </c>
      <c r="U372" t="s">
        <v>1237</v>
      </c>
      <c r="V372">
        <f>IF(AND(SUM(IF('Consulta de contratos'!$K$1="",0,1),IF('Consulta de contratos'!$K$2="",0,1),IF('Consulta de contratos'!$K$3="",0,1),IF('Consulta de contratos'!$K$4="",0,1),IF('Consulta de contratos'!$K$5="",0,1),IF('Consulta de contratos'!$K$6="",0,1))&gt;0,OR('Consulta de contratos'!$K$1="",A372='Consulta de contratos'!$K$1),OR('Consulta de contratos'!$K$2="",I372='Consulta de contratos'!$K$2),OR('Consulta de contratos'!$K$3="",C372='Consulta de contratos'!$K$3),OR('Consulta de contratos'!$K$4="",D372='Consulta de contratos'!$K$4),OR('Consulta de contratos'!$K$5="",E372='Consulta de contratos'!$K$5),OR('Consulta de contratos'!$K$6="",IFERROR(ISNUMBER(SEARCH("|"&amp;'Consulta de contratos'!$K$6&amp;"|",AF372)),FALSE))),1,0)</f>
        <v>0</v>
      </c>
      <c r="W372">
        <f>IF(V372=1,SUM($V$2:V372),0)</f>
        <v>0</v>
      </c>
      <c r="X372" t="s">
        <v>59</v>
      </c>
      <c r="Y372" t="s">
        <v>1115</v>
      </c>
      <c r="Z372" t="s">
        <v>80</v>
      </c>
      <c r="AA372" t="s">
        <v>62</v>
      </c>
      <c r="AF372" t="s">
        <v>1116</v>
      </c>
    </row>
    <row r="373" spans="1:32" x14ac:dyDescent="0.35">
      <c r="A373" t="s">
        <v>233</v>
      </c>
      <c r="B373" t="s">
        <v>1076</v>
      </c>
      <c r="C373" t="s">
        <v>896</v>
      </c>
      <c r="D373" t="s">
        <v>1077</v>
      </c>
      <c r="E373" t="s">
        <v>1078</v>
      </c>
      <c r="F373" t="s">
        <v>1238</v>
      </c>
      <c r="G373" t="s">
        <v>1239</v>
      </c>
      <c r="H373" t="s">
        <v>64</v>
      </c>
      <c r="I373" t="s">
        <v>1111</v>
      </c>
      <c r="J373" t="s">
        <v>1240</v>
      </c>
      <c r="K373" t="s">
        <v>1241</v>
      </c>
      <c r="N373" t="s">
        <v>1077</v>
      </c>
      <c r="O373" t="s">
        <v>1078</v>
      </c>
      <c r="Q373" t="s">
        <v>1209</v>
      </c>
      <c r="R373" t="s">
        <v>1242</v>
      </c>
      <c r="S373" t="s">
        <v>1243</v>
      </c>
      <c r="T373" t="s">
        <v>1244</v>
      </c>
      <c r="U373" t="s">
        <v>1245</v>
      </c>
      <c r="V373">
        <f>IF(AND(SUM(IF('Consulta de contratos'!$K$1="",0,1),IF('Consulta de contratos'!$K$2="",0,1),IF('Consulta de contratos'!$K$3="",0,1),IF('Consulta de contratos'!$K$4="",0,1),IF('Consulta de contratos'!$K$5="",0,1),IF('Consulta de contratos'!$K$6="",0,1))&gt;0,OR('Consulta de contratos'!$K$1="",A373='Consulta de contratos'!$K$1),OR('Consulta de contratos'!$K$2="",I373='Consulta de contratos'!$K$2),OR('Consulta de contratos'!$K$3="",C373='Consulta de contratos'!$K$3),OR('Consulta de contratos'!$K$4="",D373='Consulta de contratos'!$K$4),OR('Consulta de contratos'!$K$5="",E373='Consulta de contratos'!$K$5),OR('Consulta de contratos'!$K$6="",IFERROR(ISNUMBER(SEARCH("|"&amp;'Consulta de contratos'!$K$6&amp;"|",AF373)),FALSE))),1,0)</f>
        <v>0</v>
      </c>
      <c r="W373">
        <f>IF(V373=1,SUM($V$2:V373),0)</f>
        <v>0</v>
      </c>
      <c r="X373" t="s">
        <v>468</v>
      </c>
      <c r="Y373" t="s">
        <v>1115</v>
      </c>
      <c r="Z373" t="s">
        <v>80</v>
      </c>
      <c r="AA373" t="s">
        <v>62</v>
      </c>
      <c r="AF373" t="s">
        <v>1116</v>
      </c>
    </row>
    <row r="374" spans="1:32" x14ac:dyDescent="0.35">
      <c r="A374" t="s">
        <v>163</v>
      </c>
      <c r="B374" t="s">
        <v>1076</v>
      </c>
      <c r="C374" t="s">
        <v>896</v>
      </c>
      <c r="D374" t="s">
        <v>1077</v>
      </c>
      <c r="E374" t="s">
        <v>1078</v>
      </c>
      <c r="F374" t="s">
        <v>1246</v>
      </c>
      <c r="G374" t="s">
        <v>1247</v>
      </c>
      <c r="H374" t="s">
        <v>305</v>
      </c>
      <c r="I374" t="s">
        <v>1124</v>
      </c>
      <c r="J374" t="s">
        <v>1248</v>
      </c>
      <c r="K374" t="s">
        <v>1249</v>
      </c>
      <c r="M374">
        <v>46553</v>
      </c>
      <c r="N374" t="s">
        <v>1077</v>
      </c>
      <c r="O374" t="s">
        <v>1078</v>
      </c>
      <c r="Q374" t="s">
        <v>1209</v>
      </c>
      <c r="R374" t="s">
        <v>1250</v>
      </c>
      <c r="S374" t="s">
        <v>1251</v>
      </c>
      <c r="T374" t="s">
        <v>1252</v>
      </c>
      <c r="U374" t="s">
        <v>1253</v>
      </c>
      <c r="V374">
        <f>IF(AND(SUM(IF('Consulta de contratos'!$K$1="",0,1),IF('Consulta de contratos'!$K$2="",0,1),IF('Consulta de contratos'!$K$3="",0,1),IF('Consulta de contratos'!$K$4="",0,1),IF('Consulta de contratos'!$K$5="",0,1),IF('Consulta de contratos'!$K$6="",0,1))&gt;0,OR('Consulta de contratos'!$K$1="",A374='Consulta de contratos'!$K$1),OR('Consulta de contratos'!$K$2="",I374='Consulta de contratos'!$K$2),OR('Consulta de contratos'!$K$3="",C374='Consulta de contratos'!$K$3),OR('Consulta de contratos'!$K$4="",D374='Consulta de contratos'!$K$4),OR('Consulta de contratos'!$K$5="",E374='Consulta de contratos'!$K$5),OR('Consulta de contratos'!$K$6="",IFERROR(ISNUMBER(SEARCH("|"&amp;'Consulta de contratos'!$K$6&amp;"|",AF374)),FALSE))),1,0)</f>
        <v>0</v>
      </c>
      <c r="W374">
        <f>IF(V374=1,SUM($V$2:V374),0)</f>
        <v>0</v>
      </c>
      <c r="X374" t="s">
        <v>59</v>
      </c>
      <c r="Y374" t="s">
        <v>1130</v>
      </c>
      <c r="Z374" t="s">
        <v>346</v>
      </c>
      <c r="AA374" t="s">
        <v>62</v>
      </c>
      <c r="AF374" t="s">
        <v>1131</v>
      </c>
    </row>
    <row r="375" spans="1:32" x14ac:dyDescent="0.35">
      <c r="A375" t="s">
        <v>457</v>
      </c>
      <c r="B375" t="s">
        <v>895</v>
      </c>
      <c r="C375" t="s">
        <v>896</v>
      </c>
      <c r="D375" t="s">
        <v>897</v>
      </c>
      <c r="E375" t="s">
        <v>898</v>
      </c>
      <c r="F375" t="s">
        <v>1254</v>
      </c>
      <c r="G375" t="s">
        <v>1255</v>
      </c>
      <c r="H375" t="s">
        <v>47</v>
      </c>
      <c r="I375" t="s">
        <v>1256</v>
      </c>
      <c r="J375" t="s">
        <v>1257</v>
      </c>
      <c r="K375" t="s">
        <v>1258</v>
      </c>
      <c r="M375">
        <v>47269</v>
      </c>
      <c r="R375" t="s">
        <v>1259</v>
      </c>
      <c r="S375" t="s">
        <v>1260</v>
      </c>
      <c r="T375" t="s">
        <v>1261</v>
      </c>
      <c r="U375" t="s">
        <v>1262</v>
      </c>
      <c r="V375">
        <f>IF(AND(SUM(IF('Consulta de contratos'!$K$1="",0,1),IF('Consulta de contratos'!$K$2="",0,1),IF('Consulta de contratos'!$K$3="",0,1),IF('Consulta de contratos'!$K$4="",0,1),IF('Consulta de contratos'!$K$5="",0,1),IF('Consulta de contratos'!$K$6="",0,1))&gt;0,OR('Consulta de contratos'!$K$1="",A375='Consulta de contratos'!$K$1),OR('Consulta de contratos'!$K$2="",I375='Consulta de contratos'!$K$2),OR('Consulta de contratos'!$K$3="",C375='Consulta de contratos'!$K$3),OR('Consulta de contratos'!$K$4="",D375='Consulta de contratos'!$K$4),OR('Consulta de contratos'!$K$5="",E375='Consulta de contratos'!$K$5),OR('Consulta de contratos'!$K$6="",IFERROR(ISNUMBER(SEARCH("|"&amp;'Consulta de contratos'!$K$6&amp;"|",AF375)),FALSE))),1,0)</f>
        <v>0</v>
      </c>
      <c r="W375">
        <f>IF(V375=1,SUM($V$2:V375),0)</f>
        <v>0</v>
      </c>
      <c r="X375" t="s">
        <v>59</v>
      </c>
      <c r="Y375" t="s">
        <v>1256</v>
      </c>
      <c r="Z375" t="s">
        <v>71</v>
      </c>
      <c r="AA375" t="s">
        <v>62</v>
      </c>
      <c r="AF375" t="s">
        <v>1263</v>
      </c>
    </row>
    <row r="376" spans="1:32" x14ac:dyDescent="0.35">
      <c r="A376" t="s">
        <v>457</v>
      </c>
      <c r="B376" t="s">
        <v>895</v>
      </c>
      <c r="C376" t="s">
        <v>896</v>
      </c>
      <c r="D376" t="s">
        <v>897</v>
      </c>
      <c r="E376" t="s">
        <v>898</v>
      </c>
      <c r="F376" t="s">
        <v>1254</v>
      </c>
      <c r="G376" t="s">
        <v>1255</v>
      </c>
      <c r="H376" t="s">
        <v>124</v>
      </c>
      <c r="I376" t="s">
        <v>1264</v>
      </c>
      <c r="J376" t="s">
        <v>1265</v>
      </c>
      <c r="K376" t="s">
        <v>1266</v>
      </c>
      <c r="M376">
        <v>47269</v>
      </c>
      <c r="R376" t="s">
        <v>1267</v>
      </c>
      <c r="S376" t="s">
        <v>1260</v>
      </c>
      <c r="T376" t="s">
        <v>1268</v>
      </c>
      <c r="U376" t="s">
        <v>1269</v>
      </c>
      <c r="V376">
        <f>IF(AND(SUM(IF('Consulta de contratos'!$K$1="",0,1),IF('Consulta de contratos'!$K$2="",0,1),IF('Consulta de contratos'!$K$3="",0,1),IF('Consulta de contratos'!$K$4="",0,1),IF('Consulta de contratos'!$K$5="",0,1),IF('Consulta de contratos'!$K$6="",0,1))&gt;0,OR('Consulta de contratos'!$K$1="",A376='Consulta de contratos'!$K$1),OR('Consulta de contratos'!$K$2="",I376='Consulta de contratos'!$K$2),OR('Consulta de contratos'!$K$3="",C376='Consulta de contratos'!$K$3),OR('Consulta de contratos'!$K$4="",D376='Consulta de contratos'!$K$4),OR('Consulta de contratos'!$K$5="",E376='Consulta de contratos'!$K$5),OR('Consulta de contratos'!$K$6="",IFERROR(ISNUMBER(SEARCH("|"&amp;'Consulta de contratos'!$K$6&amp;"|",AF376)),FALSE))),1,0)</f>
        <v>0</v>
      </c>
      <c r="W376">
        <f>IF(V376=1,SUM($V$2:V376),0)</f>
        <v>0</v>
      </c>
      <c r="X376" t="s">
        <v>59</v>
      </c>
      <c r="Y376" t="s">
        <v>1264</v>
      </c>
      <c r="Z376" t="s">
        <v>71</v>
      </c>
      <c r="AA376" t="s">
        <v>62</v>
      </c>
      <c r="AF376" t="s">
        <v>1270</v>
      </c>
    </row>
    <row r="377" spans="1:32" x14ac:dyDescent="0.35">
      <c r="A377" t="s">
        <v>457</v>
      </c>
      <c r="B377" t="s">
        <v>895</v>
      </c>
      <c r="C377" t="s">
        <v>896</v>
      </c>
      <c r="D377" t="s">
        <v>897</v>
      </c>
      <c r="E377" t="s">
        <v>898</v>
      </c>
      <c r="F377" t="s">
        <v>1254</v>
      </c>
      <c r="G377" t="s">
        <v>1255</v>
      </c>
      <c r="H377" t="s">
        <v>73</v>
      </c>
      <c r="I377" t="s">
        <v>1271</v>
      </c>
      <c r="J377" t="s">
        <v>1272</v>
      </c>
      <c r="K377" t="s">
        <v>1273</v>
      </c>
      <c r="M377">
        <v>47269</v>
      </c>
      <c r="R377" t="s">
        <v>1274</v>
      </c>
      <c r="S377" t="s">
        <v>1260</v>
      </c>
      <c r="T377" t="s">
        <v>1275</v>
      </c>
      <c r="U377" t="s">
        <v>1276</v>
      </c>
      <c r="V377">
        <f>IF(AND(SUM(IF('Consulta de contratos'!$K$1="",0,1),IF('Consulta de contratos'!$K$2="",0,1),IF('Consulta de contratos'!$K$3="",0,1),IF('Consulta de contratos'!$K$4="",0,1),IF('Consulta de contratos'!$K$5="",0,1),IF('Consulta de contratos'!$K$6="",0,1))&gt;0,OR('Consulta de contratos'!$K$1="",A377='Consulta de contratos'!$K$1),OR('Consulta de contratos'!$K$2="",I377='Consulta de contratos'!$K$2),OR('Consulta de contratos'!$K$3="",C377='Consulta de contratos'!$K$3),OR('Consulta de contratos'!$K$4="",D377='Consulta de contratos'!$K$4),OR('Consulta de contratos'!$K$5="",E377='Consulta de contratos'!$K$5),OR('Consulta de contratos'!$K$6="",IFERROR(ISNUMBER(SEARCH("|"&amp;'Consulta de contratos'!$K$6&amp;"|",AF377)),FALSE))),1,0)</f>
        <v>0</v>
      </c>
      <c r="W377">
        <f>IF(V377=1,SUM($V$2:V377),0)</f>
        <v>0</v>
      </c>
      <c r="X377" t="s">
        <v>59</v>
      </c>
      <c r="Y377" t="s">
        <v>1046</v>
      </c>
      <c r="Z377" t="s">
        <v>80</v>
      </c>
      <c r="AA377" t="s">
        <v>62</v>
      </c>
      <c r="AF377" t="s">
        <v>1047</v>
      </c>
    </row>
    <row r="378" spans="1:32" x14ac:dyDescent="0.35">
      <c r="A378" t="s">
        <v>40</v>
      </c>
      <c r="B378" t="s">
        <v>1277</v>
      </c>
      <c r="C378" t="s">
        <v>896</v>
      </c>
      <c r="D378" t="s">
        <v>897</v>
      </c>
      <c r="E378" t="s">
        <v>1278</v>
      </c>
      <c r="F378" t="s">
        <v>1279</v>
      </c>
      <c r="G378" t="s">
        <v>1280</v>
      </c>
      <c r="H378" t="s">
        <v>47</v>
      </c>
      <c r="I378" t="s">
        <v>1281</v>
      </c>
      <c r="J378" t="s">
        <v>1282</v>
      </c>
      <c r="K378" t="s">
        <v>40</v>
      </c>
      <c r="M378">
        <v>46414</v>
      </c>
      <c r="R378" t="s">
        <v>1283</v>
      </c>
      <c r="S378" t="s">
        <v>1284</v>
      </c>
      <c r="T378" t="s">
        <v>1285</v>
      </c>
      <c r="U378" t="s">
        <v>1286</v>
      </c>
      <c r="V378">
        <f>IF(AND(SUM(IF('Consulta de contratos'!$K$1="",0,1),IF('Consulta de contratos'!$K$2="",0,1),IF('Consulta de contratos'!$K$3="",0,1),IF('Consulta de contratos'!$K$4="",0,1),IF('Consulta de contratos'!$K$5="",0,1),IF('Consulta de contratos'!$K$6="",0,1))&gt;0,OR('Consulta de contratos'!$K$1="",A378='Consulta de contratos'!$K$1),OR('Consulta de contratos'!$K$2="",I378='Consulta de contratos'!$K$2),OR('Consulta de contratos'!$K$3="",C378='Consulta de contratos'!$K$3),OR('Consulta de contratos'!$K$4="",D378='Consulta de contratos'!$K$4),OR('Consulta de contratos'!$K$5="",E378='Consulta de contratos'!$K$5),OR('Consulta de contratos'!$K$6="",IFERROR(ISNUMBER(SEARCH("|"&amp;'Consulta de contratos'!$K$6&amp;"|",AF378)),FALSE))),1,0)</f>
        <v>0</v>
      </c>
      <c r="W378">
        <f>IF(V378=1,SUM($V$2:V378),0)</f>
        <v>0</v>
      </c>
      <c r="X378" t="s">
        <v>59</v>
      </c>
      <c r="Y378" t="s">
        <v>1094</v>
      </c>
      <c r="Z378" t="s">
        <v>80</v>
      </c>
      <c r="AA378" t="s">
        <v>62</v>
      </c>
      <c r="AF378" t="s">
        <v>1095</v>
      </c>
    </row>
    <row r="379" spans="1:32" x14ac:dyDescent="0.35">
      <c r="A379" t="s">
        <v>142</v>
      </c>
      <c r="B379" t="s">
        <v>1277</v>
      </c>
      <c r="C379" t="s">
        <v>896</v>
      </c>
      <c r="D379" t="s">
        <v>897</v>
      </c>
      <c r="E379" t="s">
        <v>1278</v>
      </c>
      <c r="F379" t="s">
        <v>1287</v>
      </c>
      <c r="G379" t="s">
        <v>1288</v>
      </c>
      <c r="H379" t="s">
        <v>124</v>
      </c>
      <c r="I379" t="s">
        <v>1289</v>
      </c>
      <c r="J379" t="s">
        <v>1282</v>
      </c>
      <c r="K379" t="s">
        <v>142</v>
      </c>
      <c r="R379" t="s">
        <v>1290</v>
      </c>
      <c r="S379" t="s">
        <v>1291</v>
      </c>
      <c r="T379" t="s">
        <v>1292</v>
      </c>
      <c r="U379" t="s">
        <v>1293</v>
      </c>
      <c r="V379">
        <f>IF(AND(SUM(IF('Consulta de contratos'!$K$1="",0,1),IF('Consulta de contratos'!$K$2="",0,1),IF('Consulta de contratos'!$K$3="",0,1),IF('Consulta de contratos'!$K$4="",0,1),IF('Consulta de contratos'!$K$5="",0,1),IF('Consulta de contratos'!$K$6="",0,1))&gt;0,OR('Consulta de contratos'!$K$1="",A379='Consulta de contratos'!$K$1),OR('Consulta de contratos'!$K$2="",I379='Consulta de contratos'!$K$2),OR('Consulta de contratos'!$K$3="",C379='Consulta de contratos'!$K$3),OR('Consulta de contratos'!$K$4="",D379='Consulta de contratos'!$K$4),OR('Consulta de contratos'!$K$5="",E379='Consulta de contratos'!$K$5),OR('Consulta de contratos'!$K$6="",IFERROR(ISNUMBER(SEARCH("|"&amp;'Consulta de contratos'!$K$6&amp;"|",AF379)),FALSE))),1,0)</f>
        <v>0</v>
      </c>
      <c r="W379">
        <f>IF(V379=1,SUM($V$2:V379),0)</f>
        <v>0</v>
      </c>
      <c r="X379" t="s">
        <v>468</v>
      </c>
      <c r="Y379" t="s">
        <v>940</v>
      </c>
      <c r="Z379" t="s">
        <v>61</v>
      </c>
      <c r="AA379" t="s">
        <v>62</v>
      </c>
      <c r="AF379" t="s">
        <v>941</v>
      </c>
    </row>
    <row r="380" spans="1:32" x14ac:dyDescent="0.35">
      <c r="A380" t="s">
        <v>170</v>
      </c>
      <c r="B380" t="s">
        <v>1277</v>
      </c>
      <c r="C380" t="s">
        <v>896</v>
      </c>
      <c r="D380" t="s">
        <v>897</v>
      </c>
      <c r="E380" t="s">
        <v>1278</v>
      </c>
      <c r="F380" t="s">
        <v>1294</v>
      </c>
      <c r="G380" t="s">
        <v>1295</v>
      </c>
      <c r="H380" t="s">
        <v>73</v>
      </c>
      <c r="I380" t="s">
        <v>1296</v>
      </c>
      <c r="J380" t="s">
        <v>1282</v>
      </c>
      <c r="K380" t="s">
        <v>170</v>
      </c>
      <c r="M380">
        <v>46598</v>
      </c>
      <c r="R380" t="s">
        <v>1297</v>
      </c>
      <c r="S380" t="s">
        <v>1298</v>
      </c>
      <c r="T380" t="s">
        <v>1299</v>
      </c>
      <c r="U380" t="s">
        <v>1300</v>
      </c>
      <c r="V380">
        <f>IF(AND(SUM(IF('Consulta de contratos'!$K$1="",0,1),IF('Consulta de contratos'!$K$2="",0,1),IF('Consulta de contratos'!$K$3="",0,1),IF('Consulta de contratos'!$K$4="",0,1),IF('Consulta de contratos'!$K$5="",0,1),IF('Consulta de contratos'!$K$6="",0,1))&gt;0,OR('Consulta de contratos'!$K$1="",A380='Consulta de contratos'!$K$1),OR('Consulta de contratos'!$K$2="",I380='Consulta de contratos'!$K$2),OR('Consulta de contratos'!$K$3="",C380='Consulta de contratos'!$K$3),OR('Consulta de contratos'!$K$4="",D380='Consulta de contratos'!$K$4),OR('Consulta de contratos'!$K$5="",E380='Consulta de contratos'!$K$5),OR('Consulta de contratos'!$K$6="",IFERROR(ISNUMBER(SEARCH("|"&amp;'Consulta de contratos'!$K$6&amp;"|",AF380)),FALSE))),1,0)</f>
        <v>0</v>
      </c>
      <c r="W380">
        <f>IF(V380=1,SUM($V$2:V380),0)</f>
        <v>0</v>
      </c>
      <c r="X380" t="s">
        <v>59</v>
      </c>
      <c r="Y380" t="s">
        <v>1301</v>
      </c>
      <c r="Z380" t="s">
        <v>80</v>
      </c>
      <c r="AA380" t="s">
        <v>62</v>
      </c>
      <c r="AF380" t="s">
        <v>1302</v>
      </c>
    </row>
    <row r="381" spans="1:32" x14ac:dyDescent="0.35">
      <c r="A381" t="s">
        <v>177</v>
      </c>
      <c r="B381" t="s">
        <v>1277</v>
      </c>
      <c r="C381" t="s">
        <v>896</v>
      </c>
      <c r="D381" t="s">
        <v>897</v>
      </c>
      <c r="E381" t="s">
        <v>1278</v>
      </c>
      <c r="F381" t="s">
        <v>1303</v>
      </c>
      <c r="G381" t="s">
        <v>1304</v>
      </c>
      <c r="H381" t="s">
        <v>64</v>
      </c>
      <c r="I381" t="s">
        <v>1305</v>
      </c>
      <c r="J381" t="s">
        <v>1282</v>
      </c>
      <c r="K381" t="s">
        <v>177</v>
      </c>
      <c r="M381">
        <v>46470</v>
      </c>
      <c r="R381" t="s">
        <v>1306</v>
      </c>
      <c r="S381" t="s">
        <v>1307</v>
      </c>
      <c r="T381" t="s">
        <v>1308</v>
      </c>
      <c r="U381" t="s">
        <v>1309</v>
      </c>
      <c r="V381">
        <f>IF(AND(SUM(IF('Consulta de contratos'!$K$1="",0,1),IF('Consulta de contratos'!$K$2="",0,1),IF('Consulta de contratos'!$K$3="",0,1),IF('Consulta de contratos'!$K$4="",0,1),IF('Consulta de contratos'!$K$5="",0,1),IF('Consulta de contratos'!$K$6="",0,1))&gt;0,OR('Consulta de contratos'!$K$1="",A381='Consulta de contratos'!$K$1),OR('Consulta de contratos'!$K$2="",I381='Consulta de contratos'!$K$2),OR('Consulta de contratos'!$K$3="",C381='Consulta de contratos'!$K$3),OR('Consulta de contratos'!$K$4="",D381='Consulta de contratos'!$K$4),OR('Consulta de contratos'!$K$5="",E381='Consulta de contratos'!$K$5),OR('Consulta de contratos'!$K$6="",IFERROR(ISNUMBER(SEARCH("|"&amp;'Consulta de contratos'!$K$6&amp;"|",AF381)),FALSE))),1,0)</f>
        <v>0</v>
      </c>
      <c r="W381">
        <f>IF(V381=1,SUM($V$2:V381),0)</f>
        <v>0</v>
      </c>
      <c r="X381" t="s">
        <v>59</v>
      </c>
      <c r="Y381" t="s">
        <v>1115</v>
      </c>
      <c r="Z381" t="s">
        <v>80</v>
      </c>
      <c r="AA381" t="s">
        <v>62</v>
      </c>
      <c r="AF381" t="s">
        <v>1116</v>
      </c>
    </row>
    <row r="382" spans="1:32" x14ac:dyDescent="0.35">
      <c r="A382" t="s">
        <v>240</v>
      </c>
      <c r="B382" t="s">
        <v>1277</v>
      </c>
      <c r="C382" t="s">
        <v>896</v>
      </c>
      <c r="D382" t="s">
        <v>897</v>
      </c>
      <c r="E382" t="s">
        <v>1278</v>
      </c>
      <c r="F382" t="s">
        <v>1310</v>
      </c>
      <c r="G382" t="s">
        <v>1311</v>
      </c>
      <c r="H382" t="s">
        <v>305</v>
      </c>
      <c r="I382" t="s">
        <v>1312</v>
      </c>
      <c r="J382" t="s">
        <v>1282</v>
      </c>
      <c r="K382" t="s">
        <v>240</v>
      </c>
      <c r="R382" t="s">
        <v>1313</v>
      </c>
      <c r="S382" t="s">
        <v>1291</v>
      </c>
      <c r="T382" t="s">
        <v>1314</v>
      </c>
      <c r="U382" t="s">
        <v>1315</v>
      </c>
      <c r="V382">
        <f>IF(AND(SUM(IF('Consulta de contratos'!$K$1="",0,1),IF('Consulta de contratos'!$K$2="",0,1),IF('Consulta de contratos'!$K$3="",0,1),IF('Consulta de contratos'!$K$4="",0,1),IF('Consulta de contratos'!$K$5="",0,1),IF('Consulta de contratos'!$K$6="",0,1))&gt;0,OR('Consulta de contratos'!$K$1="",A382='Consulta de contratos'!$K$1),OR('Consulta de contratos'!$K$2="",I382='Consulta de contratos'!$K$2),OR('Consulta de contratos'!$K$3="",C382='Consulta de contratos'!$K$3),OR('Consulta de contratos'!$K$4="",D382='Consulta de contratos'!$K$4),OR('Consulta de contratos'!$K$5="",E382='Consulta de contratos'!$K$5),OR('Consulta de contratos'!$K$6="",IFERROR(ISNUMBER(SEARCH("|"&amp;'Consulta de contratos'!$K$6&amp;"|",AF382)),FALSE))),1,0)</f>
        <v>0</v>
      </c>
      <c r="W382">
        <f>IF(V382=1,SUM($V$2:V382),0)</f>
        <v>0</v>
      </c>
      <c r="X382" t="s">
        <v>468</v>
      </c>
      <c r="Y382" t="s">
        <v>294</v>
      </c>
      <c r="Z382" t="s">
        <v>61</v>
      </c>
      <c r="AA382" t="s">
        <v>62</v>
      </c>
      <c r="AF382" t="s">
        <v>295</v>
      </c>
    </row>
    <row r="383" spans="1:32" x14ac:dyDescent="0.35">
      <c r="A383" t="s">
        <v>219</v>
      </c>
      <c r="B383" t="s">
        <v>1277</v>
      </c>
      <c r="C383" t="s">
        <v>896</v>
      </c>
      <c r="D383" t="s">
        <v>897</v>
      </c>
      <c r="E383" t="s">
        <v>1278</v>
      </c>
      <c r="F383" t="s">
        <v>1316</v>
      </c>
      <c r="G383" t="s">
        <v>1317</v>
      </c>
      <c r="H383" t="s">
        <v>312</v>
      </c>
      <c r="I383" t="s">
        <v>1318</v>
      </c>
      <c r="J383" t="s">
        <v>1282</v>
      </c>
      <c r="K383" t="s">
        <v>219</v>
      </c>
      <c r="R383" t="s">
        <v>1319</v>
      </c>
      <c r="S383" t="s">
        <v>1291</v>
      </c>
      <c r="T383" t="s">
        <v>1320</v>
      </c>
      <c r="U383" t="s">
        <v>1321</v>
      </c>
      <c r="V383">
        <f>IF(AND(SUM(IF('Consulta de contratos'!$K$1="",0,1),IF('Consulta de contratos'!$K$2="",0,1),IF('Consulta de contratos'!$K$3="",0,1),IF('Consulta de contratos'!$K$4="",0,1),IF('Consulta de contratos'!$K$5="",0,1),IF('Consulta de contratos'!$K$6="",0,1))&gt;0,OR('Consulta de contratos'!$K$1="",A383='Consulta de contratos'!$K$1),OR('Consulta de contratos'!$K$2="",I383='Consulta de contratos'!$K$2),OR('Consulta de contratos'!$K$3="",C383='Consulta de contratos'!$K$3),OR('Consulta de contratos'!$K$4="",D383='Consulta de contratos'!$K$4),OR('Consulta de contratos'!$K$5="",E383='Consulta de contratos'!$K$5),OR('Consulta de contratos'!$K$6="",IFERROR(ISNUMBER(SEARCH("|"&amp;'Consulta de contratos'!$K$6&amp;"|",AF383)),FALSE))),1,0)</f>
        <v>0</v>
      </c>
      <c r="W383">
        <f>IF(V383=1,SUM($V$2:V383),0)</f>
        <v>0</v>
      </c>
      <c r="X383" t="s">
        <v>468</v>
      </c>
      <c r="Y383" t="s">
        <v>1322</v>
      </c>
      <c r="Z383" t="s">
        <v>61</v>
      </c>
      <c r="AA383" t="s">
        <v>62</v>
      </c>
      <c r="AF383" t="s">
        <v>1323</v>
      </c>
    </row>
    <row r="384" spans="1:32" x14ac:dyDescent="0.35">
      <c r="A384" t="s">
        <v>184</v>
      </c>
      <c r="B384" t="s">
        <v>1076</v>
      </c>
      <c r="C384" t="s">
        <v>896</v>
      </c>
      <c r="D384" t="s">
        <v>1077</v>
      </c>
      <c r="E384" t="s">
        <v>1078</v>
      </c>
      <c r="F384" t="s">
        <v>1324</v>
      </c>
      <c r="G384" t="s">
        <v>1325</v>
      </c>
      <c r="H384" t="s">
        <v>73</v>
      </c>
      <c r="I384" t="s">
        <v>1289</v>
      </c>
      <c r="J384" t="s">
        <v>1326</v>
      </c>
      <c r="K384" t="s">
        <v>184</v>
      </c>
      <c r="R384" t="s">
        <v>1327</v>
      </c>
      <c r="S384" t="s">
        <v>1328</v>
      </c>
      <c r="T384" t="s">
        <v>1329</v>
      </c>
      <c r="U384" t="s">
        <v>1330</v>
      </c>
      <c r="V384">
        <f>IF(AND(SUM(IF('Consulta de contratos'!$K$1="",0,1),IF('Consulta de contratos'!$K$2="",0,1),IF('Consulta de contratos'!$K$3="",0,1),IF('Consulta de contratos'!$K$4="",0,1),IF('Consulta de contratos'!$K$5="",0,1),IF('Consulta de contratos'!$K$6="",0,1))&gt;0,OR('Consulta de contratos'!$K$1="",A384='Consulta de contratos'!$K$1),OR('Consulta de contratos'!$K$2="",I384='Consulta de contratos'!$K$2),OR('Consulta de contratos'!$K$3="",C384='Consulta de contratos'!$K$3),OR('Consulta de contratos'!$K$4="",D384='Consulta de contratos'!$K$4),OR('Consulta de contratos'!$K$5="",E384='Consulta de contratos'!$K$5),OR('Consulta de contratos'!$K$6="",IFERROR(ISNUMBER(SEARCH("|"&amp;'Consulta de contratos'!$K$6&amp;"|",AF384)),FALSE))),1,0)</f>
        <v>0</v>
      </c>
      <c r="W384">
        <f>IF(V384=1,SUM($V$2:V384),0)</f>
        <v>0</v>
      </c>
      <c r="X384" t="s">
        <v>468</v>
      </c>
      <c r="Y384" t="s">
        <v>940</v>
      </c>
      <c r="Z384" t="s">
        <v>61</v>
      </c>
      <c r="AA384" t="s">
        <v>62</v>
      </c>
      <c r="AF384" t="s">
        <v>941</v>
      </c>
    </row>
    <row r="385" spans="1:32" x14ac:dyDescent="0.35">
      <c r="A385" t="s">
        <v>219</v>
      </c>
      <c r="B385" t="s">
        <v>1076</v>
      </c>
      <c r="C385" t="s">
        <v>896</v>
      </c>
      <c r="D385" t="s">
        <v>1077</v>
      </c>
      <c r="E385" t="s">
        <v>1078</v>
      </c>
      <c r="F385" t="s">
        <v>1331</v>
      </c>
      <c r="G385" t="s">
        <v>1332</v>
      </c>
      <c r="H385" t="s">
        <v>124</v>
      </c>
      <c r="I385" t="s">
        <v>1333</v>
      </c>
      <c r="J385" t="s">
        <v>1334</v>
      </c>
      <c r="K385" t="s">
        <v>219</v>
      </c>
      <c r="M385">
        <v>46418</v>
      </c>
      <c r="R385" t="s">
        <v>1335</v>
      </c>
      <c r="S385" t="s">
        <v>1336</v>
      </c>
      <c r="T385" t="s">
        <v>1337</v>
      </c>
      <c r="U385" t="s">
        <v>1338</v>
      </c>
      <c r="V385">
        <f>IF(AND(SUM(IF('Consulta de contratos'!$K$1="",0,1),IF('Consulta de contratos'!$K$2="",0,1),IF('Consulta de contratos'!$K$3="",0,1),IF('Consulta de contratos'!$K$4="",0,1),IF('Consulta de contratos'!$K$5="",0,1),IF('Consulta de contratos'!$K$6="",0,1))&gt;0,OR('Consulta de contratos'!$K$1="",A385='Consulta de contratos'!$K$1),OR('Consulta de contratos'!$K$2="",I385='Consulta de contratos'!$K$2),OR('Consulta de contratos'!$K$3="",C385='Consulta de contratos'!$K$3),OR('Consulta de contratos'!$K$4="",D385='Consulta de contratos'!$K$4),OR('Consulta de contratos'!$K$5="",E385='Consulta de contratos'!$K$5),OR('Consulta de contratos'!$K$6="",IFERROR(ISNUMBER(SEARCH("|"&amp;'Consulta de contratos'!$K$6&amp;"|",AF385)),FALSE))),1,0)</f>
        <v>0</v>
      </c>
      <c r="W385">
        <f>IF(V385=1,SUM($V$2:V385),0)</f>
        <v>0</v>
      </c>
      <c r="X385" t="s">
        <v>59</v>
      </c>
      <c r="Y385" t="s">
        <v>1339</v>
      </c>
      <c r="Z385" t="s">
        <v>61</v>
      </c>
      <c r="AA385" t="s">
        <v>62</v>
      </c>
      <c r="AF385" t="s">
        <v>1340</v>
      </c>
    </row>
    <row r="386" spans="1:32" x14ac:dyDescent="0.35">
      <c r="A386" t="s">
        <v>457</v>
      </c>
      <c r="B386" t="s">
        <v>261</v>
      </c>
      <c r="C386" t="s">
        <v>42</v>
      </c>
      <c r="D386" t="s">
        <v>262</v>
      </c>
      <c r="E386" t="s">
        <v>263</v>
      </c>
      <c r="F386" t="s">
        <v>1341</v>
      </c>
      <c r="G386" t="s">
        <v>1342</v>
      </c>
      <c r="H386" t="s">
        <v>84</v>
      </c>
      <c r="I386" t="s">
        <v>1343</v>
      </c>
      <c r="J386" t="s">
        <v>1344</v>
      </c>
      <c r="K386" t="s">
        <v>1345</v>
      </c>
      <c r="R386" t="s">
        <v>1346</v>
      </c>
      <c r="S386" t="s">
        <v>1347</v>
      </c>
      <c r="T386" t="s">
        <v>1348</v>
      </c>
      <c r="U386" t="s">
        <v>1349</v>
      </c>
      <c r="V386">
        <f>IF(AND(SUM(IF('Consulta de contratos'!$K$1="",0,1),IF('Consulta de contratos'!$K$2="",0,1),IF('Consulta de contratos'!$K$3="",0,1),IF('Consulta de contratos'!$K$4="",0,1),IF('Consulta de contratos'!$K$5="",0,1),IF('Consulta de contratos'!$K$6="",0,1))&gt;0,OR('Consulta de contratos'!$K$1="",A386='Consulta de contratos'!$K$1),OR('Consulta de contratos'!$K$2="",I386='Consulta de contratos'!$K$2),OR('Consulta de contratos'!$K$3="",C386='Consulta de contratos'!$K$3),OR('Consulta de contratos'!$K$4="",D386='Consulta de contratos'!$K$4),OR('Consulta de contratos'!$K$5="",E386='Consulta de contratos'!$K$5),OR('Consulta de contratos'!$K$6="",IFERROR(ISNUMBER(SEARCH("|"&amp;'Consulta de contratos'!$K$6&amp;"|",AF386)),FALSE))),1,0)</f>
        <v>0</v>
      </c>
      <c r="W386">
        <f>IF(V386=1,SUM($V$2:V386),0)</f>
        <v>0</v>
      </c>
      <c r="X386" t="s">
        <v>468</v>
      </c>
      <c r="Y386" t="s">
        <v>1350</v>
      </c>
      <c r="Z386" t="s">
        <v>61</v>
      </c>
      <c r="AA386" t="s">
        <v>62</v>
      </c>
      <c r="AF386" t="s">
        <v>1351</v>
      </c>
    </row>
    <row r="387" spans="1:32" x14ac:dyDescent="0.35">
      <c r="A387" t="s">
        <v>457</v>
      </c>
      <c r="B387" t="s">
        <v>895</v>
      </c>
      <c r="C387" t="s">
        <v>896</v>
      </c>
      <c r="D387" t="s">
        <v>897</v>
      </c>
      <c r="E387" t="s">
        <v>898</v>
      </c>
      <c r="F387" t="s">
        <v>1352</v>
      </c>
      <c r="G387" t="s">
        <v>1353</v>
      </c>
      <c r="H387" t="s">
        <v>124</v>
      </c>
      <c r="I387" t="s">
        <v>1050</v>
      </c>
      <c r="J387" t="s">
        <v>1354</v>
      </c>
      <c r="K387" t="s">
        <v>972</v>
      </c>
      <c r="R387" t="s">
        <v>1355</v>
      </c>
      <c r="S387" t="s">
        <v>1356</v>
      </c>
      <c r="T387" t="s">
        <v>1357</v>
      </c>
      <c r="U387" t="s">
        <v>1358</v>
      </c>
      <c r="V387">
        <f>IF(AND(SUM(IF('Consulta de contratos'!$K$1="",0,1),IF('Consulta de contratos'!$K$2="",0,1),IF('Consulta de contratos'!$K$3="",0,1),IF('Consulta de contratos'!$K$4="",0,1),IF('Consulta de contratos'!$K$5="",0,1),IF('Consulta de contratos'!$K$6="",0,1))&gt;0,OR('Consulta de contratos'!$K$1="",A387='Consulta de contratos'!$K$1),OR('Consulta de contratos'!$K$2="",I387='Consulta de contratos'!$K$2),OR('Consulta de contratos'!$K$3="",C387='Consulta de contratos'!$K$3),OR('Consulta de contratos'!$K$4="",D387='Consulta de contratos'!$K$4),OR('Consulta de contratos'!$K$5="",E387='Consulta de contratos'!$K$5),OR('Consulta de contratos'!$K$6="",IFERROR(ISNUMBER(SEARCH("|"&amp;'Consulta de contratos'!$K$6&amp;"|",AF387)),FALSE))),1,0)</f>
        <v>0</v>
      </c>
      <c r="W387">
        <f>IF(V387=1,SUM($V$2:V387),0)</f>
        <v>0</v>
      </c>
      <c r="X387" t="s">
        <v>468</v>
      </c>
      <c r="Y387" t="s">
        <v>1058</v>
      </c>
      <c r="Z387" t="s">
        <v>61</v>
      </c>
      <c r="AA387" t="s">
        <v>62</v>
      </c>
      <c r="AF387" t="s">
        <v>1059</v>
      </c>
    </row>
    <row r="388" spans="1:32" x14ac:dyDescent="0.35">
      <c r="A388" t="s">
        <v>116</v>
      </c>
      <c r="B388" t="s">
        <v>1277</v>
      </c>
      <c r="C388" t="s">
        <v>896</v>
      </c>
      <c r="D388" t="s">
        <v>897</v>
      </c>
      <c r="E388" t="s">
        <v>1278</v>
      </c>
      <c r="F388" t="s">
        <v>1359</v>
      </c>
      <c r="G388" t="s">
        <v>1360</v>
      </c>
      <c r="H388" t="s">
        <v>47</v>
      </c>
      <c r="I388" t="s">
        <v>857</v>
      </c>
      <c r="J388" t="s">
        <v>1361</v>
      </c>
      <c r="K388" t="s">
        <v>1362</v>
      </c>
      <c r="N388" t="s">
        <v>52</v>
      </c>
      <c r="O388" t="s">
        <v>52</v>
      </c>
      <c r="Q388" t="s">
        <v>1363</v>
      </c>
      <c r="R388" t="s">
        <v>1364</v>
      </c>
      <c r="S388" t="s">
        <v>1365</v>
      </c>
      <c r="T388" t="s">
        <v>1366</v>
      </c>
      <c r="U388" t="s">
        <v>1367</v>
      </c>
      <c r="V388">
        <f>IF(AND(SUM(IF('Consulta de contratos'!$K$1="",0,1),IF('Consulta de contratos'!$K$2="",0,1),IF('Consulta de contratos'!$K$3="",0,1),IF('Consulta de contratos'!$K$4="",0,1),IF('Consulta de contratos'!$K$5="",0,1),IF('Consulta de contratos'!$K$6="",0,1))&gt;0,OR('Consulta de contratos'!$K$1="",A388='Consulta de contratos'!$K$1),OR('Consulta de contratos'!$K$2="",I388='Consulta de contratos'!$K$2),OR('Consulta de contratos'!$K$3="",C388='Consulta de contratos'!$K$3),OR('Consulta de contratos'!$K$4="",D388='Consulta de contratos'!$K$4),OR('Consulta de contratos'!$K$5="",E388='Consulta de contratos'!$K$5),OR('Consulta de contratos'!$K$6="",IFERROR(ISNUMBER(SEARCH("|"&amp;'Consulta de contratos'!$K$6&amp;"|",AF388)),FALSE))),1,0)</f>
        <v>0</v>
      </c>
      <c r="W388">
        <f>IF(V388=1,SUM($V$2:V388),0)</f>
        <v>0</v>
      </c>
      <c r="X388" t="s">
        <v>1368</v>
      </c>
      <c r="Y388" t="s">
        <v>1369</v>
      </c>
      <c r="Z388" t="s">
        <v>867</v>
      </c>
      <c r="AA388" t="s">
        <v>62</v>
      </c>
      <c r="AB388" t="s">
        <v>1370</v>
      </c>
      <c r="AC388" t="s">
        <v>1371</v>
      </c>
      <c r="AD388" t="s">
        <v>1372</v>
      </c>
      <c r="AE388" t="s">
        <v>62</v>
      </c>
      <c r="AF388" t="s">
        <v>1373</v>
      </c>
    </row>
    <row r="389" spans="1:32" x14ac:dyDescent="0.35">
      <c r="A389" t="s">
        <v>40</v>
      </c>
      <c r="B389" t="s">
        <v>1277</v>
      </c>
      <c r="C389" t="s">
        <v>896</v>
      </c>
      <c r="D389" t="s">
        <v>897</v>
      </c>
      <c r="E389" t="s">
        <v>1278</v>
      </c>
      <c r="F389" t="s">
        <v>1359</v>
      </c>
      <c r="G389" t="s">
        <v>1360</v>
      </c>
      <c r="H389" t="s">
        <v>47</v>
      </c>
      <c r="I389" t="s">
        <v>857</v>
      </c>
      <c r="J389" t="s">
        <v>1361</v>
      </c>
      <c r="K389" t="s">
        <v>1362</v>
      </c>
      <c r="N389" t="s">
        <v>52</v>
      </c>
      <c r="O389" t="s">
        <v>52</v>
      </c>
      <c r="Q389" t="s">
        <v>1363</v>
      </c>
      <c r="R389" t="s">
        <v>1364</v>
      </c>
      <c r="S389" t="s">
        <v>1365</v>
      </c>
      <c r="T389" t="s">
        <v>1374</v>
      </c>
      <c r="U389" t="s">
        <v>1367</v>
      </c>
      <c r="V389">
        <f>IF(AND(SUM(IF('Consulta de contratos'!$K$1="",0,1),IF('Consulta de contratos'!$K$2="",0,1),IF('Consulta de contratos'!$K$3="",0,1),IF('Consulta de contratos'!$K$4="",0,1),IF('Consulta de contratos'!$K$5="",0,1),IF('Consulta de contratos'!$K$6="",0,1))&gt;0,OR('Consulta de contratos'!$K$1="",A389='Consulta de contratos'!$K$1),OR('Consulta de contratos'!$K$2="",I389='Consulta de contratos'!$K$2),OR('Consulta de contratos'!$K$3="",C389='Consulta de contratos'!$K$3),OR('Consulta de contratos'!$K$4="",D389='Consulta de contratos'!$K$4),OR('Consulta de contratos'!$K$5="",E389='Consulta de contratos'!$K$5),OR('Consulta de contratos'!$K$6="",IFERROR(ISNUMBER(SEARCH("|"&amp;'Consulta de contratos'!$K$6&amp;"|",AF389)),FALSE))),1,0)</f>
        <v>0</v>
      </c>
      <c r="W389">
        <f>IF(V389=1,SUM($V$2:V389),0)</f>
        <v>0</v>
      </c>
      <c r="X389" t="s">
        <v>1368</v>
      </c>
      <c r="Y389" t="s">
        <v>1369</v>
      </c>
      <c r="Z389" t="s">
        <v>867</v>
      </c>
      <c r="AA389" t="s">
        <v>62</v>
      </c>
      <c r="AB389" t="s">
        <v>1370</v>
      </c>
      <c r="AC389" t="s">
        <v>1371</v>
      </c>
      <c r="AD389" t="s">
        <v>1372</v>
      </c>
      <c r="AE389" t="s">
        <v>62</v>
      </c>
      <c r="AF389" t="s">
        <v>1373</v>
      </c>
    </row>
    <row r="390" spans="1:32" x14ac:dyDescent="0.35">
      <c r="A390" t="s">
        <v>156</v>
      </c>
      <c r="B390" t="s">
        <v>1277</v>
      </c>
      <c r="C390" t="s">
        <v>896</v>
      </c>
      <c r="D390" t="s">
        <v>897</v>
      </c>
      <c r="E390" t="s">
        <v>1278</v>
      </c>
      <c r="F390" t="s">
        <v>1359</v>
      </c>
      <c r="G390" t="s">
        <v>1360</v>
      </c>
      <c r="H390" t="s">
        <v>47</v>
      </c>
      <c r="I390" t="s">
        <v>857</v>
      </c>
      <c r="J390" t="s">
        <v>1361</v>
      </c>
      <c r="K390" t="s">
        <v>1362</v>
      </c>
      <c r="N390" t="s">
        <v>52</v>
      </c>
      <c r="O390" t="s">
        <v>52</v>
      </c>
      <c r="Q390" t="s">
        <v>1363</v>
      </c>
      <c r="R390" t="s">
        <v>1364</v>
      </c>
      <c r="S390" t="s">
        <v>1365</v>
      </c>
      <c r="T390" t="s">
        <v>1375</v>
      </c>
      <c r="U390" t="s">
        <v>1367</v>
      </c>
      <c r="V390">
        <f>IF(AND(SUM(IF('Consulta de contratos'!$K$1="",0,1),IF('Consulta de contratos'!$K$2="",0,1),IF('Consulta de contratos'!$K$3="",0,1),IF('Consulta de contratos'!$K$4="",0,1),IF('Consulta de contratos'!$K$5="",0,1),IF('Consulta de contratos'!$K$6="",0,1))&gt;0,OR('Consulta de contratos'!$K$1="",A390='Consulta de contratos'!$K$1),OR('Consulta de contratos'!$K$2="",I390='Consulta de contratos'!$K$2),OR('Consulta de contratos'!$K$3="",C390='Consulta de contratos'!$K$3),OR('Consulta de contratos'!$K$4="",D390='Consulta de contratos'!$K$4),OR('Consulta de contratos'!$K$5="",E390='Consulta de contratos'!$K$5),OR('Consulta de contratos'!$K$6="",IFERROR(ISNUMBER(SEARCH("|"&amp;'Consulta de contratos'!$K$6&amp;"|",AF390)),FALSE))),1,0)</f>
        <v>0</v>
      </c>
      <c r="W390">
        <f>IF(V390=1,SUM($V$2:V390),0)</f>
        <v>0</v>
      </c>
      <c r="X390" t="s">
        <v>1368</v>
      </c>
      <c r="Y390" t="s">
        <v>1369</v>
      </c>
      <c r="Z390" t="s">
        <v>867</v>
      </c>
      <c r="AA390" t="s">
        <v>62</v>
      </c>
      <c r="AB390" t="s">
        <v>1370</v>
      </c>
      <c r="AC390" t="s">
        <v>1371</v>
      </c>
      <c r="AD390" t="s">
        <v>1372</v>
      </c>
      <c r="AE390" t="s">
        <v>62</v>
      </c>
      <c r="AF390" t="s">
        <v>1373</v>
      </c>
    </row>
    <row r="391" spans="1:32" x14ac:dyDescent="0.35">
      <c r="A391" t="s">
        <v>149</v>
      </c>
      <c r="B391" t="s">
        <v>1277</v>
      </c>
      <c r="C391" t="s">
        <v>896</v>
      </c>
      <c r="D391" t="s">
        <v>897</v>
      </c>
      <c r="E391" t="s">
        <v>1278</v>
      </c>
      <c r="F391" t="s">
        <v>1359</v>
      </c>
      <c r="G391" t="s">
        <v>1360</v>
      </c>
      <c r="H391" t="s">
        <v>47</v>
      </c>
      <c r="I391" t="s">
        <v>857</v>
      </c>
      <c r="J391" t="s">
        <v>1361</v>
      </c>
      <c r="K391" t="s">
        <v>1362</v>
      </c>
      <c r="N391" t="s">
        <v>52</v>
      </c>
      <c r="O391" t="s">
        <v>52</v>
      </c>
      <c r="Q391" t="s">
        <v>1363</v>
      </c>
      <c r="R391" t="s">
        <v>1364</v>
      </c>
      <c r="S391" t="s">
        <v>1365</v>
      </c>
      <c r="T391" t="s">
        <v>1376</v>
      </c>
      <c r="U391" t="s">
        <v>1367</v>
      </c>
      <c r="V391">
        <f>IF(AND(SUM(IF('Consulta de contratos'!$K$1="",0,1),IF('Consulta de contratos'!$K$2="",0,1),IF('Consulta de contratos'!$K$3="",0,1),IF('Consulta de contratos'!$K$4="",0,1),IF('Consulta de contratos'!$K$5="",0,1),IF('Consulta de contratos'!$K$6="",0,1))&gt;0,OR('Consulta de contratos'!$K$1="",A391='Consulta de contratos'!$K$1),OR('Consulta de contratos'!$K$2="",I391='Consulta de contratos'!$K$2),OR('Consulta de contratos'!$K$3="",C391='Consulta de contratos'!$K$3),OR('Consulta de contratos'!$K$4="",D391='Consulta de contratos'!$K$4),OR('Consulta de contratos'!$K$5="",E391='Consulta de contratos'!$K$5),OR('Consulta de contratos'!$K$6="",IFERROR(ISNUMBER(SEARCH("|"&amp;'Consulta de contratos'!$K$6&amp;"|",AF391)),FALSE))),1,0)</f>
        <v>0</v>
      </c>
      <c r="W391">
        <f>IF(V391=1,SUM($V$2:V391),0)</f>
        <v>0</v>
      </c>
      <c r="X391" t="s">
        <v>1368</v>
      </c>
      <c r="Y391" t="s">
        <v>1369</v>
      </c>
      <c r="Z391" t="s">
        <v>867</v>
      </c>
      <c r="AA391" t="s">
        <v>62</v>
      </c>
      <c r="AB391" t="s">
        <v>1370</v>
      </c>
      <c r="AC391" t="s">
        <v>1371</v>
      </c>
      <c r="AD391" t="s">
        <v>1372</v>
      </c>
      <c r="AE391" t="s">
        <v>62</v>
      </c>
      <c r="AF391" t="s">
        <v>1373</v>
      </c>
    </row>
    <row r="392" spans="1:32" x14ac:dyDescent="0.35">
      <c r="A392" t="s">
        <v>123</v>
      </c>
      <c r="B392" t="s">
        <v>1277</v>
      </c>
      <c r="C392" t="s">
        <v>896</v>
      </c>
      <c r="D392" t="s">
        <v>897</v>
      </c>
      <c r="E392" t="s">
        <v>1278</v>
      </c>
      <c r="F392" t="s">
        <v>1359</v>
      </c>
      <c r="G392" t="s">
        <v>1360</v>
      </c>
      <c r="H392" t="s">
        <v>124</v>
      </c>
      <c r="I392" t="s">
        <v>857</v>
      </c>
      <c r="J392" t="s">
        <v>1361</v>
      </c>
      <c r="K392" t="s">
        <v>1377</v>
      </c>
      <c r="N392" t="s">
        <v>52</v>
      </c>
      <c r="O392" t="s">
        <v>52</v>
      </c>
      <c r="Q392" t="s">
        <v>1363</v>
      </c>
      <c r="R392" t="s">
        <v>1364</v>
      </c>
      <c r="S392" t="s">
        <v>1365</v>
      </c>
      <c r="T392" t="s">
        <v>1378</v>
      </c>
      <c r="U392" t="s">
        <v>1379</v>
      </c>
      <c r="V392">
        <f>IF(AND(SUM(IF('Consulta de contratos'!$K$1="",0,1),IF('Consulta de contratos'!$K$2="",0,1),IF('Consulta de contratos'!$K$3="",0,1),IF('Consulta de contratos'!$K$4="",0,1),IF('Consulta de contratos'!$K$5="",0,1),IF('Consulta de contratos'!$K$6="",0,1))&gt;0,OR('Consulta de contratos'!$K$1="",A392='Consulta de contratos'!$K$1),OR('Consulta de contratos'!$K$2="",I392='Consulta de contratos'!$K$2),OR('Consulta de contratos'!$K$3="",C392='Consulta de contratos'!$K$3),OR('Consulta de contratos'!$K$4="",D392='Consulta de contratos'!$K$4),OR('Consulta de contratos'!$K$5="",E392='Consulta de contratos'!$K$5),OR('Consulta de contratos'!$K$6="",IFERROR(ISNUMBER(SEARCH("|"&amp;'Consulta de contratos'!$K$6&amp;"|",AF392)),FALSE))),1,0)</f>
        <v>0</v>
      </c>
      <c r="W392">
        <f>IF(V392=1,SUM($V$2:V392),0)</f>
        <v>0</v>
      </c>
      <c r="X392" t="s">
        <v>1368</v>
      </c>
      <c r="Y392" t="s">
        <v>1369</v>
      </c>
      <c r="Z392" t="s">
        <v>867</v>
      </c>
      <c r="AA392" t="s">
        <v>62</v>
      </c>
      <c r="AB392" t="s">
        <v>1370</v>
      </c>
      <c r="AC392" t="s">
        <v>1371</v>
      </c>
      <c r="AD392" t="s">
        <v>1372</v>
      </c>
      <c r="AE392" t="s">
        <v>62</v>
      </c>
      <c r="AF392" t="s">
        <v>1373</v>
      </c>
    </row>
    <row r="393" spans="1:32" x14ac:dyDescent="0.35">
      <c r="A393" t="s">
        <v>135</v>
      </c>
      <c r="B393" t="s">
        <v>1277</v>
      </c>
      <c r="C393" t="s">
        <v>896</v>
      </c>
      <c r="D393" t="s">
        <v>897</v>
      </c>
      <c r="E393" t="s">
        <v>1278</v>
      </c>
      <c r="F393" t="s">
        <v>1359</v>
      </c>
      <c r="G393" t="s">
        <v>1360</v>
      </c>
      <c r="H393" t="s">
        <v>124</v>
      </c>
      <c r="I393" t="s">
        <v>857</v>
      </c>
      <c r="J393" t="s">
        <v>1361</v>
      </c>
      <c r="K393" t="s">
        <v>1377</v>
      </c>
      <c r="N393" t="s">
        <v>52</v>
      </c>
      <c r="O393" t="s">
        <v>52</v>
      </c>
      <c r="Q393" t="s">
        <v>1363</v>
      </c>
      <c r="R393" t="s">
        <v>1364</v>
      </c>
      <c r="S393" t="s">
        <v>1365</v>
      </c>
      <c r="T393" t="s">
        <v>1380</v>
      </c>
      <c r="U393" t="s">
        <v>1379</v>
      </c>
      <c r="V393">
        <f>IF(AND(SUM(IF('Consulta de contratos'!$K$1="",0,1),IF('Consulta de contratos'!$K$2="",0,1),IF('Consulta de contratos'!$K$3="",0,1),IF('Consulta de contratos'!$K$4="",0,1),IF('Consulta de contratos'!$K$5="",0,1),IF('Consulta de contratos'!$K$6="",0,1))&gt;0,OR('Consulta de contratos'!$K$1="",A393='Consulta de contratos'!$K$1),OR('Consulta de contratos'!$K$2="",I393='Consulta de contratos'!$K$2),OR('Consulta de contratos'!$K$3="",C393='Consulta de contratos'!$K$3),OR('Consulta de contratos'!$K$4="",D393='Consulta de contratos'!$K$4),OR('Consulta de contratos'!$K$5="",E393='Consulta de contratos'!$K$5),OR('Consulta de contratos'!$K$6="",IFERROR(ISNUMBER(SEARCH("|"&amp;'Consulta de contratos'!$K$6&amp;"|",AF393)),FALSE))),1,0)</f>
        <v>0</v>
      </c>
      <c r="W393">
        <f>IF(V393=1,SUM($V$2:V393),0)</f>
        <v>0</v>
      </c>
      <c r="X393" t="s">
        <v>1368</v>
      </c>
      <c r="Y393" t="s">
        <v>1369</v>
      </c>
      <c r="Z393" t="s">
        <v>867</v>
      </c>
      <c r="AA393" t="s">
        <v>62</v>
      </c>
      <c r="AB393" t="s">
        <v>1370</v>
      </c>
      <c r="AC393" t="s">
        <v>1371</v>
      </c>
      <c r="AD393" t="s">
        <v>1372</v>
      </c>
      <c r="AE393" t="s">
        <v>62</v>
      </c>
      <c r="AF393" t="s">
        <v>1373</v>
      </c>
    </row>
    <row r="394" spans="1:32" x14ac:dyDescent="0.35">
      <c r="A394" t="s">
        <v>142</v>
      </c>
      <c r="B394" t="s">
        <v>1277</v>
      </c>
      <c r="C394" t="s">
        <v>896</v>
      </c>
      <c r="D394" t="s">
        <v>897</v>
      </c>
      <c r="E394" t="s">
        <v>1278</v>
      </c>
      <c r="F394" t="s">
        <v>1359</v>
      </c>
      <c r="G394" t="s">
        <v>1360</v>
      </c>
      <c r="H394" t="s">
        <v>124</v>
      </c>
      <c r="I394" t="s">
        <v>857</v>
      </c>
      <c r="J394" t="s">
        <v>1361</v>
      </c>
      <c r="K394" t="s">
        <v>1377</v>
      </c>
      <c r="N394" t="s">
        <v>52</v>
      </c>
      <c r="O394" t="s">
        <v>52</v>
      </c>
      <c r="Q394" t="s">
        <v>1363</v>
      </c>
      <c r="R394" t="s">
        <v>1364</v>
      </c>
      <c r="S394" t="s">
        <v>1365</v>
      </c>
      <c r="T394" t="s">
        <v>1381</v>
      </c>
      <c r="U394" t="s">
        <v>1379</v>
      </c>
      <c r="V394">
        <f>IF(AND(SUM(IF('Consulta de contratos'!$K$1="",0,1),IF('Consulta de contratos'!$K$2="",0,1),IF('Consulta de contratos'!$K$3="",0,1),IF('Consulta de contratos'!$K$4="",0,1),IF('Consulta de contratos'!$K$5="",0,1),IF('Consulta de contratos'!$K$6="",0,1))&gt;0,OR('Consulta de contratos'!$K$1="",A394='Consulta de contratos'!$K$1),OR('Consulta de contratos'!$K$2="",I394='Consulta de contratos'!$K$2),OR('Consulta de contratos'!$K$3="",C394='Consulta de contratos'!$K$3),OR('Consulta de contratos'!$K$4="",D394='Consulta de contratos'!$K$4),OR('Consulta de contratos'!$K$5="",E394='Consulta de contratos'!$K$5),OR('Consulta de contratos'!$K$6="",IFERROR(ISNUMBER(SEARCH("|"&amp;'Consulta de contratos'!$K$6&amp;"|",AF394)),FALSE))),1,0)</f>
        <v>0</v>
      </c>
      <c r="W394">
        <f>IF(V394=1,SUM($V$2:V394),0)</f>
        <v>0</v>
      </c>
      <c r="X394" t="s">
        <v>1368</v>
      </c>
      <c r="Y394" t="s">
        <v>1369</v>
      </c>
      <c r="Z394" t="s">
        <v>867</v>
      </c>
      <c r="AA394" t="s">
        <v>62</v>
      </c>
      <c r="AB394" t="s">
        <v>1370</v>
      </c>
      <c r="AC394" t="s">
        <v>1371</v>
      </c>
      <c r="AD394" t="s">
        <v>1372</v>
      </c>
      <c r="AE394" t="s">
        <v>62</v>
      </c>
      <c r="AF394" t="s">
        <v>1373</v>
      </c>
    </row>
    <row r="395" spans="1:32" x14ac:dyDescent="0.35">
      <c r="A395" t="s">
        <v>170</v>
      </c>
      <c r="B395" t="s">
        <v>1277</v>
      </c>
      <c r="C395" t="s">
        <v>896</v>
      </c>
      <c r="D395" t="s">
        <v>897</v>
      </c>
      <c r="E395" t="s">
        <v>1278</v>
      </c>
      <c r="F395" t="s">
        <v>1359</v>
      </c>
      <c r="G395" t="s">
        <v>1360</v>
      </c>
      <c r="H395" t="s">
        <v>73</v>
      </c>
      <c r="I395" t="s">
        <v>857</v>
      </c>
      <c r="J395" t="s">
        <v>1361</v>
      </c>
      <c r="K395" t="s">
        <v>1382</v>
      </c>
      <c r="N395" t="s">
        <v>52</v>
      </c>
      <c r="O395" t="s">
        <v>52</v>
      </c>
      <c r="Q395" t="s">
        <v>1363</v>
      </c>
      <c r="R395" t="s">
        <v>1364</v>
      </c>
      <c r="S395" t="s">
        <v>1365</v>
      </c>
      <c r="T395" t="s">
        <v>1383</v>
      </c>
      <c r="U395" t="s">
        <v>1384</v>
      </c>
      <c r="V395">
        <f>IF(AND(SUM(IF('Consulta de contratos'!$K$1="",0,1),IF('Consulta de contratos'!$K$2="",0,1),IF('Consulta de contratos'!$K$3="",0,1),IF('Consulta de contratos'!$K$4="",0,1),IF('Consulta de contratos'!$K$5="",0,1),IF('Consulta de contratos'!$K$6="",0,1))&gt;0,OR('Consulta de contratos'!$K$1="",A395='Consulta de contratos'!$K$1),OR('Consulta de contratos'!$K$2="",I395='Consulta de contratos'!$K$2),OR('Consulta de contratos'!$K$3="",C395='Consulta de contratos'!$K$3),OR('Consulta de contratos'!$K$4="",D395='Consulta de contratos'!$K$4),OR('Consulta de contratos'!$K$5="",E395='Consulta de contratos'!$K$5),OR('Consulta de contratos'!$K$6="",IFERROR(ISNUMBER(SEARCH("|"&amp;'Consulta de contratos'!$K$6&amp;"|",AF395)),FALSE))),1,0)</f>
        <v>0</v>
      </c>
      <c r="W395">
        <f>IF(V395=1,SUM($V$2:V395),0)</f>
        <v>0</v>
      </c>
      <c r="X395" t="s">
        <v>1368</v>
      </c>
      <c r="Y395" t="s">
        <v>1369</v>
      </c>
      <c r="Z395" t="s">
        <v>867</v>
      </c>
      <c r="AA395" t="s">
        <v>62</v>
      </c>
      <c r="AB395" t="s">
        <v>1370</v>
      </c>
      <c r="AC395" t="s">
        <v>1371</v>
      </c>
      <c r="AD395" t="s">
        <v>1372</v>
      </c>
      <c r="AE395" t="s">
        <v>62</v>
      </c>
      <c r="AF395" t="s">
        <v>1373</v>
      </c>
    </row>
    <row r="396" spans="1:32" x14ac:dyDescent="0.35">
      <c r="A396" t="s">
        <v>163</v>
      </c>
      <c r="B396" t="s">
        <v>1277</v>
      </c>
      <c r="C396" t="s">
        <v>896</v>
      </c>
      <c r="D396" t="s">
        <v>897</v>
      </c>
      <c r="E396" t="s">
        <v>1278</v>
      </c>
      <c r="F396" t="s">
        <v>1359</v>
      </c>
      <c r="G396" t="s">
        <v>1360</v>
      </c>
      <c r="H396" t="s">
        <v>73</v>
      </c>
      <c r="I396" t="s">
        <v>857</v>
      </c>
      <c r="J396" t="s">
        <v>1361</v>
      </c>
      <c r="K396" t="s">
        <v>1382</v>
      </c>
      <c r="N396" t="s">
        <v>52</v>
      </c>
      <c r="O396" t="s">
        <v>52</v>
      </c>
      <c r="Q396" t="s">
        <v>1363</v>
      </c>
      <c r="R396" t="s">
        <v>1364</v>
      </c>
      <c r="S396" t="s">
        <v>1365</v>
      </c>
      <c r="T396" t="s">
        <v>1385</v>
      </c>
      <c r="U396" t="s">
        <v>1384</v>
      </c>
      <c r="V396">
        <f>IF(AND(SUM(IF('Consulta de contratos'!$K$1="",0,1),IF('Consulta de contratos'!$K$2="",0,1),IF('Consulta de contratos'!$K$3="",0,1),IF('Consulta de contratos'!$K$4="",0,1),IF('Consulta de contratos'!$K$5="",0,1),IF('Consulta de contratos'!$K$6="",0,1))&gt;0,OR('Consulta de contratos'!$K$1="",A396='Consulta de contratos'!$K$1),OR('Consulta de contratos'!$K$2="",I396='Consulta de contratos'!$K$2),OR('Consulta de contratos'!$K$3="",C396='Consulta de contratos'!$K$3),OR('Consulta de contratos'!$K$4="",D396='Consulta de contratos'!$K$4),OR('Consulta de contratos'!$K$5="",E396='Consulta de contratos'!$K$5),OR('Consulta de contratos'!$K$6="",IFERROR(ISNUMBER(SEARCH("|"&amp;'Consulta de contratos'!$K$6&amp;"|",AF396)),FALSE))),1,0)</f>
        <v>0</v>
      </c>
      <c r="W396">
        <f>IF(V396=1,SUM($V$2:V396),0)</f>
        <v>0</v>
      </c>
      <c r="X396" t="s">
        <v>1368</v>
      </c>
      <c r="Y396" t="s">
        <v>1369</v>
      </c>
      <c r="Z396" t="s">
        <v>867</v>
      </c>
      <c r="AA396" t="s">
        <v>62</v>
      </c>
      <c r="AB396" t="s">
        <v>1370</v>
      </c>
      <c r="AC396" t="s">
        <v>1371</v>
      </c>
      <c r="AD396" t="s">
        <v>1372</v>
      </c>
      <c r="AE396" t="s">
        <v>62</v>
      </c>
      <c r="AF396" t="s">
        <v>1373</v>
      </c>
    </row>
    <row r="397" spans="1:32" x14ac:dyDescent="0.35">
      <c r="A397" t="s">
        <v>177</v>
      </c>
      <c r="B397" t="s">
        <v>1277</v>
      </c>
      <c r="C397" t="s">
        <v>896</v>
      </c>
      <c r="D397" t="s">
        <v>897</v>
      </c>
      <c r="E397" t="s">
        <v>1278</v>
      </c>
      <c r="F397" t="s">
        <v>1359</v>
      </c>
      <c r="G397" t="s">
        <v>1360</v>
      </c>
      <c r="H397" t="s">
        <v>64</v>
      </c>
      <c r="I397" t="s">
        <v>857</v>
      </c>
      <c r="J397" t="s">
        <v>1361</v>
      </c>
      <c r="K397" t="s">
        <v>1386</v>
      </c>
      <c r="N397" t="s">
        <v>52</v>
      </c>
      <c r="O397" t="s">
        <v>52</v>
      </c>
      <c r="Q397" t="s">
        <v>1363</v>
      </c>
      <c r="R397" t="s">
        <v>1364</v>
      </c>
      <c r="S397" t="s">
        <v>1365</v>
      </c>
      <c r="T397" t="s">
        <v>1387</v>
      </c>
      <c r="U397" t="s">
        <v>1388</v>
      </c>
      <c r="V397">
        <f>IF(AND(SUM(IF('Consulta de contratos'!$K$1="",0,1),IF('Consulta de contratos'!$K$2="",0,1),IF('Consulta de contratos'!$K$3="",0,1),IF('Consulta de contratos'!$K$4="",0,1),IF('Consulta de contratos'!$K$5="",0,1),IF('Consulta de contratos'!$K$6="",0,1))&gt;0,OR('Consulta de contratos'!$K$1="",A397='Consulta de contratos'!$K$1),OR('Consulta de contratos'!$K$2="",I397='Consulta de contratos'!$K$2),OR('Consulta de contratos'!$K$3="",C397='Consulta de contratos'!$K$3),OR('Consulta de contratos'!$K$4="",D397='Consulta de contratos'!$K$4),OR('Consulta de contratos'!$K$5="",E397='Consulta de contratos'!$K$5),OR('Consulta de contratos'!$K$6="",IFERROR(ISNUMBER(SEARCH("|"&amp;'Consulta de contratos'!$K$6&amp;"|",AF397)),FALSE))),1,0)</f>
        <v>0</v>
      </c>
      <c r="W397">
        <f>IF(V397=1,SUM($V$2:V397),0)</f>
        <v>0</v>
      </c>
      <c r="X397" t="s">
        <v>1368</v>
      </c>
      <c r="Y397" t="s">
        <v>1369</v>
      </c>
      <c r="Z397" t="s">
        <v>867</v>
      </c>
      <c r="AA397" t="s">
        <v>62</v>
      </c>
      <c r="AB397" t="s">
        <v>1370</v>
      </c>
      <c r="AC397" t="s">
        <v>1371</v>
      </c>
      <c r="AD397" t="s">
        <v>1372</v>
      </c>
      <c r="AE397" t="s">
        <v>62</v>
      </c>
      <c r="AF397" t="s">
        <v>1373</v>
      </c>
    </row>
    <row r="398" spans="1:32" x14ac:dyDescent="0.35">
      <c r="A398" t="s">
        <v>184</v>
      </c>
      <c r="B398" t="s">
        <v>1277</v>
      </c>
      <c r="C398" t="s">
        <v>896</v>
      </c>
      <c r="D398" t="s">
        <v>897</v>
      </c>
      <c r="E398" t="s">
        <v>1278</v>
      </c>
      <c r="F398" t="s">
        <v>1359</v>
      </c>
      <c r="G398" t="s">
        <v>1360</v>
      </c>
      <c r="H398" t="s">
        <v>64</v>
      </c>
      <c r="I398" t="s">
        <v>857</v>
      </c>
      <c r="J398" t="s">
        <v>1361</v>
      </c>
      <c r="K398" t="s">
        <v>1386</v>
      </c>
      <c r="N398" t="s">
        <v>52</v>
      </c>
      <c r="O398" t="s">
        <v>52</v>
      </c>
      <c r="Q398" t="s">
        <v>1363</v>
      </c>
      <c r="R398" t="s">
        <v>1364</v>
      </c>
      <c r="S398" t="s">
        <v>1365</v>
      </c>
      <c r="T398" t="s">
        <v>1389</v>
      </c>
      <c r="U398" t="s">
        <v>1388</v>
      </c>
      <c r="V398">
        <f>IF(AND(SUM(IF('Consulta de contratos'!$K$1="",0,1),IF('Consulta de contratos'!$K$2="",0,1),IF('Consulta de contratos'!$K$3="",0,1),IF('Consulta de contratos'!$K$4="",0,1),IF('Consulta de contratos'!$K$5="",0,1),IF('Consulta de contratos'!$K$6="",0,1))&gt;0,OR('Consulta de contratos'!$K$1="",A398='Consulta de contratos'!$K$1),OR('Consulta de contratos'!$K$2="",I398='Consulta de contratos'!$K$2),OR('Consulta de contratos'!$K$3="",C398='Consulta de contratos'!$K$3),OR('Consulta de contratos'!$K$4="",D398='Consulta de contratos'!$K$4),OR('Consulta de contratos'!$K$5="",E398='Consulta de contratos'!$K$5),OR('Consulta de contratos'!$K$6="",IFERROR(ISNUMBER(SEARCH("|"&amp;'Consulta de contratos'!$K$6&amp;"|",AF398)),FALSE))),1,0)</f>
        <v>0</v>
      </c>
      <c r="W398">
        <f>IF(V398=1,SUM($V$2:V398),0)</f>
        <v>0</v>
      </c>
      <c r="X398" t="s">
        <v>1368</v>
      </c>
      <c r="Y398" t="s">
        <v>1369</v>
      </c>
      <c r="Z398" t="s">
        <v>867</v>
      </c>
      <c r="AA398" t="s">
        <v>62</v>
      </c>
      <c r="AB398" t="s">
        <v>1370</v>
      </c>
      <c r="AC398" t="s">
        <v>1371</v>
      </c>
      <c r="AD398" t="s">
        <v>1372</v>
      </c>
      <c r="AE398" t="s">
        <v>62</v>
      </c>
      <c r="AF398" t="s">
        <v>1373</v>
      </c>
    </row>
    <row r="399" spans="1:32" x14ac:dyDescent="0.35">
      <c r="A399" t="s">
        <v>191</v>
      </c>
      <c r="B399" t="s">
        <v>1277</v>
      </c>
      <c r="C399" t="s">
        <v>896</v>
      </c>
      <c r="D399" t="s">
        <v>897</v>
      </c>
      <c r="E399" t="s">
        <v>1278</v>
      </c>
      <c r="F399" t="s">
        <v>1359</v>
      </c>
      <c r="G399" t="s">
        <v>1360</v>
      </c>
      <c r="H399" t="s">
        <v>64</v>
      </c>
      <c r="I399" t="s">
        <v>857</v>
      </c>
      <c r="J399" t="s">
        <v>1361</v>
      </c>
      <c r="K399" t="s">
        <v>1386</v>
      </c>
      <c r="N399" t="s">
        <v>52</v>
      </c>
      <c r="O399" t="s">
        <v>52</v>
      </c>
      <c r="Q399" t="s">
        <v>1363</v>
      </c>
      <c r="R399" t="s">
        <v>1364</v>
      </c>
      <c r="S399" t="s">
        <v>1365</v>
      </c>
      <c r="T399" t="s">
        <v>1390</v>
      </c>
      <c r="U399" t="s">
        <v>1388</v>
      </c>
      <c r="V399">
        <f>IF(AND(SUM(IF('Consulta de contratos'!$K$1="",0,1),IF('Consulta de contratos'!$K$2="",0,1),IF('Consulta de contratos'!$K$3="",0,1),IF('Consulta de contratos'!$K$4="",0,1),IF('Consulta de contratos'!$K$5="",0,1),IF('Consulta de contratos'!$K$6="",0,1))&gt;0,OR('Consulta de contratos'!$K$1="",A399='Consulta de contratos'!$K$1),OR('Consulta de contratos'!$K$2="",I399='Consulta de contratos'!$K$2),OR('Consulta de contratos'!$K$3="",C399='Consulta de contratos'!$K$3),OR('Consulta de contratos'!$K$4="",D399='Consulta de contratos'!$K$4),OR('Consulta de contratos'!$K$5="",E399='Consulta de contratos'!$K$5),OR('Consulta de contratos'!$K$6="",IFERROR(ISNUMBER(SEARCH("|"&amp;'Consulta de contratos'!$K$6&amp;"|",AF399)),FALSE))),1,0)</f>
        <v>0</v>
      </c>
      <c r="W399">
        <f>IF(V399=1,SUM($V$2:V399),0)</f>
        <v>0</v>
      </c>
      <c r="X399" t="s">
        <v>1368</v>
      </c>
      <c r="Y399" t="s">
        <v>1369</v>
      </c>
      <c r="Z399" t="s">
        <v>867</v>
      </c>
      <c r="AA399" t="s">
        <v>62</v>
      </c>
      <c r="AB399" t="s">
        <v>1370</v>
      </c>
      <c r="AC399" t="s">
        <v>1371</v>
      </c>
      <c r="AD399" t="s">
        <v>1372</v>
      </c>
      <c r="AE399" t="s">
        <v>62</v>
      </c>
      <c r="AF399" t="s">
        <v>1373</v>
      </c>
    </row>
    <row r="400" spans="1:32" x14ac:dyDescent="0.35">
      <c r="A400" t="s">
        <v>226</v>
      </c>
      <c r="B400" t="s">
        <v>1277</v>
      </c>
      <c r="C400" t="s">
        <v>896</v>
      </c>
      <c r="D400" t="s">
        <v>897</v>
      </c>
      <c r="E400" t="s">
        <v>1278</v>
      </c>
      <c r="F400" t="s">
        <v>1359</v>
      </c>
      <c r="G400" t="s">
        <v>1360</v>
      </c>
      <c r="H400" t="s">
        <v>64</v>
      </c>
      <c r="I400" t="s">
        <v>857</v>
      </c>
      <c r="J400" t="s">
        <v>1361</v>
      </c>
      <c r="K400" t="s">
        <v>1386</v>
      </c>
      <c r="N400" t="s">
        <v>52</v>
      </c>
      <c r="O400" t="s">
        <v>52</v>
      </c>
      <c r="Q400" t="s">
        <v>1363</v>
      </c>
      <c r="R400" t="s">
        <v>1364</v>
      </c>
      <c r="S400" t="s">
        <v>1365</v>
      </c>
      <c r="T400" t="s">
        <v>1391</v>
      </c>
      <c r="U400" t="s">
        <v>1388</v>
      </c>
      <c r="V400">
        <f>IF(AND(SUM(IF('Consulta de contratos'!$K$1="",0,1),IF('Consulta de contratos'!$K$2="",0,1),IF('Consulta de contratos'!$K$3="",0,1),IF('Consulta de contratos'!$K$4="",0,1),IF('Consulta de contratos'!$K$5="",0,1),IF('Consulta de contratos'!$K$6="",0,1))&gt;0,OR('Consulta de contratos'!$K$1="",A400='Consulta de contratos'!$K$1),OR('Consulta de contratos'!$K$2="",I400='Consulta de contratos'!$K$2),OR('Consulta de contratos'!$K$3="",C400='Consulta de contratos'!$K$3),OR('Consulta de contratos'!$K$4="",D400='Consulta de contratos'!$K$4),OR('Consulta de contratos'!$K$5="",E400='Consulta de contratos'!$K$5),OR('Consulta de contratos'!$K$6="",IFERROR(ISNUMBER(SEARCH("|"&amp;'Consulta de contratos'!$K$6&amp;"|",AF400)),FALSE))),1,0)</f>
        <v>0</v>
      </c>
      <c r="W400">
        <f>IF(V400=1,SUM($V$2:V400),0)</f>
        <v>0</v>
      </c>
      <c r="X400" t="s">
        <v>1368</v>
      </c>
      <c r="Y400" t="s">
        <v>1369</v>
      </c>
      <c r="Z400" t="s">
        <v>867</v>
      </c>
      <c r="AA400" t="s">
        <v>62</v>
      </c>
      <c r="AB400" t="s">
        <v>1370</v>
      </c>
      <c r="AC400" t="s">
        <v>1371</v>
      </c>
      <c r="AD400" t="s">
        <v>1372</v>
      </c>
      <c r="AE400" t="s">
        <v>62</v>
      </c>
      <c r="AF400" t="s">
        <v>1373</v>
      </c>
    </row>
    <row r="401" spans="1:32" x14ac:dyDescent="0.35">
      <c r="A401" t="s">
        <v>198</v>
      </c>
      <c r="B401" t="s">
        <v>1277</v>
      </c>
      <c r="C401" t="s">
        <v>896</v>
      </c>
      <c r="D401" t="s">
        <v>897</v>
      </c>
      <c r="E401" t="s">
        <v>1278</v>
      </c>
      <c r="F401" t="s">
        <v>1359</v>
      </c>
      <c r="G401" t="s">
        <v>1360</v>
      </c>
      <c r="H401" t="s">
        <v>305</v>
      </c>
      <c r="I401" t="s">
        <v>857</v>
      </c>
      <c r="J401" t="s">
        <v>1361</v>
      </c>
      <c r="K401" t="s">
        <v>1392</v>
      </c>
      <c r="N401" t="s">
        <v>52</v>
      </c>
      <c r="O401" t="s">
        <v>52</v>
      </c>
      <c r="Q401" t="s">
        <v>1363</v>
      </c>
      <c r="R401" t="s">
        <v>1364</v>
      </c>
      <c r="S401" t="s">
        <v>1365</v>
      </c>
      <c r="T401" t="s">
        <v>1393</v>
      </c>
      <c r="U401" t="s">
        <v>1394</v>
      </c>
      <c r="V401">
        <f>IF(AND(SUM(IF('Consulta de contratos'!$K$1="",0,1),IF('Consulta de contratos'!$K$2="",0,1),IF('Consulta de contratos'!$K$3="",0,1),IF('Consulta de contratos'!$K$4="",0,1),IF('Consulta de contratos'!$K$5="",0,1),IF('Consulta de contratos'!$K$6="",0,1))&gt;0,OR('Consulta de contratos'!$K$1="",A401='Consulta de contratos'!$K$1),OR('Consulta de contratos'!$K$2="",I401='Consulta de contratos'!$K$2),OR('Consulta de contratos'!$K$3="",C401='Consulta de contratos'!$K$3),OR('Consulta de contratos'!$K$4="",D401='Consulta de contratos'!$K$4),OR('Consulta de contratos'!$K$5="",E401='Consulta de contratos'!$K$5),OR('Consulta de contratos'!$K$6="",IFERROR(ISNUMBER(SEARCH("|"&amp;'Consulta de contratos'!$K$6&amp;"|",AF401)),FALSE))),1,0)</f>
        <v>0</v>
      </c>
      <c r="W401">
        <f>IF(V401=1,SUM($V$2:V401),0)</f>
        <v>0</v>
      </c>
      <c r="X401" t="s">
        <v>1368</v>
      </c>
      <c r="Y401" t="s">
        <v>1369</v>
      </c>
      <c r="Z401" t="s">
        <v>867</v>
      </c>
      <c r="AA401" t="s">
        <v>62</v>
      </c>
      <c r="AB401" t="s">
        <v>1370</v>
      </c>
      <c r="AC401" t="s">
        <v>1371</v>
      </c>
      <c r="AD401" t="s">
        <v>1372</v>
      </c>
      <c r="AE401" t="s">
        <v>62</v>
      </c>
      <c r="AF401" t="s">
        <v>1373</v>
      </c>
    </row>
    <row r="402" spans="1:32" x14ac:dyDescent="0.35">
      <c r="A402" t="s">
        <v>205</v>
      </c>
      <c r="B402" t="s">
        <v>1277</v>
      </c>
      <c r="C402" t="s">
        <v>896</v>
      </c>
      <c r="D402" t="s">
        <v>897</v>
      </c>
      <c r="E402" t="s">
        <v>1278</v>
      </c>
      <c r="F402" t="s">
        <v>1359</v>
      </c>
      <c r="G402" t="s">
        <v>1360</v>
      </c>
      <c r="H402" t="s">
        <v>305</v>
      </c>
      <c r="I402" t="s">
        <v>857</v>
      </c>
      <c r="J402" t="s">
        <v>1361</v>
      </c>
      <c r="K402" t="s">
        <v>1392</v>
      </c>
      <c r="N402" t="s">
        <v>52</v>
      </c>
      <c r="O402" t="s">
        <v>52</v>
      </c>
      <c r="Q402" t="s">
        <v>1363</v>
      </c>
      <c r="R402" t="s">
        <v>1364</v>
      </c>
      <c r="S402" t="s">
        <v>1365</v>
      </c>
      <c r="T402" t="s">
        <v>1395</v>
      </c>
      <c r="U402" t="s">
        <v>1394</v>
      </c>
      <c r="V402">
        <f>IF(AND(SUM(IF('Consulta de contratos'!$K$1="",0,1),IF('Consulta de contratos'!$K$2="",0,1),IF('Consulta de contratos'!$K$3="",0,1),IF('Consulta de contratos'!$K$4="",0,1),IF('Consulta de contratos'!$K$5="",0,1),IF('Consulta de contratos'!$K$6="",0,1))&gt;0,OR('Consulta de contratos'!$K$1="",A402='Consulta de contratos'!$K$1),OR('Consulta de contratos'!$K$2="",I402='Consulta de contratos'!$K$2),OR('Consulta de contratos'!$K$3="",C402='Consulta de contratos'!$K$3),OR('Consulta de contratos'!$K$4="",D402='Consulta de contratos'!$K$4),OR('Consulta de contratos'!$K$5="",E402='Consulta de contratos'!$K$5),OR('Consulta de contratos'!$K$6="",IFERROR(ISNUMBER(SEARCH("|"&amp;'Consulta de contratos'!$K$6&amp;"|",AF402)),FALSE))),1,0)</f>
        <v>0</v>
      </c>
      <c r="W402">
        <f>IF(V402=1,SUM($V$2:V402),0)</f>
        <v>0</v>
      </c>
      <c r="X402" t="s">
        <v>1368</v>
      </c>
      <c r="Y402" t="s">
        <v>1369</v>
      </c>
      <c r="Z402" t="s">
        <v>867</v>
      </c>
      <c r="AA402" t="s">
        <v>62</v>
      </c>
      <c r="AB402" t="s">
        <v>1370</v>
      </c>
      <c r="AC402" t="s">
        <v>1371</v>
      </c>
      <c r="AD402" t="s">
        <v>1372</v>
      </c>
      <c r="AE402" t="s">
        <v>62</v>
      </c>
      <c r="AF402" t="s">
        <v>1373</v>
      </c>
    </row>
    <row r="403" spans="1:32" x14ac:dyDescent="0.35">
      <c r="A403" t="s">
        <v>233</v>
      </c>
      <c r="B403" t="s">
        <v>1277</v>
      </c>
      <c r="C403" t="s">
        <v>896</v>
      </c>
      <c r="D403" t="s">
        <v>897</v>
      </c>
      <c r="E403" t="s">
        <v>1278</v>
      </c>
      <c r="F403" t="s">
        <v>1359</v>
      </c>
      <c r="G403" t="s">
        <v>1360</v>
      </c>
      <c r="H403" t="s">
        <v>305</v>
      </c>
      <c r="I403" t="s">
        <v>857</v>
      </c>
      <c r="J403" t="s">
        <v>1361</v>
      </c>
      <c r="K403" t="s">
        <v>1392</v>
      </c>
      <c r="N403" t="s">
        <v>52</v>
      </c>
      <c r="O403" t="s">
        <v>52</v>
      </c>
      <c r="Q403" t="s">
        <v>1363</v>
      </c>
      <c r="R403" t="s">
        <v>1364</v>
      </c>
      <c r="S403" t="s">
        <v>1365</v>
      </c>
      <c r="T403" t="s">
        <v>1396</v>
      </c>
      <c r="U403" t="s">
        <v>1394</v>
      </c>
      <c r="V403">
        <f>IF(AND(SUM(IF('Consulta de contratos'!$K$1="",0,1),IF('Consulta de contratos'!$K$2="",0,1),IF('Consulta de contratos'!$K$3="",0,1),IF('Consulta de contratos'!$K$4="",0,1),IF('Consulta de contratos'!$K$5="",0,1),IF('Consulta de contratos'!$K$6="",0,1))&gt;0,OR('Consulta de contratos'!$K$1="",A403='Consulta de contratos'!$K$1),OR('Consulta de contratos'!$K$2="",I403='Consulta de contratos'!$K$2),OR('Consulta de contratos'!$K$3="",C403='Consulta de contratos'!$K$3),OR('Consulta de contratos'!$K$4="",D403='Consulta de contratos'!$K$4),OR('Consulta de contratos'!$K$5="",E403='Consulta de contratos'!$K$5),OR('Consulta de contratos'!$K$6="",IFERROR(ISNUMBER(SEARCH("|"&amp;'Consulta de contratos'!$K$6&amp;"|",AF403)),FALSE))),1,0)</f>
        <v>0</v>
      </c>
      <c r="W403">
        <f>IF(V403=1,SUM($V$2:V403),0)</f>
        <v>0</v>
      </c>
      <c r="X403" t="s">
        <v>1368</v>
      </c>
      <c r="Y403" t="s">
        <v>1369</v>
      </c>
      <c r="Z403" t="s">
        <v>867</v>
      </c>
      <c r="AA403" t="s">
        <v>62</v>
      </c>
      <c r="AB403" t="s">
        <v>1370</v>
      </c>
      <c r="AC403" t="s">
        <v>1371</v>
      </c>
      <c r="AD403" t="s">
        <v>1372</v>
      </c>
      <c r="AE403" t="s">
        <v>62</v>
      </c>
      <c r="AF403" t="s">
        <v>1373</v>
      </c>
    </row>
    <row r="404" spans="1:32" x14ac:dyDescent="0.35">
      <c r="A404" t="s">
        <v>240</v>
      </c>
      <c r="B404" t="s">
        <v>1277</v>
      </c>
      <c r="C404" t="s">
        <v>896</v>
      </c>
      <c r="D404" t="s">
        <v>897</v>
      </c>
      <c r="E404" t="s">
        <v>1278</v>
      </c>
      <c r="F404" t="s">
        <v>1359</v>
      </c>
      <c r="G404" t="s">
        <v>1360</v>
      </c>
      <c r="H404" t="s">
        <v>305</v>
      </c>
      <c r="I404" t="s">
        <v>857</v>
      </c>
      <c r="J404" t="s">
        <v>1361</v>
      </c>
      <c r="K404" t="s">
        <v>1392</v>
      </c>
      <c r="N404" t="s">
        <v>52</v>
      </c>
      <c r="O404" t="s">
        <v>52</v>
      </c>
      <c r="Q404" t="s">
        <v>1363</v>
      </c>
      <c r="R404" t="s">
        <v>1364</v>
      </c>
      <c r="S404" t="s">
        <v>1365</v>
      </c>
      <c r="T404" t="s">
        <v>1397</v>
      </c>
      <c r="U404" t="s">
        <v>1394</v>
      </c>
      <c r="V404">
        <f>IF(AND(SUM(IF('Consulta de contratos'!$K$1="",0,1),IF('Consulta de contratos'!$K$2="",0,1),IF('Consulta de contratos'!$K$3="",0,1),IF('Consulta de contratos'!$K$4="",0,1),IF('Consulta de contratos'!$K$5="",0,1),IF('Consulta de contratos'!$K$6="",0,1))&gt;0,OR('Consulta de contratos'!$K$1="",A404='Consulta de contratos'!$K$1),OR('Consulta de contratos'!$K$2="",I404='Consulta de contratos'!$K$2),OR('Consulta de contratos'!$K$3="",C404='Consulta de contratos'!$K$3),OR('Consulta de contratos'!$K$4="",D404='Consulta de contratos'!$K$4),OR('Consulta de contratos'!$K$5="",E404='Consulta de contratos'!$K$5),OR('Consulta de contratos'!$K$6="",IFERROR(ISNUMBER(SEARCH("|"&amp;'Consulta de contratos'!$K$6&amp;"|",AF404)),FALSE))),1,0)</f>
        <v>0</v>
      </c>
      <c r="W404">
        <f>IF(V404=1,SUM($V$2:V404),0)</f>
        <v>0</v>
      </c>
      <c r="X404" t="s">
        <v>1368</v>
      </c>
      <c r="Y404" t="s">
        <v>1369</v>
      </c>
      <c r="Z404" t="s">
        <v>867</v>
      </c>
      <c r="AA404" t="s">
        <v>62</v>
      </c>
      <c r="AB404" t="s">
        <v>1370</v>
      </c>
      <c r="AC404" t="s">
        <v>1371</v>
      </c>
      <c r="AD404" t="s">
        <v>1372</v>
      </c>
      <c r="AE404" t="s">
        <v>62</v>
      </c>
      <c r="AF404" t="s">
        <v>1373</v>
      </c>
    </row>
    <row r="405" spans="1:32" x14ac:dyDescent="0.35">
      <c r="A405" t="s">
        <v>212</v>
      </c>
      <c r="B405" t="s">
        <v>1277</v>
      </c>
      <c r="C405" t="s">
        <v>896</v>
      </c>
      <c r="D405" t="s">
        <v>897</v>
      </c>
      <c r="E405" t="s">
        <v>1278</v>
      </c>
      <c r="F405" t="s">
        <v>1359</v>
      </c>
      <c r="G405" t="s">
        <v>1360</v>
      </c>
      <c r="H405" t="s">
        <v>312</v>
      </c>
      <c r="I405" t="s">
        <v>857</v>
      </c>
      <c r="J405" t="s">
        <v>1361</v>
      </c>
      <c r="K405" t="s">
        <v>1398</v>
      </c>
      <c r="N405" t="s">
        <v>52</v>
      </c>
      <c r="O405" t="s">
        <v>52</v>
      </c>
      <c r="Q405" t="s">
        <v>1363</v>
      </c>
      <c r="R405" t="s">
        <v>1364</v>
      </c>
      <c r="S405" t="s">
        <v>1365</v>
      </c>
      <c r="T405" t="s">
        <v>1399</v>
      </c>
      <c r="U405" t="s">
        <v>1400</v>
      </c>
      <c r="V405">
        <f>IF(AND(SUM(IF('Consulta de contratos'!$K$1="",0,1),IF('Consulta de contratos'!$K$2="",0,1),IF('Consulta de contratos'!$K$3="",0,1),IF('Consulta de contratos'!$K$4="",0,1),IF('Consulta de contratos'!$K$5="",0,1),IF('Consulta de contratos'!$K$6="",0,1))&gt;0,OR('Consulta de contratos'!$K$1="",A405='Consulta de contratos'!$K$1),OR('Consulta de contratos'!$K$2="",I405='Consulta de contratos'!$K$2),OR('Consulta de contratos'!$K$3="",C405='Consulta de contratos'!$K$3),OR('Consulta de contratos'!$K$4="",D405='Consulta de contratos'!$K$4),OR('Consulta de contratos'!$K$5="",E405='Consulta de contratos'!$K$5),OR('Consulta de contratos'!$K$6="",IFERROR(ISNUMBER(SEARCH("|"&amp;'Consulta de contratos'!$K$6&amp;"|",AF405)),FALSE))),1,0)</f>
        <v>0</v>
      </c>
      <c r="W405">
        <f>IF(V405=1,SUM($V$2:V405),0)</f>
        <v>0</v>
      </c>
      <c r="X405" t="s">
        <v>1368</v>
      </c>
      <c r="Y405" t="s">
        <v>1369</v>
      </c>
      <c r="Z405" t="s">
        <v>867</v>
      </c>
      <c r="AA405" t="s">
        <v>62</v>
      </c>
      <c r="AB405" t="s">
        <v>1370</v>
      </c>
      <c r="AC405" t="s">
        <v>1371</v>
      </c>
      <c r="AD405" t="s">
        <v>1372</v>
      </c>
      <c r="AE405" t="s">
        <v>62</v>
      </c>
      <c r="AF405" t="s">
        <v>1373</v>
      </c>
    </row>
    <row r="406" spans="1:32" x14ac:dyDescent="0.35">
      <c r="A406" t="s">
        <v>219</v>
      </c>
      <c r="B406" t="s">
        <v>1277</v>
      </c>
      <c r="C406" t="s">
        <v>896</v>
      </c>
      <c r="D406" t="s">
        <v>897</v>
      </c>
      <c r="E406" t="s">
        <v>1278</v>
      </c>
      <c r="F406" t="s">
        <v>1359</v>
      </c>
      <c r="G406" t="s">
        <v>1360</v>
      </c>
      <c r="H406" t="s">
        <v>312</v>
      </c>
      <c r="I406" t="s">
        <v>857</v>
      </c>
      <c r="J406" t="s">
        <v>1361</v>
      </c>
      <c r="K406" t="s">
        <v>1398</v>
      </c>
      <c r="N406" t="s">
        <v>52</v>
      </c>
      <c r="O406" t="s">
        <v>52</v>
      </c>
      <c r="Q406" t="s">
        <v>1363</v>
      </c>
      <c r="R406" t="s">
        <v>1364</v>
      </c>
      <c r="S406" t="s">
        <v>1365</v>
      </c>
      <c r="T406" t="s">
        <v>1401</v>
      </c>
      <c r="U406" t="s">
        <v>1400</v>
      </c>
      <c r="V406">
        <f>IF(AND(SUM(IF('Consulta de contratos'!$K$1="",0,1),IF('Consulta de contratos'!$K$2="",0,1),IF('Consulta de contratos'!$K$3="",0,1),IF('Consulta de contratos'!$K$4="",0,1),IF('Consulta de contratos'!$K$5="",0,1),IF('Consulta de contratos'!$K$6="",0,1))&gt;0,OR('Consulta de contratos'!$K$1="",A406='Consulta de contratos'!$K$1),OR('Consulta de contratos'!$K$2="",I406='Consulta de contratos'!$K$2),OR('Consulta de contratos'!$K$3="",C406='Consulta de contratos'!$K$3),OR('Consulta de contratos'!$K$4="",D406='Consulta de contratos'!$K$4),OR('Consulta de contratos'!$K$5="",E406='Consulta de contratos'!$K$5),OR('Consulta de contratos'!$K$6="",IFERROR(ISNUMBER(SEARCH("|"&amp;'Consulta de contratos'!$K$6&amp;"|",AF406)),FALSE))),1,0)</f>
        <v>0</v>
      </c>
      <c r="W406">
        <f>IF(V406=1,SUM($V$2:V406),0)</f>
        <v>0</v>
      </c>
      <c r="X406" t="s">
        <v>1368</v>
      </c>
      <c r="Y406" t="s">
        <v>1369</v>
      </c>
      <c r="Z406" t="s">
        <v>867</v>
      </c>
      <c r="AA406" t="s">
        <v>62</v>
      </c>
      <c r="AB406" t="s">
        <v>1370</v>
      </c>
      <c r="AC406" t="s">
        <v>1371</v>
      </c>
      <c r="AD406" t="s">
        <v>1372</v>
      </c>
      <c r="AE406" t="s">
        <v>62</v>
      </c>
      <c r="AF406" t="s">
        <v>1373</v>
      </c>
    </row>
    <row r="407" spans="1:32" x14ac:dyDescent="0.35">
      <c r="A407" t="s">
        <v>247</v>
      </c>
      <c r="B407" t="s">
        <v>1277</v>
      </c>
      <c r="C407" t="s">
        <v>896</v>
      </c>
      <c r="D407" t="s">
        <v>897</v>
      </c>
      <c r="E407" t="s">
        <v>1278</v>
      </c>
      <c r="F407" t="s">
        <v>1359</v>
      </c>
      <c r="G407" t="s">
        <v>1360</v>
      </c>
      <c r="H407" t="s">
        <v>312</v>
      </c>
      <c r="I407" t="s">
        <v>857</v>
      </c>
      <c r="J407" t="s">
        <v>1361</v>
      </c>
      <c r="K407" t="s">
        <v>1398</v>
      </c>
      <c r="N407" t="s">
        <v>52</v>
      </c>
      <c r="O407" t="s">
        <v>52</v>
      </c>
      <c r="Q407" t="s">
        <v>1363</v>
      </c>
      <c r="R407" t="s">
        <v>1364</v>
      </c>
      <c r="S407" t="s">
        <v>1365</v>
      </c>
      <c r="T407" t="s">
        <v>1402</v>
      </c>
      <c r="U407" t="s">
        <v>1400</v>
      </c>
      <c r="V407">
        <f>IF(AND(SUM(IF('Consulta de contratos'!$K$1="",0,1),IF('Consulta de contratos'!$K$2="",0,1),IF('Consulta de contratos'!$K$3="",0,1),IF('Consulta de contratos'!$K$4="",0,1),IF('Consulta de contratos'!$K$5="",0,1),IF('Consulta de contratos'!$K$6="",0,1))&gt;0,OR('Consulta de contratos'!$K$1="",A407='Consulta de contratos'!$K$1),OR('Consulta de contratos'!$K$2="",I407='Consulta de contratos'!$K$2),OR('Consulta de contratos'!$K$3="",C407='Consulta de contratos'!$K$3),OR('Consulta de contratos'!$K$4="",D407='Consulta de contratos'!$K$4),OR('Consulta de contratos'!$K$5="",E407='Consulta de contratos'!$K$5),OR('Consulta de contratos'!$K$6="",IFERROR(ISNUMBER(SEARCH("|"&amp;'Consulta de contratos'!$K$6&amp;"|",AF407)),FALSE))),1,0)</f>
        <v>0</v>
      </c>
      <c r="W407">
        <f>IF(V407=1,SUM($V$2:V407),0)</f>
        <v>0</v>
      </c>
      <c r="X407" t="s">
        <v>1368</v>
      </c>
      <c r="Y407" t="s">
        <v>1369</v>
      </c>
      <c r="Z407" t="s">
        <v>867</v>
      </c>
      <c r="AA407" t="s">
        <v>62</v>
      </c>
      <c r="AB407" t="s">
        <v>1370</v>
      </c>
      <c r="AC407" t="s">
        <v>1371</v>
      </c>
      <c r="AD407" t="s">
        <v>1372</v>
      </c>
      <c r="AE407" t="s">
        <v>62</v>
      </c>
      <c r="AF407" t="s">
        <v>1373</v>
      </c>
    </row>
    <row r="408" spans="1:32" x14ac:dyDescent="0.35">
      <c r="A408" t="s">
        <v>254</v>
      </c>
      <c r="B408" t="s">
        <v>1277</v>
      </c>
      <c r="C408" t="s">
        <v>896</v>
      </c>
      <c r="D408" t="s">
        <v>897</v>
      </c>
      <c r="E408" t="s">
        <v>1278</v>
      </c>
      <c r="F408" t="s">
        <v>1359</v>
      </c>
      <c r="G408" t="s">
        <v>1360</v>
      </c>
      <c r="H408" t="s">
        <v>312</v>
      </c>
      <c r="I408" t="s">
        <v>857</v>
      </c>
      <c r="J408" t="s">
        <v>1361</v>
      </c>
      <c r="K408" t="s">
        <v>1398</v>
      </c>
      <c r="N408" t="s">
        <v>52</v>
      </c>
      <c r="O408" t="s">
        <v>52</v>
      </c>
      <c r="Q408" t="s">
        <v>1363</v>
      </c>
      <c r="R408" t="s">
        <v>1364</v>
      </c>
      <c r="S408" t="s">
        <v>1365</v>
      </c>
      <c r="T408" t="s">
        <v>1403</v>
      </c>
      <c r="U408" t="s">
        <v>1400</v>
      </c>
      <c r="V408">
        <f>IF(AND(SUM(IF('Consulta de contratos'!$K$1="",0,1),IF('Consulta de contratos'!$K$2="",0,1),IF('Consulta de contratos'!$K$3="",0,1),IF('Consulta de contratos'!$K$4="",0,1),IF('Consulta de contratos'!$K$5="",0,1),IF('Consulta de contratos'!$K$6="",0,1))&gt;0,OR('Consulta de contratos'!$K$1="",A408='Consulta de contratos'!$K$1),OR('Consulta de contratos'!$K$2="",I408='Consulta de contratos'!$K$2),OR('Consulta de contratos'!$K$3="",C408='Consulta de contratos'!$K$3),OR('Consulta de contratos'!$K$4="",D408='Consulta de contratos'!$K$4),OR('Consulta de contratos'!$K$5="",E408='Consulta de contratos'!$K$5),OR('Consulta de contratos'!$K$6="",IFERROR(ISNUMBER(SEARCH("|"&amp;'Consulta de contratos'!$K$6&amp;"|",AF408)),FALSE))),1,0)</f>
        <v>0</v>
      </c>
      <c r="W408">
        <f>IF(V408=1,SUM($V$2:V408),0)</f>
        <v>0</v>
      </c>
      <c r="X408" t="s">
        <v>1368</v>
      </c>
      <c r="Y408" t="s">
        <v>1369</v>
      </c>
      <c r="Z408" t="s">
        <v>867</v>
      </c>
      <c r="AA408" t="s">
        <v>62</v>
      </c>
      <c r="AB408" t="s">
        <v>1370</v>
      </c>
      <c r="AC408" t="s">
        <v>1371</v>
      </c>
      <c r="AD408" t="s">
        <v>1372</v>
      </c>
      <c r="AE408" t="s">
        <v>62</v>
      </c>
      <c r="AF408" t="s">
        <v>1373</v>
      </c>
    </row>
    <row r="409" spans="1:32" x14ac:dyDescent="0.35">
      <c r="A409" t="s">
        <v>40</v>
      </c>
      <c r="B409" t="s">
        <v>1404</v>
      </c>
      <c r="C409" t="s">
        <v>42</v>
      </c>
      <c r="D409" t="s">
        <v>43</v>
      </c>
      <c r="E409" t="s">
        <v>1405</v>
      </c>
      <c r="F409" t="s">
        <v>1406</v>
      </c>
      <c r="G409" t="s">
        <v>1407</v>
      </c>
      <c r="H409" t="s">
        <v>47</v>
      </c>
      <c r="I409" t="s">
        <v>857</v>
      </c>
      <c r="J409" t="s">
        <v>1408</v>
      </c>
      <c r="K409" t="s">
        <v>1409</v>
      </c>
      <c r="N409" t="s">
        <v>52</v>
      </c>
      <c r="O409" t="s">
        <v>52</v>
      </c>
      <c r="Q409" t="s">
        <v>1363</v>
      </c>
      <c r="R409" t="s">
        <v>1410</v>
      </c>
      <c r="S409" t="s">
        <v>1411</v>
      </c>
      <c r="T409" t="s">
        <v>1412</v>
      </c>
      <c r="U409" t="s">
        <v>1413</v>
      </c>
      <c r="V409">
        <f>IF(AND(SUM(IF('Consulta de contratos'!$K$1="",0,1),IF('Consulta de contratos'!$K$2="",0,1),IF('Consulta de contratos'!$K$3="",0,1),IF('Consulta de contratos'!$K$4="",0,1),IF('Consulta de contratos'!$K$5="",0,1),IF('Consulta de contratos'!$K$6="",0,1))&gt;0,OR('Consulta de contratos'!$K$1="",A409='Consulta de contratos'!$K$1),OR('Consulta de contratos'!$K$2="",I409='Consulta de contratos'!$K$2),OR('Consulta de contratos'!$K$3="",C409='Consulta de contratos'!$K$3),OR('Consulta de contratos'!$K$4="",D409='Consulta de contratos'!$K$4),OR('Consulta de contratos'!$K$5="",E409='Consulta de contratos'!$K$5),OR('Consulta de contratos'!$K$6="",IFERROR(ISNUMBER(SEARCH("|"&amp;'Consulta de contratos'!$K$6&amp;"|",AF409)),FALSE))),1,0)</f>
        <v>0</v>
      </c>
      <c r="W409">
        <f>IF(V409=1,SUM($V$2:V409),0)</f>
        <v>0</v>
      </c>
      <c r="X409" t="s">
        <v>1368</v>
      </c>
      <c r="Y409" t="s">
        <v>1369</v>
      </c>
      <c r="Z409" t="s">
        <v>867</v>
      </c>
      <c r="AA409" t="s">
        <v>62</v>
      </c>
      <c r="AB409" t="s">
        <v>1370</v>
      </c>
      <c r="AC409" t="s">
        <v>1371</v>
      </c>
      <c r="AD409" t="s">
        <v>1372</v>
      </c>
      <c r="AE409" t="s">
        <v>62</v>
      </c>
      <c r="AF409" t="s">
        <v>1373</v>
      </c>
    </row>
    <row r="410" spans="1:32" x14ac:dyDescent="0.35">
      <c r="A410" t="s">
        <v>116</v>
      </c>
      <c r="B410" t="s">
        <v>1404</v>
      </c>
      <c r="C410" t="s">
        <v>42</v>
      </c>
      <c r="D410" t="s">
        <v>43</v>
      </c>
      <c r="E410" t="s">
        <v>1405</v>
      </c>
      <c r="F410" t="s">
        <v>1406</v>
      </c>
      <c r="G410" t="s">
        <v>1407</v>
      </c>
      <c r="H410" t="s">
        <v>47</v>
      </c>
      <c r="I410" t="s">
        <v>857</v>
      </c>
      <c r="J410" t="s">
        <v>1408</v>
      </c>
      <c r="K410" t="s">
        <v>1409</v>
      </c>
      <c r="N410" t="s">
        <v>52</v>
      </c>
      <c r="O410" t="s">
        <v>52</v>
      </c>
      <c r="Q410" t="s">
        <v>1363</v>
      </c>
      <c r="R410" t="s">
        <v>1410</v>
      </c>
      <c r="S410" t="s">
        <v>1411</v>
      </c>
      <c r="T410" t="s">
        <v>1414</v>
      </c>
      <c r="U410" t="s">
        <v>1413</v>
      </c>
      <c r="V410">
        <f>IF(AND(SUM(IF('Consulta de contratos'!$K$1="",0,1),IF('Consulta de contratos'!$K$2="",0,1),IF('Consulta de contratos'!$K$3="",0,1),IF('Consulta de contratos'!$K$4="",0,1),IF('Consulta de contratos'!$K$5="",0,1),IF('Consulta de contratos'!$K$6="",0,1))&gt;0,OR('Consulta de contratos'!$K$1="",A410='Consulta de contratos'!$K$1),OR('Consulta de contratos'!$K$2="",I410='Consulta de contratos'!$K$2),OR('Consulta de contratos'!$K$3="",C410='Consulta de contratos'!$K$3),OR('Consulta de contratos'!$K$4="",D410='Consulta de contratos'!$K$4),OR('Consulta de contratos'!$K$5="",E410='Consulta de contratos'!$K$5),OR('Consulta de contratos'!$K$6="",IFERROR(ISNUMBER(SEARCH("|"&amp;'Consulta de contratos'!$K$6&amp;"|",AF410)),FALSE))),1,0)</f>
        <v>0</v>
      </c>
      <c r="W410">
        <f>IF(V410=1,SUM($V$2:V410),0)</f>
        <v>0</v>
      </c>
      <c r="X410" t="s">
        <v>1368</v>
      </c>
      <c r="Y410" t="s">
        <v>1369</v>
      </c>
      <c r="Z410" t="s">
        <v>867</v>
      </c>
      <c r="AA410" t="s">
        <v>62</v>
      </c>
      <c r="AB410" t="s">
        <v>1370</v>
      </c>
      <c r="AC410" t="s">
        <v>1371</v>
      </c>
      <c r="AD410" t="s">
        <v>1372</v>
      </c>
      <c r="AE410" t="s">
        <v>62</v>
      </c>
      <c r="AF410" t="s">
        <v>1373</v>
      </c>
    </row>
    <row r="411" spans="1:32" x14ac:dyDescent="0.35">
      <c r="A411" t="s">
        <v>156</v>
      </c>
      <c r="B411" t="s">
        <v>1404</v>
      </c>
      <c r="C411" t="s">
        <v>42</v>
      </c>
      <c r="D411" t="s">
        <v>43</v>
      </c>
      <c r="E411" t="s">
        <v>1405</v>
      </c>
      <c r="F411" t="s">
        <v>1406</v>
      </c>
      <c r="G411" t="s">
        <v>1407</v>
      </c>
      <c r="H411" t="s">
        <v>47</v>
      </c>
      <c r="I411" t="s">
        <v>857</v>
      </c>
      <c r="J411" t="s">
        <v>1408</v>
      </c>
      <c r="K411" t="s">
        <v>1409</v>
      </c>
      <c r="N411" t="s">
        <v>52</v>
      </c>
      <c r="O411" t="s">
        <v>52</v>
      </c>
      <c r="Q411" t="s">
        <v>1363</v>
      </c>
      <c r="R411" t="s">
        <v>1410</v>
      </c>
      <c r="S411" t="s">
        <v>1411</v>
      </c>
      <c r="T411" t="s">
        <v>1415</v>
      </c>
      <c r="U411" t="s">
        <v>1413</v>
      </c>
      <c r="V411">
        <f>IF(AND(SUM(IF('Consulta de contratos'!$K$1="",0,1),IF('Consulta de contratos'!$K$2="",0,1),IF('Consulta de contratos'!$K$3="",0,1),IF('Consulta de contratos'!$K$4="",0,1),IF('Consulta de contratos'!$K$5="",0,1),IF('Consulta de contratos'!$K$6="",0,1))&gt;0,OR('Consulta de contratos'!$K$1="",A411='Consulta de contratos'!$K$1),OR('Consulta de contratos'!$K$2="",I411='Consulta de contratos'!$K$2),OR('Consulta de contratos'!$K$3="",C411='Consulta de contratos'!$K$3),OR('Consulta de contratos'!$K$4="",D411='Consulta de contratos'!$K$4),OR('Consulta de contratos'!$K$5="",E411='Consulta de contratos'!$K$5),OR('Consulta de contratos'!$K$6="",IFERROR(ISNUMBER(SEARCH("|"&amp;'Consulta de contratos'!$K$6&amp;"|",AF411)),FALSE))),1,0)</f>
        <v>0</v>
      </c>
      <c r="W411">
        <f>IF(V411=1,SUM($V$2:V411),0)</f>
        <v>0</v>
      </c>
      <c r="X411" t="s">
        <v>1368</v>
      </c>
      <c r="Y411" t="s">
        <v>1369</v>
      </c>
      <c r="Z411" t="s">
        <v>867</v>
      </c>
      <c r="AA411" t="s">
        <v>62</v>
      </c>
      <c r="AB411" t="s">
        <v>1370</v>
      </c>
      <c r="AC411" t="s">
        <v>1371</v>
      </c>
      <c r="AD411" t="s">
        <v>1372</v>
      </c>
      <c r="AE411" t="s">
        <v>62</v>
      </c>
      <c r="AF411" t="s">
        <v>1373</v>
      </c>
    </row>
    <row r="412" spans="1:32" x14ac:dyDescent="0.35">
      <c r="A412" t="s">
        <v>149</v>
      </c>
      <c r="B412" t="s">
        <v>1404</v>
      </c>
      <c r="C412" t="s">
        <v>42</v>
      </c>
      <c r="D412" t="s">
        <v>43</v>
      </c>
      <c r="E412" t="s">
        <v>1405</v>
      </c>
      <c r="F412" t="s">
        <v>1406</v>
      </c>
      <c r="G412" t="s">
        <v>1407</v>
      </c>
      <c r="H412" t="s">
        <v>47</v>
      </c>
      <c r="I412" t="s">
        <v>857</v>
      </c>
      <c r="J412" t="s">
        <v>1408</v>
      </c>
      <c r="K412" t="s">
        <v>1409</v>
      </c>
      <c r="N412" t="s">
        <v>52</v>
      </c>
      <c r="O412" t="s">
        <v>52</v>
      </c>
      <c r="Q412" t="s">
        <v>1363</v>
      </c>
      <c r="R412" t="s">
        <v>1410</v>
      </c>
      <c r="S412" t="s">
        <v>1411</v>
      </c>
      <c r="T412" t="s">
        <v>1416</v>
      </c>
      <c r="U412" t="s">
        <v>1413</v>
      </c>
      <c r="V412">
        <f>IF(AND(SUM(IF('Consulta de contratos'!$K$1="",0,1),IF('Consulta de contratos'!$K$2="",0,1),IF('Consulta de contratos'!$K$3="",0,1),IF('Consulta de contratos'!$K$4="",0,1),IF('Consulta de contratos'!$K$5="",0,1),IF('Consulta de contratos'!$K$6="",0,1))&gt;0,OR('Consulta de contratos'!$K$1="",A412='Consulta de contratos'!$K$1),OR('Consulta de contratos'!$K$2="",I412='Consulta de contratos'!$K$2),OR('Consulta de contratos'!$K$3="",C412='Consulta de contratos'!$K$3),OR('Consulta de contratos'!$K$4="",D412='Consulta de contratos'!$K$4),OR('Consulta de contratos'!$K$5="",E412='Consulta de contratos'!$K$5),OR('Consulta de contratos'!$K$6="",IFERROR(ISNUMBER(SEARCH("|"&amp;'Consulta de contratos'!$K$6&amp;"|",AF412)),FALSE))),1,0)</f>
        <v>0</v>
      </c>
      <c r="W412">
        <f>IF(V412=1,SUM($V$2:V412),0)</f>
        <v>0</v>
      </c>
      <c r="X412" t="s">
        <v>1368</v>
      </c>
      <c r="Y412" t="s">
        <v>1369</v>
      </c>
      <c r="Z412" t="s">
        <v>867</v>
      </c>
      <c r="AA412" t="s">
        <v>62</v>
      </c>
      <c r="AB412" t="s">
        <v>1370</v>
      </c>
      <c r="AC412" t="s">
        <v>1371</v>
      </c>
      <c r="AD412" t="s">
        <v>1372</v>
      </c>
      <c r="AE412" t="s">
        <v>62</v>
      </c>
      <c r="AF412" t="s">
        <v>1373</v>
      </c>
    </row>
    <row r="413" spans="1:32" x14ac:dyDescent="0.35">
      <c r="A413" t="s">
        <v>123</v>
      </c>
      <c r="B413" t="s">
        <v>1404</v>
      </c>
      <c r="C413" t="s">
        <v>42</v>
      </c>
      <c r="D413" t="s">
        <v>43</v>
      </c>
      <c r="E413" t="s">
        <v>1405</v>
      </c>
      <c r="F413" t="s">
        <v>1406</v>
      </c>
      <c r="G413" t="s">
        <v>1407</v>
      </c>
      <c r="H413" t="s">
        <v>47</v>
      </c>
      <c r="I413" t="s">
        <v>857</v>
      </c>
      <c r="J413" t="s">
        <v>1408</v>
      </c>
      <c r="K413" t="s">
        <v>1409</v>
      </c>
      <c r="N413" t="s">
        <v>52</v>
      </c>
      <c r="O413" t="s">
        <v>52</v>
      </c>
      <c r="Q413" t="s">
        <v>1363</v>
      </c>
      <c r="R413" t="s">
        <v>1410</v>
      </c>
      <c r="S413" t="s">
        <v>1411</v>
      </c>
      <c r="T413" t="s">
        <v>1417</v>
      </c>
      <c r="U413" t="s">
        <v>1413</v>
      </c>
      <c r="V413">
        <f>IF(AND(SUM(IF('Consulta de contratos'!$K$1="",0,1),IF('Consulta de contratos'!$K$2="",0,1),IF('Consulta de contratos'!$K$3="",0,1),IF('Consulta de contratos'!$K$4="",0,1),IF('Consulta de contratos'!$K$5="",0,1),IF('Consulta de contratos'!$K$6="",0,1))&gt;0,OR('Consulta de contratos'!$K$1="",A413='Consulta de contratos'!$K$1),OR('Consulta de contratos'!$K$2="",I413='Consulta de contratos'!$K$2),OR('Consulta de contratos'!$K$3="",C413='Consulta de contratos'!$K$3),OR('Consulta de contratos'!$K$4="",D413='Consulta de contratos'!$K$4),OR('Consulta de contratos'!$K$5="",E413='Consulta de contratos'!$K$5),OR('Consulta de contratos'!$K$6="",IFERROR(ISNUMBER(SEARCH("|"&amp;'Consulta de contratos'!$K$6&amp;"|",AF413)),FALSE))),1,0)</f>
        <v>0</v>
      </c>
      <c r="W413">
        <f>IF(V413=1,SUM($V$2:V413),0)</f>
        <v>0</v>
      </c>
      <c r="X413" t="s">
        <v>1368</v>
      </c>
      <c r="Y413" t="s">
        <v>1369</v>
      </c>
      <c r="Z413" t="s">
        <v>867</v>
      </c>
      <c r="AA413" t="s">
        <v>62</v>
      </c>
      <c r="AB413" t="s">
        <v>1370</v>
      </c>
      <c r="AC413" t="s">
        <v>1371</v>
      </c>
      <c r="AD413" t="s">
        <v>1372</v>
      </c>
      <c r="AE413" t="s">
        <v>62</v>
      </c>
      <c r="AF413" t="s">
        <v>1373</v>
      </c>
    </row>
    <row r="414" spans="1:32" x14ac:dyDescent="0.35">
      <c r="A414" t="s">
        <v>135</v>
      </c>
      <c r="B414" t="s">
        <v>1404</v>
      </c>
      <c r="C414" t="s">
        <v>42</v>
      </c>
      <c r="D414" t="s">
        <v>43</v>
      </c>
      <c r="E414" t="s">
        <v>1405</v>
      </c>
      <c r="F414" t="s">
        <v>1406</v>
      </c>
      <c r="G414" t="s">
        <v>1407</v>
      </c>
      <c r="H414" t="s">
        <v>47</v>
      </c>
      <c r="I414" t="s">
        <v>857</v>
      </c>
      <c r="J414" t="s">
        <v>1408</v>
      </c>
      <c r="K414" t="s">
        <v>1409</v>
      </c>
      <c r="N414" t="s">
        <v>52</v>
      </c>
      <c r="O414" t="s">
        <v>52</v>
      </c>
      <c r="Q414" t="s">
        <v>1363</v>
      </c>
      <c r="R414" t="s">
        <v>1410</v>
      </c>
      <c r="S414" t="s">
        <v>1411</v>
      </c>
      <c r="T414" t="s">
        <v>1418</v>
      </c>
      <c r="U414" t="s">
        <v>1413</v>
      </c>
      <c r="V414">
        <f>IF(AND(SUM(IF('Consulta de contratos'!$K$1="",0,1),IF('Consulta de contratos'!$K$2="",0,1),IF('Consulta de contratos'!$K$3="",0,1),IF('Consulta de contratos'!$K$4="",0,1),IF('Consulta de contratos'!$K$5="",0,1),IF('Consulta de contratos'!$K$6="",0,1))&gt;0,OR('Consulta de contratos'!$K$1="",A414='Consulta de contratos'!$K$1),OR('Consulta de contratos'!$K$2="",I414='Consulta de contratos'!$K$2),OR('Consulta de contratos'!$K$3="",C414='Consulta de contratos'!$K$3),OR('Consulta de contratos'!$K$4="",D414='Consulta de contratos'!$K$4),OR('Consulta de contratos'!$K$5="",E414='Consulta de contratos'!$K$5),OR('Consulta de contratos'!$K$6="",IFERROR(ISNUMBER(SEARCH("|"&amp;'Consulta de contratos'!$K$6&amp;"|",AF414)),FALSE))),1,0)</f>
        <v>0</v>
      </c>
      <c r="W414">
        <f>IF(V414=1,SUM($V$2:V414),0)</f>
        <v>0</v>
      </c>
      <c r="X414" t="s">
        <v>1368</v>
      </c>
      <c r="Y414" t="s">
        <v>1369</v>
      </c>
      <c r="Z414" t="s">
        <v>867</v>
      </c>
      <c r="AA414" t="s">
        <v>62</v>
      </c>
      <c r="AB414" t="s">
        <v>1370</v>
      </c>
      <c r="AC414" t="s">
        <v>1371</v>
      </c>
      <c r="AD414" t="s">
        <v>1372</v>
      </c>
      <c r="AE414" t="s">
        <v>62</v>
      </c>
      <c r="AF414" t="s">
        <v>1373</v>
      </c>
    </row>
    <row r="415" spans="1:32" x14ac:dyDescent="0.35">
      <c r="A415" t="s">
        <v>142</v>
      </c>
      <c r="B415" t="s">
        <v>1404</v>
      </c>
      <c r="C415" t="s">
        <v>42</v>
      </c>
      <c r="D415" t="s">
        <v>43</v>
      </c>
      <c r="E415" t="s">
        <v>1405</v>
      </c>
      <c r="F415" t="s">
        <v>1406</v>
      </c>
      <c r="G415" t="s">
        <v>1407</v>
      </c>
      <c r="H415" t="s">
        <v>47</v>
      </c>
      <c r="I415" t="s">
        <v>857</v>
      </c>
      <c r="J415" t="s">
        <v>1408</v>
      </c>
      <c r="K415" t="s">
        <v>1409</v>
      </c>
      <c r="N415" t="s">
        <v>52</v>
      </c>
      <c r="O415" t="s">
        <v>52</v>
      </c>
      <c r="Q415" t="s">
        <v>1363</v>
      </c>
      <c r="R415" t="s">
        <v>1410</v>
      </c>
      <c r="S415" t="s">
        <v>1411</v>
      </c>
      <c r="T415" t="s">
        <v>1419</v>
      </c>
      <c r="U415" t="s">
        <v>1413</v>
      </c>
      <c r="V415">
        <f>IF(AND(SUM(IF('Consulta de contratos'!$K$1="",0,1),IF('Consulta de contratos'!$K$2="",0,1),IF('Consulta de contratos'!$K$3="",0,1),IF('Consulta de contratos'!$K$4="",0,1),IF('Consulta de contratos'!$K$5="",0,1),IF('Consulta de contratos'!$K$6="",0,1))&gt;0,OR('Consulta de contratos'!$K$1="",A415='Consulta de contratos'!$K$1),OR('Consulta de contratos'!$K$2="",I415='Consulta de contratos'!$K$2),OR('Consulta de contratos'!$K$3="",C415='Consulta de contratos'!$K$3),OR('Consulta de contratos'!$K$4="",D415='Consulta de contratos'!$K$4),OR('Consulta de contratos'!$K$5="",E415='Consulta de contratos'!$K$5),OR('Consulta de contratos'!$K$6="",IFERROR(ISNUMBER(SEARCH("|"&amp;'Consulta de contratos'!$K$6&amp;"|",AF415)),FALSE))),1,0)</f>
        <v>0</v>
      </c>
      <c r="W415">
        <f>IF(V415=1,SUM($V$2:V415),0)</f>
        <v>0</v>
      </c>
      <c r="X415" t="s">
        <v>1368</v>
      </c>
      <c r="Y415" t="s">
        <v>1369</v>
      </c>
      <c r="Z415" t="s">
        <v>867</v>
      </c>
      <c r="AA415" t="s">
        <v>62</v>
      </c>
      <c r="AB415" t="s">
        <v>1370</v>
      </c>
      <c r="AC415" t="s">
        <v>1371</v>
      </c>
      <c r="AD415" t="s">
        <v>1372</v>
      </c>
      <c r="AE415" t="s">
        <v>62</v>
      </c>
      <c r="AF415" t="s">
        <v>1373</v>
      </c>
    </row>
    <row r="416" spans="1:32" x14ac:dyDescent="0.35">
      <c r="A416" t="s">
        <v>212</v>
      </c>
      <c r="B416" t="s">
        <v>1404</v>
      </c>
      <c r="C416" t="s">
        <v>42</v>
      </c>
      <c r="D416" t="s">
        <v>43</v>
      </c>
      <c r="E416" t="s">
        <v>1405</v>
      </c>
      <c r="F416" t="s">
        <v>1406</v>
      </c>
      <c r="G416" t="s">
        <v>1407</v>
      </c>
      <c r="H416" t="s">
        <v>124</v>
      </c>
      <c r="I416" t="s">
        <v>857</v>
      </c>
      <c r="J416" t="s">
        <v>1408</v>
      </c>
      <c r="K416" t="s">
        <v>1420</v>
      </c>
      <c r="N416" t="s">
        <v>52</v>
      </c>
      <c r="O416" t="s">
        <v>52</v>
      </c>
      <c r="Q416" t="s">
        <v>1363</v>
      </c>
      <c r="R416" t="s">
        <v>1410</v>
      </c>
      <c r="S416" t="s">
        <v>1411</v>
      </c>
      <c r="T416" t="s">
        <v>1421</v>
      </c>
      <c r="U416" t="s">
        <v>1422</v>
      </c>
      <c r="V416">
        <f>IF(AND(SUM(IF('Consulta de contratos'!$K$1="",0,1),IF('Consulta de contratos'!$K$2="",0,1),IF('Consulta de contratos'!$K$3="",0,1),IF('Consulta de contratos'!$K$4="",0,1),IF('Consulta de contratos'!$K$5="",0,1),IF('Consulta de contratos'!$K$6="",0,1))&gt;0,OR('Consulta de contratos'!$K$1="",A416='Consulta de contratos'!$K$1),OR('Consulta de contratos'!$K$2="",I416='Consulta de contratos'!$K$2),OR('Consulta de contratos'!$K$3="",C416='Consulta de contratos'!$K$3),OR('Consulta de contratos'!$K$4="",D416='Consulta de contratos'!$K$4),OR('Consulta de contratos'!$K$5="",E416='Consulta de contratos'!$K$5),OR('Consulta de contratos'!$K$6="",IFERROR(ISNUMBER(SEARCH("|"&amp;'Consulta de contratos'!$K$6&amp;"|",AF416)),FALSE))),1,0)</f>
        <v>0</v>
      </c>
      <c r="W416">
        <f>IF(V416=1,SUM($V$2:V416),0)</f>
        <v>0</v>
      </c>
      <c r="X416" t="s">
        <v>1368</v>
      </c>
      <c r="Y416" t="s">
        <v>1369</v>
      </c>
      <c r="Z416" t="s">
        <v>867</v>
      </c>
      <c r="AA416" t="s">
        <v>62</v>
      </c>
      <c r="AB416" t="s">
        <v>1370</v>
      </c>
      <c r="AC416" t="s">
        <v>1371</v>
      </c>
      <c r="AD416" t="s">
        <v>1372</v>
      </c>
      <c r="AE416" t="s">
        <v>62</v>
      </c>
      <c r="AF416" t="s">
        <v>1373</v>
      </c>
    </row>
    <row r="417" spans="1:32" x14ac:dyDescent="0.35">
      <c r="A417" t="s">
        <v>247</v>
      </c>
      <c r="B417" t="s">
        <v>1404</v>
      </c>
      <c r="C417" t="s">
        <v>42</v>
      </c>
      <c r="D417" t="s">
        <v>43</v>
      </c>
      <c r="E417" t="s">
        <v>1405</v>
      </c>
      <c r="F417" t="s">
        <v>1406</v>
      </c>
      <c r="G417" t="s">
        <v>1407</v>
      </c>
      <c r="H417" t="s">
        <v>124</v>
      </c>
      <c r="I417" t="s">
        <v>857</v>
      </c>
      <c r="J417" t="s">
        <v>1408</v>
      </c>
      <c r="K417" t="s">
        <v>1420</v>
      </c>
      <c r="N417" t="s">
        <v>52</v>
      </c>
      <c r="O417" t="s">
        <v>52</v>
      </c>
      <c r="Q417" t="s">
        <v>1363</v>
      </c>
      <c r="R417" t="s">
        <v>1410</v>
      </c>
      <c r="S417" t="s">
        <v>1411</v>
      </c>
      <c r="T417" t="s">
        <v>1423</v>
      </c>
      <c r="U417" t="s">
        <v>1422</v>
      </c>
      <c r="V417">
        <f>IF(AND(SUM(IF('Consulta de contratos'!$K$1="",0,1),IF('Consulta de contratos'!$K$2="",0,1),IF('Consulta de contratos'!$K$3="",0,1),IF('Consulta de contratos'!$K$4="",0,1),IF('Consulta de contratos'!$K$5="",0,1),IF('Consulta de contratos'!$K$6="",0,1))&gt;0,OR('Consulta de contratos'!$K$1="",A417='Consulta de contratos'!$K$1),OR('Consulta de contratos'!$K$2="",I417='Consulta de contratos'!$K$2),OR('Consulta de contratos'!$K$3="",C417='Consulta de contratos'!$K$3),OR('Consulta de contratos'!$K$4="",D417='Consulta de contratos'!$K$4),OR('Consulta de contratos'!$K$5="",E417='Consulta de contratos'!$K$5),OR('Consulta de contratos'!$K$6="",IFERROR(ISNUMBER(SEARCH("|"&amp;'Consulta de contratos'!$K$6&amp;"|",AF417)),FALSE))),1,0)</f>
        <v>0</v>
      </c>
      <c r="W417">
        <f>IF(V417=1,SUM($V$2:V417),0)</f>
        <v>0</v>
      </c>
      <c r="X417" t="s">
        <v>1368</v>
      </c>
      <c r="Y417" t="s">
        <v>1369</v>
      </c>
      <c r="Z417" t="s">
        <v>867</v>
      </c>
      <c r="AA417" t="s">
        <v>62</v>
      </c>
      <c r="AB417" t="s">
        <v>1370</v>
      </c>
      <c r="AC417" t="s">
        <v>1371</v>
      </c>
      <c r="AD417" t="s">
        <v>1372</v>
      </c>
      <c r="AE417" t="s">
        <v>62</v>
      </c>
      <c r="AF417" t="s">
        <v>1373</v>
      </c>
    </row>
    <row r="418" spans="1:32" x14ac:dyDescent="0.35">
      <c r="A418" t="s">
        <v>219</v>
      </c>
      <c r="B418" t="s">
        <v>1404</v>
      </c>
      <c r="C418" t="s">
        <v>42</v>
      </c>
      <c r="D418" t="s">
        <v>43</v>
      </c>
      <c r="E418" t="s">
        <v>1405</v>
      </c>
      <c r="F418" t="s">
        <v>1406</v>
      </c>
      <c r="G418" t="s">
        <v>1407</v>
      </c>
      <c r="H418" t="s">
        <v>124</v>
      </c>
      <c r="I418" t="s">
        <v>857</v>
      </c>
      <c r="J418" t="s">
        <v>1408</v>
      </c>
      <c r="K418" t="s">
        <v>1420</v>
      </c>
      <c r="N418" t="s">
        <v>52</v>
      </c>
      <c r="O418" t="s">
        <v>52</v>
      </c>
      <c r="Q418" t="s">
        <v>1363</v>
      </c>
      <c r="R418" t="s">
        <v>1410</v>
      </c>
      <c r="S418" t="s">
        <v>1411</v>
      </c>
      <c r="T418" t="s">
        <v>1424</v>
      </c>
      <c r="U418" t="s">
        <v>1422</v>
      </c>
      <c r="V418">
        <f>IF(AND(SUM(IF('Consulta de contratos'!$K$1="",0,1),IF('Consulta de contratos'!$K$2="",0,1),IF('Consulta de contratos'!$K$3="",0,1),IF('Consulta de contratos'!$K$4="",0,1),IF('Consulta de contratos'!$K$5="",0,1),IF('Consulta de contratos'!$K$6="",0,1))&gt;0,OR('Consulta de contratos'!$K$1="",A418='Consulta de contratos'!$K$1),OR('Consulta de contratos'!$K$2="",I418='Consulta de contratos'!$K$2),OR('Consulta de contratos'!$K$3="",C418='Consulta de contratos'!$K$3),OR('Consulta de contratos'!$K$4="",D418='Consulta de contratos'!$K$4),OR('Consulta de contratos'!$K$5="",E418='Consulta de contratos'!$K$5),OR('Consulta de contratos'!$K$6="",IFERROR(ISNUMBER(SEARCH("|"&amp;'Consulta de contratos'!$K$6&amp;"|",AF418)),FALSE))),1,0)</f>
        <v>0</v>
      </c>
      <c r="W418">
        <f>IF(V418=1,SUM($V$2:V418),0)</f>
        <v>0</v>
      </c>
      <c r="X418" t="s">
        <v>1368</v>
      </c>
      <c r="Y418" t="s">
        <v>1369</v>
      </c>
      <c r="Z418" t="s">
        <v>867</v>
      </c>
      <c r="AA418" t="s">
        <v>62</v>
      </c>
      <c r="AB418" t="s">
        <v>1370</v>
      </c>
      <c r="AC418" t="s">
        <v>1371</v>
      </c>
      <c r="AD418" t="s">
        <v>1372</v>
      </c>
      <c r="AE418" t="s">
        <v>62</v>
      </c>
      <c r="AF418" t="s">
        <v>1373</v>
      </c>
    </row>
    <row r="419" spans="1:32" x14ac:dyDescent="0.35">
      <c r="A419" t="s">
        <v>254</v>
      </c>
      <c r="B419" t="s">
        <v>1404</v>
      </c>
      <c r="C419" t="s">
        <v>42</v>
      </c>
      <c r="D419" t="s">
        <v>43</v>
      </c>
      <c r="E419" t="s">
        <v>1405</v>
      </c>
      <c r="F419" t="s">
        <v>1406</v>
      </c>
      <c r="G419" t="s">
        <v>1407</v>
      </c>
      <c r="H419" t="s">
        <v>124</v>
      </c>
      <c r="I419" t="s">
        <v>857</v>
      </c>
      <c r="J419" t="s">
        <v>1408</v>
      </c>
      <c r="K419" t="s">
        <v>1420</v>
      </c>
      <c r="N419" t="s">
        <v>52</v>
      </c>
      <c r="O419" t="s">
        <v>52</v>
      </c>
      <c r="Q419" t="s">
        <v>1363</v>
      </c>
      <c r="R419" t="s">
        <v>1410</v>
      </c>
      <c r="S419" t="s">
        <v>1411</v>
      </c>
      <c r="T419" t="s">
        <v>1425</v>
      </c>
      <c r="U419" t="s">
        <v>1422</v>
      </c>
      <c r="V419">
        <f>IF(AND(SUM(IF('Consulta de contratos'!$K$1="",0,1),IF('Consulta de contratos'!$K$2="",0,1),IF('Consulta de contratos'!$K$3="",0,1),IF('Consulta de contratos'!$K$4="",0,1),IF('Consulta de contratos'!$K$5="",0,1),IF('Consulta de contratos'!$K$6="",0,1))&gt;0,OR('Consulta de contratos'!$K$1="",A419='Consulta de contratos'!$K$1),OR('Consulta de contratos'!$K$2="",I419='Consulta de contratos'!$K$2),OR('Consulta de contratos'!$K$3="",C419='Consulta de contratos'!$K$3),OR('Consulta de contratos'!$K$4="",D419='Consulta de contratos'!$K$4),OR('Consulta de contratos'!$K$5="",E419='Consulta de contratos'!$K$5),OR('Consulta de contratos'!$K$6="",IFERROR(ISNUMBER(SEARCH("|"&amp;'Consulta de contratos'!$K$6&amp;"|",AF419)),FALSE))),1,0)</f>
        <v>0</v>
      </c>
      <c r="W419">
        <f>IF(V419=1,SUM($V$2:V419),0)</f>
        <v>0</v>
      </c>
      <c r="X419" t="s">
        <v>1368</v>
      </c>
      <c r="Y419" t="s">
        <v>1369</v>
      </c>
      <c r="Z419" t="s">
        <v>867</v>
      </c>
      <c r="AA419" t="s">
        <v>62</v>
      </c>
      <c r="AB419" t="s">
        <v>1370</v>
      </c>
      <c r="AC419" t="s">
        <v>1371</v>
      </c>
      <c r="AD419" t="s">
        <v>1372</v>
      </c>
      <c r="AE419" t="s">
        <v>62</v>
      </c>
      <c r="AF419" t="s">
        <v>1373</v>
      </c>
    </row>
    <row r="420" spans="1:32" x14ac:dyDescent="0.35">
      <c r="A420" t="s">
        <v>205</v>
      </c>
      <c r="B420" t="s">
        <v>1404</v>
      </c>
      <c r="C420" t="s">
        <v>42</v>
      </c>
      <c r="D420" t="s">
        <v>43</v>
      </c>
      <c r="E420" t="s">
        <v>1405</v>
      </c>
      <c r="F420" t="s">
        <v>1406</v>
      </c>
      <c r="G420" t="s">
        <v>1407</v>
      </c>
      <c r="H420" t="s">
        <v>124</v>
      </c>
      <c r="I420" t="s">
        <v>857</v>
      </c>
      <c r="J420" t="s">
        <v>1408</v>
      </c>
      <c r="K420" t="s">
        <v>1420</v>
      </c>
      <c r="N420" t="s">
        <v>52</v>
      </c>
      <c r="O420" t="s">
        <v>52</v>
      </c>
      <c r="Q420" t="s">
        <v>1363</v>
      </c>
      <c r="R420" t="s">
        <v>1410</v>
      </c>
      <c r="S420" t="s">
        <v>1411</v>
      </c>
      <c r="T420" t="s">
        <v>1426</v>
      </c>
      <c r="U420" t="s">
        <v>1422</v>
      </c>
      <c r="V420">
        <f>IF(AND(SUM(IF('Consulta de contratos'!$K$1="",0,1),IF('Consulta de contratos'!$K$2="",0,1),IF('Consulta de contratos'!$K$3="",0,1),IF('Consulta de contratos'!$K$4="",0,1),IF('Consulta de contratos'!$K$5="",0,1),IF('Consulta de contratos'!$K$6="",0,1))&gt;0,OR('Consulta de contratos'!$K$1="",A420='Consulta de contratos'!$K$1),OR('Consulta de contratos'!$K$2="",I420='Consulta de contratos'!$K$2),OR('Consulta de contratos'!$K$3="",C420='Consulta de contratos'!$K$3),OR('Consulta de contratos'!$K$4="",D420='Consulta de contratos'!$K$4),OR('Consulta de contratos'!$K$5="",E420='Consulta de contratos'!$K$5),OR('Consulta de contratos'!$K$6="",IFERROR(ISNUMBER(SEARCH("|"&amp;'Consulta de contratos'!$K$6&amp;"|",AF420)),FALSE))),1,0)</f>
        <v>0</v>
      </c>
      <c r="W420">
        <f>IF(V420=1,SUM($V$2:V420),0)</f>
        <v>0</v>
      </c>
      <c r="X420" t="s">
        <v>1368</v>
      </c>
      <c r="Y420" t="s">
        <v>1369</v>
      </c>
      <c r="Z420" t="s">
        <v>867</v>
      </c>
      <c r="AA420" t="s">
        <v>62</v>
      </c>
      <c r="AB420" t="s">
        <v>1370</v>
      </c>
      <c r="AC420" t="s">
        <v>1371</v>
      </c>
      <c r="AD420" t="s">
        <v>1372</v>
      </c>
      <c r="AE420" t="s">
        <v>62</v>
      </c>
      <c r="AF420" t="s">
        <v>1373</v>
      </c>
    </row>
    <row r="421" spans="1:32" x14ac:dyDescent="0.35">
      <c r="A421" t="s">
        <v>240</v>
      </c>
      <c r="B421" t="s">
        <v>1404</v>
      </c>
      <c r="C421" t="s">
        <v>42</v>
      </c>
      <c r="D421" t="s">
        <v>43</v>
      </c>
      <c r="E421" t="s">
        <v>1405</v>
      </c>
      <c r="F421" t="s">
        <v>1406</v>
      </c>
      <c r="G421" t="s">
        <v>1407</v>
      </c>
      <c r="H421" t="s">
        <v>124</v>
      </c>
      <c r="I421" t="s">
        <v>857</v>
      </c>
      <c r="J421" t="s">
        <v>1408</v>
      </c>
      <c r="K421" t="s">
        <v>1420</v>
      </c>
      <c r="N421" t="s">
        <v>52</v>
      </c>
      <c r="O421" t="s">
        <v>52</v>
      </c>
      <c r="Q421" t="s">
        <v>1363</v>
      </c>
      <c r="R421" t="s">
        <v>1410</v>
      </c>
      <c r="S421" t="s">
        <v>1411</v>
      </c>
      <c r="T421" t="s">
        <v>1427</v>
      </c>
      <c r="U421" t="s">
        <v>1422</v>
      </c>
      <c r="V421">
        <f>IF(AND(SUM(IF('Consulta de contratos'!$K$1="",0,1),IF('Consulta de contratos'!$K$2="",0,1),IF('Consulta de contratos'!$K$3="",0,1),IF('Consulta de contratos'!$K$4="",0,1),IF('Consulta de contratos'!$K$5="",0,1),IF('Consulta de contratos'!$K$6="",0,1))&gt;0,OR('Consulta de contratos'!$K$1="",A421='Consulta de contratos'!$K$1),OR('Consulta de contratos'!$K$2="",I421='Consulta de contratos'!$K$2),OR('Consulta de contratos'!$K$3="",C421='Consulta de contratos'!$K$3),OR('Consulta de contratos'!$K$4="",D421='Consulta de contratos'!$K$4),OR('Consulta de contratos'!$K$5="",E421='Consulta de contratos'!$K$5),OR('Consulta de contratos'!$K$6="",IFERROR(ISNUMBER(SEARCH("|"&amp;'Consulta de contratos'!$K$6&amp;"|",AF421)),FALSE))),1,0)</f>
        <v>0</v>
      </c>
      <c r="W421">
        <f>IF(V421=1,SUM($V$2:V421),0)</f>
        <v>0</v>
      </c>
      <c r="X421" t="s">
        <v>1368</v>
      </c>
      <c r="Y421" t="s">
        <v>1369</v>
      </c>
      <c r="Z421" t="s">
        <v>867</v>
      </c>
      <c r="AA421" t="s">
        <v>62</v>
      </c>
      <c r="AB421" t="s">
        <v>1370</v>
      </c>
      <c r="AC421" t="s">
        <v>1371</v>
      </c>
      <c r="AD421" t="s">
        <v>1372</v>
      </c>
      <c r="AE421" t="s">
        <v>62</v>
      </c>
      <c r="AF421" t="s">
        <v>1373</v>
      </c>
    </row>
    <row r="422" spans="1:32" x14ac:dyDescent="0.35">
      <c r="A422" t="s">
        <v>233</v>
      </c>
      <c r="B422" t="s">
        <v>1404</v>
      </c>
      <c r="C422" t="s">
        <v>42</v>
      </c>
      <c r="D422" t="s">
        <v>43</v>
      </c>
      <c r="E422" t="s">
        <v>1405</v>
      </c>
      <c r="F422" t="s">
        <v>1406</v>
      </c>
      <c r="G422" t="s">
        <v>1407</v>
      </c>
      <c r="H422" t="s">
        <v>124</v>
      </c>
      <c r="I422" t="s">
        <v>857</v>
      </c>
      <c r="J422" t="s">
        <v>1408</v>
      </c>
      <c r="K422" t="s">
        <v>1420</v>
      </c>
      <c r="N422" t="s">
        <v>52</v>
      </c>
      <c r="O422" t="s">
        <v>52</v>
      </c>
      <c r="Q422" t="s">
        <v>1363</v>
      </c>
      <c r="R422" t="s">
        <v>1410</v>
      </c>
      <c r="S422" t="s">
        <v>1411</v>
      </c>
      <c r="T422" t="s">
        <v>1428</v>
      </c>
      <c r="U422" t="s">
        <v>1422</v>
      </c>
      <c r="V422">
        <f>IF(AND(SUM(IF('Consulta de contratos'!$K$1="",0,1),IF('Consulta de contratos'!$K$2="",0,1),IF('Consulta de contratos'!$K$3="",0,1),IF('Consulta de contratos'!$K$4="",0,1),IF('Consulta de contratos'!$K$5="",0,1),IF('Consulta de contratos'!$K$6="",0,1))&gt;0,OR('Consulta de contratos'!$K$1="",A422='Consulta de contratos'!$K$1),OR('Consulta de contratos'!$K$2="",I422='Consulta de contratos'!$K$2),OR('Consulta de contratos'!$K$3="",C422='Consulta de contratos'!$K$3),OR('Consulta de contratos'!$K$4="",D422='Consulta de contratos'!$K$4),OR('Consulta de contratos'!$K$5="",E422='Consulta de contratos'!$K$5),OR('Consulta de contratos'!$K$6="",IFERROR(ISNUMBER(SEARCH("|"&amp;'Consulta de contratos'!$K$6&amp;"|",AF422)),FALSE))),1,0)</f>
        <v>0</v>
      </c>
      <c r="W422">
        <f>IF(V422=1,SUM($V$2:V422),0)</f>
        <v>0</v>
      </c>
      <c r="X422" t="s">
        <v>1368</v>
      </c>
      <c r="Y422" t="s">
        <v>1369</v>
      </c>
      <c r="Z422" t="s">
        <v>867</v>
      </c>
      <c r="AA422" t="s">
        <v>62</v>
      </c>
      <c r="AB422" t="s">
        <v>1370</v>
      </c>
      <c r="AC422" t="s">
        <v>1371</v>
      </c>
      <c r="AD422" t="s">
        <v>1372</v>
      </c>
      <c r="AE422" t="s">
        <v>62</v>
      </c>
      <c r="AF422" t="s">
        <v>1373</v>
      </c>
    </row>
    <row r="423" spans="1:32" x14ac:dyDescent="0.35">
      <c r="A423" t="s">
        <v>198</v>
      </c>
      <c r="B423" t="s">
        <v>1404</v>
      </c>
      <c r="C423" t="s">
        <v>42</v>
      </c>
      <c r="D423" t="s">
        <v>43</v>
      </c>
      <c r="E423" t="s">
        <v>1405</v>
      </c>
      <c r="F423" t="s">
        <v>1406</v>
      </c>
      <c r="G423" t="s">
        <v>1407</v>
      </c>
      <c r="H423" t="s">
        <v>124</v>
      </c>
      <c r="I423" t="s">
        <v>857</v>
      </c>
      <c r="J423" t="s">
        <v>1408</v>
      </c>
      <c r="K423" t="s">
        <v>1420</v>
      </c>
      <c r="N423" t="s">
        <v>52</v>
      </c>
      <c r="O423" t="s">
        <v>52</v>
      </c>
      <c r="Q423" t="s">
        <v>1363</v>
      </c>
      <c r="R423" t="s">
        <v>1410</v>
      </c>
      <c r="S423" t="s">
        <v>1411</v>
      </c>
      <c r="T423" t="s">
        <v>1429</v>
      </c>
      <c r="U423" t="s">
        <v>1422</v>
      </c>
      <c r="V423">
        <f>IF(AND(SUM(IF('Consulta de contratos'!$K$1="",0,1),IF('Consulta de contratos'!$K$2="",0,1),IF('Consulta de contratos'!$K$3="",0,1),IF('Consulta de contratos'!$K$4="",0,1),IF('Consulta de contratos'!$K$5="",0,1),IF('Consulta de contratos'!$K$6="",0,1))&gt;0,OR('Consulta de contratos'!$K$1="",A423='Consulta de contratos'!$K$1),OR('Consulta de contratos'!$K$2="",I423='Consulta de contratos'!$K$2),OR('Consulta de contratos'!$K$3="",C423='Consulta de contratos'!$K$3),OR('Consulta de contratos'!$K$4="",D423='Consulta de contratos'!$K$4),OR('Consulta de contratos'!$K$5="",E423='Consulta de contratos'!$K$5),OR('Consulta de contratos'!$K$6="",IFERROR(ISNUMBER(SEARCH("|"&amp;'Consulta de contratos'!$K$6&amp;"|",AF423)),FALSE))),1,0)</f>
        <v>0</v>
      </c>
      <c r="W423">
        <f>IF(V423=1,SUM($V$2:V423),0)</f>
        <v>0</v>
      </c>
      <c r="X423" t="s">
        <v>1368</v>
      </c>
      <c r="Y423" t="s">
        <v>1369</v>
      </c>
      <c r="Z423" t="s">
        <v>867</v>
      </c>
      <c r="AA423" t="s">
        <v>62</v>
      </c>
      <c r="AB423" t="s">
        <v>1370</v>
      </c>
      <c r="AC423" t="s">
        <v>1371</v>
      </c>
      <c r="AD423" t="s">
        <v>1372</v>
      </c>
      <c r="AE423" t="s">
        <v>62</v>
      </c>
      <c r="AF423" t="s">
        <v>1373</v>
      </c>
    </row>
    <row r="424" spans="1:32" x14ac:dyDescent="0.35">
      <c r="A424" t="s">
        <v>163</v>
      </c>
      <c r="B424" t="s">
        <v>1404</v>
      </c>
      <c r="C424" t="s">
        <v>42</v>
      </c>
      <c r="D424" t="s">
        <v>43</v>
      </c>
      <c r="E424" t="s">
        <v>1405</v>
      </c>
      <c r="F424" t="s">
        <v>1406</v>
      </c>
      <c r="G424" t="s">
        <v>1407</v>
      </c>
      <c r="H424" t="s">
        <v>73</v>
      </c>
      <c r="I424" t="s">
        <v>857</v>
      </c>
      <c r="J424" t="s">
        <v>1408</v>
      </c>
      <c r="K424" t="s">
        <v>1430</v>
      </c>
      <c r="N424" t="s">
        <v>52</v>
      </c>
      <c r="O424" t="s">
        <v>52</v>
      </c>
      <c r="Q424" t="s">
        <v>1363</v>
      </c>
      <c r="R424" t="s">
        <v>1410</v>
      </c>
      <c r="S424" t="s">
        <v>1411</v>
      </c>
      <c r="T424" t="s">
        <v>1431</v>
      </c>
      <c r="U424" t="s">
        <v>1432</v>
      </c>
      <c r="V424">
        <f>IF(AND(SUM(IF('Consulta de contratos'!$K$1="",0,1),IF('Consulta de contratos'!$K$2="",0,1),IF('Consulta de contratos'!$K$3="",0,1),IF('Consulta de contratos'!$K$4="",0,1),IF('Consulta de contratos'!$K$5="",0,1),IF('Consulta de contratos'!$K$6="",0,1))&gt;0,OR('Consulta de contratos'!$K$1="",A424='Consulta de contratos'!$K$1),OR('Consulta de contratos'!$K$2="",I424='Consulta de contratos'!$K$2),OR('Consulta de contratos'!$K$3="",C424='Consulta de contratos'!$K$3),OR('Consulta de contratos'!$K$4="",D424='Consulta de contratos'!$K$4),OR('Consulta de contratos'!$K$5="",E424='Consulta de contratos'!$K$5),OR('Consulta de contratos'!$K$6="",IFERROR(ISNUMBER(SEARCH("|"&amp;'Consulta de contratos'!$K$6&amp;"|",AF424)),FALSE))),1,0)</f>
        <v>0</v>
      </c>
      <c r="W424">
        <f>IF(V424=1,SUM($V$2:V424),0)</f>
        <v>0</v>
      </c>
      <c r="X424" t="s">
        <v>1368</v>
      </c>
      <c r="Y424" t="s">
        <v>1369</v>
      </c>
      <c r="Z424" t="s">
        <v>867</v>
      </c>
      <c r="AA424" t="s">
        <v>62</v>
      </c>
      <c r="AB424" t="s">
        <v>1370</v>
      </c>
      <c r="AC424" t="s">
        <v>1371</v>
      </c>
      <c r="AD424" t="s">
        <v>1372</v>
      </c>
      <c r="AE424" t="s">
        <v>62</v>
      </c>
      <c r="AF424" t="s">
        <v>1373</v>
      </c>
    </row>
    <row r="425" spans="1:32" x14ac:dyDescent="0.35">
      <c r="A425" t="s">
        <v>170</v>
      </c>
      <c r="B425" t="s">
        <v>1404</v>
      </c>
      <c r="C425" t="s">
        <v>42</v>
      </c>
      <c r="D425" t="s">
        <v>43</v>
      </c>
      <c r="E425" t="s">
        <v>1405</v>
      </c>
      <c r="F425" t="s">
        <v>1406</v>
      </c>
      <c r="G425" t="s">
        <v>1407</v>
      </c>
      <c r="H425" t="s">
        <v>73</v>
      </c>
      <c r="I425" t="s">
        <v>857</v>
      </c>
      <c r="J425" t="s">
        <v>1408</v>
      </c>
      <c r="K425" t="s">
        <v>1430</v>
      </c>
      <c r="N425" t="s">
        <v>52</v>
      </c>
      <c r="O425" t="s">
        <v>52</v>
      </c>
      <c r="Q425" t="s">
        <v>1363</v>
      </c>
      <c r="R425" t="s">
        <v>1410</v>
      </c>
      <c r="S425" t="s">
        <v>1411</v>
      </c>
      <c r="T425" t="s">
        <v>1433</v>
      </c>
      <c r="U425" t="s">
        <v>1432</v>
      </c>
      <c r="V425">
        <f>IF(AND(SUM(IF('Consulta de contratos'!$K$1="",0,1),IF('Consulta de contratos'!$K$2="",0,1),IF('Consulta de contratos'!$K$3="",0,1),IF('Consulta de contratos'!$K$4="",0,1),IF('Consulta de contratos'!$K$5="",0,1),IF('Consulta de contratos'!$K$6="",0,1))&gt;0,OR('Consulta de contratos'!$K$1="",A425='Consulta de contratos'!$K$1),OR('Consulta de contratos'!$K$2="",I425='Consulta de contratos'!$K$2),OR('Consulta de contratos'!$K$3="",C425='Consulta de contratos'!$K$3),OR('Consulta de contratos'!$K$4="",D425='Consulta de contratos'!$K$4),OR('Consulta de contratos'!$K$5="",E425='Consulta de contratos'!$K$5),OR('Consulta de contratos'!$K$6="",IFERROR(ISNUMBER(SEARCH("|"&amp;'Consulta de contratos'!$K$6&amp;"|",AF425)),FALSE))),1,0)</f>
        <v>0</v>
      </c>
      <c r="W425">
        <f>IF(V425=1,SUM($V$2:V425),0)</f>
        <v>0</v>
      </c>
      <c r="X425" t="s">
        <v>1368</v>
      </c>
      <c r="Y425" t="s">
        <v>1369</v>
      </c>
      <c r="Z425" t="s">
        <v>867</v>
      </c>
      <c r="AA425" t="s">
        <v>62</v>
      </c>
      <c r="AB425" t="s">
        <v>1370</v>
      </c>
      <c r="AC425" t="s">
        <v>1371</v>
      </c>
      <c r="AD425" t="s">
        <v>1372</v>
      </c>
      <c r="AE425" t="s">
        <v>62</v>
      </c>
      <c r="AF425" t="s">
        <v>1373</v>
      </c>
    </row>
    <row r="426" spans="1:32" x14ac:dyDescent="0.35">
      <c r="A426" t="s">
        <v>177</v>
      </c>
      <c r="B426" t="s">
        <v>1404</v>
      </c>
      <c r="C426" t="s">
        <v>42</v>
      </c>
      <c r="D426" t="s">
        <v>43</v>
      </c>
      <c r="E426" t="s">
        <v>1405</v>
      </c>
      <c r="F426" t="s">
        <v>1406</v>
      </c>
      <c r="G426" t="s">
        <v>1407</v>
      </c>
      <c r="H426" t="s">
        <v>73</v>
      </c>
      <c r="I426" t="s">
        <v>857</v>
      </c>
      <c r="J426" t="s">
        <v>1408</v>
      </c>
      <c r="K426" t="s">
        <v>1430</v>
      </c>
      <c r="N426" t="s">
        <v>52</v>
      </c>
      <c r="O426" t="s">
        <v>52</v>
      </c>
      <c r="Q426" t="s">
        <v>1363</v>
      </c>
      <c r="R426" t="s">
        <v>1410</v>
      </c>
      <c r="S426" t="s">
        <v>1411</v>
      </c>
      <c r="T426" t="s">
        <v>1434</v>
      </c>
      <c r="U426" t="s">
        <v>1432</v>
      </c>
      <c r="V426">
        <f>IF(AND(SUM(IF('Consulta de contratos'!$K$1="",0,1),IF('Consulta de contratos'!$K$2="",0,1),IF('Consulta de contratos'!$K$3="",0,1),IF('Consulta de contratos'!$K$4="",0,1),IF('Consulta de contratos'!$K$5="",0,1),IF('Consulta de contratos'!$K$6="",0,1))&gt;0,OR('Consulta de contratos'!$K$1="",A426='Consulta de contratos'!$K$1),OR('Consulta de contratos'!$K$2="",I426='Consulta de contratos'!$K$2),OR('Consulta de contratos'!$K$3="",C426='Consulta de contratos'!$K$3),OR('Consulta de contratos'!$K$4="",D426='Consulta de contratos'!$K$4),OR('Consulta de contratos'!$K$5="",E426='Consulta de contratos'!$K$5),OR('Consulta de contratos'!$K$6="",IFERROR(ISNUMBER(SEARCH("|"&amp;'Consulta de contratos'!$K$6&amp;"|",AF426)),FALSE))),1,0)</f>
        <v>0</v>
      </c>
      <c r="W426">
        <f>IF(V426=1,SUM($V$2:V426),0)</f>
        <v>0</v>
      </c>
      <c r="X426" t="s">
        <v>1368</v>
      </c>
      <c r="Y426" t="s">
        <v>1369</v>
      </c>
      <c r="Z426" t="s">
        <v>867</v>
      </c>
      <c r="AA426" t="s">
        <v>62</v>
      </c>
      <c r="AB426" t="s">
        <v>1370</v>
      </c>
      <c r="AC426" t="s">
        <v>1371</v>
      </c>
      <c r="AD426" t="s">
        <v>1372</v>
      </c>
      <c r="AE426" t="s">
        <v>62</v>
      </c>
      <c r="AF426" t="s">
        <v>1373</v>
      </c>
    </row>
    <row r="427" spans="1:32" x14ac:dyDescent="0.35">
      <c r="A427" t="s">
        <v>184</v>
      </c>
      <c r="B427" t="s">
        <v>1404</v>
      </c>
      <c r="C427" t="s">
        <v>42</v>
      </c>
      <c r="D427" t="s">
        <v>43</v>
      </c>
      <c r="E427" t="s">
        <v>1405</v>
      </c>
      <c r="F427" t="s">
        <v>1406</v>
      </c>
      <c r="G427" t="s">
        <v>1407</v>
      </c>
      <c r="H427" t="s">
        <v>73</v>
      </c>
      <c r="I427" t="s">
        <v>857</v>
      </c>
      <c r="J427" t="s">
        <v>1408</v>
      </c>
      <c r="K427" t="s">
        <v>1430</v>
      </c>
      <c r="N427" t="s">
        <v>52</v>
      </c>
      <c r="O427" t="s">
        <v>52</v>
      </c>
      <c r="Q427" t="s">
        <v>1363</v>
      </c>
      <c r="R427" t="s">
        <v>1410</v>
      </c>
      <c r="S427" t="s">
        <v>1411</v>
      </c>
      <c r="T427" t="s">
        <v>1435</v>
      </c>
      <c r="U427" t="s">
        <v>1432</v>
      </c>
      <c r="V427">
        <f>IF(AND(SUM(IF('Consulta de contratos'!$K$1="",0,1),IF('Consulta de contratos'!$K$2="",0,1),IF('Consulta de contratos'!$K$3="",0,1),IF('Consulta de contratos'!$K$4="",0,1),IF('Consulta de contratos'!$K$5="",0,1),IF('Consulta de contratos'!$K$6="",0,1))&gt;0,OR('Consulta de contratos'!$K$1="",A427='Consulta de contratos'!$K$1),OR('Consulta de contratos'!$K$2="",I427='Consulta de contratos'!$K$2),OR('Consulta de contratos'!$K$3="",C427='Consulta de contratos'!$K$3),OR('Consulta de contratos'!$K$4="",D427='Consulta de contratos'!$K$4),OR('Consulta de contratos'!$K$5="",E427='Consulta de contratos'!$K$5),OR('Consulta de contratos'!$K$6="",IFERROR(ISNUMBER(SEARCH("|"&amp;'Consulta de contratos'!$K$6&amp;"|",AF427)),FALSE))),1,0)</f>
        <v>0</v>
      </c>
      <c r="W427">
        <f>IF(V427=1,SUM($V$2:V427),0)</f>
        <v>0</v>
      </c>
      <c r="X427" t="s">
        <v>1368</v>
      </c>
      <c r="Y427" t="s">
        <v>1369</v>
      </c>
      <c r="Z427" t="s">
        <v>867</v>
      </c>
      <c r="AA427" t="s">
        <v>62</v>
      </c>
      <c r="AB427" t="s">
        <v>1370</v>
      </c>
      <c r="AC427" t="s">
        <v>1371</v>
      </c>
      <c r="AD427" t="s">
        <v>1372</v>
      </c>
      <c r="AE427" t="s">
        <v>62</v>
      </c>
      <c r="AF427" t="s">
        <v>1373</v>
      </c>
    </row>
    <row r="428" spans="1:32" x14ac:dyDescent="0.35">
      <c r="A428" t="s">
        <v>191</v>
      </c>
      <c r="B428" t="s">
        <v>1404</v>
      </c>
      <c r="C428" t="s">
        <v>42</v>
      </c>
      <c r="D428" t="s">
        <v>43</v>
      </c>
      <c r="E428" t="s">
        <v>1405</v>
      </c>
      <c r="F428" t="s">
        <v>1406</v>
      </c>
      <c r="G428" t="s">
        <v>1407</v>
      </c>
      <c r="H428" t="s">
        <v>73</v>
      </c>
      <c r="I428" t="s">
        <v>857</v>
      </c>
      <c r="J428" t="s">
        <v>1408</v>
      </c>
      <c r="K428" t="s">
        <v>1430</v>
      </c>
      <c r="N428" t="s">
        <v>52</v>
      </c>
      <c r="O428" t="s">
        <v>52</v>
      </c>
      <c r="Q428" t="s">
        <v>1363</v>
      </c>
      <c r="R428" t="s">
        <v>1410</v>
      </c>
      <c r="S428" t="s">
        <v>1411</v>
      </c>
      <c r="T428" t="s">
        <v>1436</v>
      </c>
      <c r="U428" t="s">
        <v>1432</v>
      </c>
      <c r="V428">
        <f>IF(AND(SUM(IF('Consulta de contratos'!$K$1="",0,1),IF('Consulta de contratos'!$K$2="",0,1),IF('Consulta de contratos'!$K$3="",0,1),IF('Consulta de contratos'!$K$4="",0,1),IF('Consulta de contratos'!$K$5="",0,1),IF('Consulta de contratos'!$K$6="",0,1))&gt;0,OR('Consulta de contratos'!$K$1="",A428='Consulta de contratos'!$K$1),OR('Consulta de contratos'!$K$2="",I428='Consulta de contratos'!$K$2),OR('Consulta de contratos'!$K$3="",C428='Consulta de contratos'!$K$3),OR('Consulta de contratos'!$K$4="",D428='Consulta de contratos'!$K$4),OR('Consulta de contratos'!$K$5="",E428='Consulta de contratos'!$K$5),OR('Consulta de contratos'!$K$6="",IFERROR(ISNUMBER(SEARCH("|"&amp;'Consulta de contratos'!$K$6&amp;"|",AF428)),FALSE))),1,0)</f>
        <v>0</v>
      </c>
      <c r="W428">
        <f>IF(V428=1,SUM($V$2:V428),0)</f>
        <v>0</v>
      </c>
      <c r="X428" t="s">
        <v>1368</v>
      </c>
      <c r="Y428" t="s">
        <v>1369</v>
      </c>
      <c r="Z428" t="s">
        <v>867</v>
      </c>
      <c r="AA428" t="s">
        <v>62</v>
      </c>
      <c r="AB428" t="s">
        <v>1370</v>
      </c>
      <c r="AC428" t="s">
        <v>1371</v>
      </c>
      <c r="AD428" t="s">
        <v>1372</v>
      </c>
      <c r="AE428" t="s">
        <v>62</v>
      </c>
      <c r="AF428" t="s">
        <v>1373</v>
      </c>
    </row>
    <row r="429" spans="1:32" x14ac:dyDescent="0.35">
      <c r="A429" t="s">
        <v>226</v>
      </c>
      <c r="B429" t="s">
        <v>1404</v>
      </c>
      <c r="C429" t="s">
        <v>42</v>
      </c>
      <c r="D429" t="s">
        <v>43</v>
      </c>
      <c r="E429" t="s">
        <v>1405</v>
      </c>
      <c r="F429" t="s">
        <v>1406</v>
      </c>
      <c r="G429" t="s">
        <v>1407</v>
      </c>
      <c r="H429" t="s">
        <v>73</v>
      </c>
      <c r="I429" t="s">
        <v>857</v>
      </c>
      <c r="J429" t="s">
        <v>1408</v>
      </c>
      <c r="K429" t="s">
        <v>1430</v>
      </c>
      <c r="N429" t="s">
        <v>52</v>
      </c>
      <c r="O429" t="s">
        <v>52</v>
      </c>
      <c r="Q429" t="s">
        <v>1363</v>
      </c>
      <c r="R429" t="s">
        <v>1410</v>
      </c>
      <c r="S429" t="s">
        <v>1411</v>
      </c>
      <c r="T429" t="s">
        <v>1437</v>
      </c>
      <c r="U429" t="s">
        <v>1432</v>
      </c>
      <c r="V429">
        <f>IF(AND(SUM(IF('Consulta de contratos'!$K$1="",0,1),IF('Consulta de contratos'!$K$2="",0,1),IF('Consulta de contratos'!$K$3="",0,1),IF('Consulta de contratos'!$K$4="",0,1),IF('Consulta de contratos'!$K$5="",0,1),IF('Consulta de contratos'!$K$6="",0,1))&gt;0,OR('Consulta de contratos'!$K$1="",A429='Consulta de contratos'!$K$1),OR('Consulta de contratos'!$K$2="",I429='Consulta de contratos'!$K$2),OR('Consulta de contratos'!$K$3="",C429='Consulta de contratos'!$K$3),OR('Consulta de contratos'!$K$4="",D429='Consulta de contratos'!$K$4),OR('Consulta de contratos'!$K$5="",E429='Consulta de contratos'!$K$5),OR('Consulta de contratos'!$K$6="",IFERROR(ISNUMBER(SEARCH("|"&amp;'Consulta de contratos'!$K$6&amp;"|",AF429)),FALSE))),1,0)</f>
        <v>0</v>
      </c>
      <c r="W429">
        <f>IF(V429=1,SUM($V$2:V429),0)</f>
        <v>0</v>
      </c>
      <c r="X429" t="s">
        <v>1368</v>
      </c>
      <c r="Y429" t="s">
        <v>1369</v>
      </c>
      <c r="Z429" t="s">
        <v>867</v>
      </c>
      <c r="AA429" t="s">
        <v>62</v>
      </c>
      <c r="AB429" t="s">
        <v>1370</v>
      </c>
      <c r="AC429" t="s">
        <v>1371</v>
      </c>
      <c r="AD429" t="s">
        <v>1372</v>
      </c>
      <c r="AE429" t="s">
        <v>62</v>
      </c>
      <c r="AF429" t="s">
        <v>1373</v>
      </c>
    </row>
    <row r="430" spans="1:32" x14ac:dyDescent="0.35">
      <c r="A430" t="s">
        <v>40</v>
      </c>
      <c r="B430" t="s">
        <v>1438</v>
      </c>
      <c r="C430" t="s">
        <v>896</v>
      </c>
      <c r="D430" t="s">
        <v>897</v>
      </c>
      <c r="E430" t="s">
        <v>1278</v>
      </c>
      <c r="F430" t="s">
        <v>1439</v>
      </c>
      <c r="G430" t="s">
        <v>1440</v>
      </c>
      <c r="H430" t="s">
        <v>47</v>
      </c>
      <c r="I430" t="s">
        <v>857</v>
      </c>
      <c r="J430" t="s">
        <v>1441</v>
      </c>
      <c r="K430" t="s">
        <v>1442</v>
      </c>
      <c r="N430" t="s">
        <v>52</v>
      </c>
      <c r="O430" t="s">
        <v>52</v>
      </c>
      <c r="Q430" t="s">
        <v>1363</v>
      </c>
      <c r="R430" t="s">
        <v>1443</v>
      </c>
      <c r="S430" t="s">
        <v>1444</v>
      </c>
      <c r="T430" t="s">
        <v>1445</v>
      </c>
      <c r="U430" t="s">
        <v>1446</v>
      </c>
      <c r="V430">
        <f>IF(AND(SUM(IF('Consulta de contratos'!$K$1="",0,1),IF('Consulta de contratos'!$K$2="",0,1),IF('Consulta de contratos'!$K$3="",0,1),IF('Consulta de contratos'!$K$4="",0,1),IF('Consulta de contratos'!$K$5="",0,1),IF('Consulta de contratos'!$K$6="",0,1))&gt;0,OR('Consulta de contratos'!$K$1="",A430='Consulta de contratos'!$K$1),OR('Consulta de contratos'!$K$2="",I430='Consulta de contratos'!$K$2),OR('Consulta de contratos'!$K$3="",C430='Consulta de contratos'!$K$3),OR('Consulta de contratos'!$K$4="",D430='Consulta de contratos'!$K$4),OR('Consulta de contratos'!$K$5="",E430='Consulta de contratos'!$K$5),OR('Consulta de contratos'!$K$6="",IFERROR(ISNUMBER(SEARCH("|"&amp;'Consulta de contratos'!$K$6&amp;"|",AF430)),FALSE))),1,0)</f>
        <v>0</v>
      </c>
      <c r="W430">
        <f>IF(V430=1,SUM($V$2:V430),0)</f>
        <v>0</v>
      </c>
      <c r="X430" t="s">
        <v>1368</v>
      </c>
      <c r="Y430" t="s">
        <v>1369</v>
      </c>
      <c r="Z430" t="s">
        <v>867</v>
      </c>
      <c r="AA430" t="s">
        <v>62</v>
      </c>
      <c r="AB430" t="s">
        <v>1370</v>
      </c>
      <c r="AC430" t="s">
        <v>1371</v>
      </c>
      <c r="AD430" t="s">
        <v>1372</v>
      </c>
      <c r="AE430" t="s">
        <v>62</v>
      </c>
      <c r="AF430" t="s">
        <v>1373</v>
      </c>
    </row>
    <row r="431" spans="1:32" x14ac:dyDescent="0.35">
      <c r="A431" t="s">
        <v>116</v>
      </c>
      <c r="B431" t="s">
        <v>1438</v>
      </c>
      <c r="C431" t="s">
        <v>896</v>
      </c>
      <c r="D431" t="s">
        <v>897</v>
      </c>
      <c r="E431" t="s">
        <v>1278</v>
      </c>
      <c r="F431" t="s">
        <v>1439</v>
      </c>
      <c r="G431" t="s">
        <v>1440</v>
      </c>
      <c r="H431" t="s">
        <v>47</v>
      </c>
      <c r="I431" t="s">
        <v>857</v>
      </c>
      <c r="J431" t="s">
        <v>1441</v>
      </c>
      <c r="K431" t="s">
        <v>1442</v>
      </c>
      <c r="N431" t="s">
        <v>52</v>
      </c>
      <c r="O431" t="s">
        <v>52</v>
      </c>
      <c r="Q431" t="s">
        <v>1363</v>
      </c>
      <c r="R431" t="s">
        <v>1443</v>
      </c>
      <c r="S431" t="s">
        <v>1444</v>
      </c>
      <c r="T431" t="s">
        <v>1447</v>
      </c>
      <c r="U431" t="s">
        <v>1446</v>
      </c>
      <c r="V431">
        <f>IF(AND(SUM(IF('Consulta de contratos'!$K$1="",0,1),IF('Consulta de contratos'!$K$2="",0,1),IF('Consulta de contratos'!$K$3="",0,1),IF('Consulta de contratos'!$K$4="",0,1),IF('Consulta de contratos'!$K$5="",0,1),IF('Consulta de contratos'!$K$6="",0,1))&gt;0,OR('Consulta de contratos'!$K$1="",A431='Consulta de contratos'!$K$1),OR('Consulta de contratos'!$K$2="",I431='Consulta de contratos'!$K$2),OR('Consulta de contratos'!$K$3="",C431='Consulta de contratos'!$K$3),OR('Consulta de contratos'!$K$4="",D431='Consulta de contratos'!$K$4),OR('Consulta de contratos'!$K$5="",E431='Consulta de contratos'!$K$5),OR('Consulta de contratos'!$K$6="",IFERROR(ISNUMBER(SEARCH("|"&amp;'Consulta de contratos'!$K$6&amp;"|",AF431)),FALSE))),1,0)</f>
        <v>0</v>
      </c>
      <c r="W431">
        <f>IF(V431=1,SUM($V$2:V431),0)</f>
        <v>0</v>
      </c>
      <c r="X431" t="s">
        <v>1368</v>
      </c>
      <c r="Y431" t="s">
        <v>1369</v>
      </c>
      <c r="Z431" t="s">
        <v>867</v>
      </c>
      <c r="AA431" t="s">
        <v>62</v>
      </c>
      <c r="AB431" t="s">
        <v>1370</v>
      </c>
      <c r="AC431" t="s">
        <v>1371</v>
      </c>
      <c r="AD431" t="s">
        <v>1372</v>
      </c>
      <c r="AE431" t="s">
        <v>62</v>
      </c>
      <c r="AF431" t="s">
        <v>1373</v>
      </c>
    </row>
    <row r="432" spans="1:32" x14ac:dyDescent="0.35">
      <c r="A432" t="s">
        <v>123</v>
      </c>
      <c r="B432" t="s">
        <v>1438</v>
      </c>
      <c r="C432" t="s">
        <v>896</v>
      </c>
      <c r="D432" t="s">
        <v>897</v>
      </c>
      <c r="E432" t="s">
        <v>1278</v>
      </c>
      <c r="F432" t="s">
        <v>1439</v>
      </c>
      <c r="G432" t="s">
        <v>1440</v>
      </c>
      <c r="H432" t="s">
        <v>47</v>
      </c>
      <c r="I432" t="s">
        <v>857</v>
      </c>
      <c r="J432" t="s">
        <v>1441</v>
      </c>
      <c r="K432" t="s">
        <v>1442</v>
      </c>
      <c r="N432" t="s">
        <v>52</v>
      </c>
      <c r="O432" t="s">
        <v>52</v>
      </c>
      <c r="Q432" t="s">
        <v>1363</v>
      </c>
      <c r="R432" t="s">
        <v>1443</v>
      </c>
      <c r="S432" t="s">
        <v>1444</v>
      </c>
      <c r="T432" t="s">
        <v>1448</v>
      </c>
      <c r="U432" t="s">
        <v>1446</v>
      </c>
      <c r="V432">
        <f>IF(AND(SUM(IF('Consulta de contratos'!$K$1="",0,1),IF('Consulta de contratos'!$K$2="",0,1),IF('Consulta de contratos'!$K$3="",0,1),IF('Consulta de contratos'!$K$4="",0,1),IF('Consulta de contratos'!$K$5="",0,1),IF('Consulta de contratos'!$K$6="",0,1))&gt;0,OR('Consulta de contratos'!$K$1="",A432='Consulta de contratos'!$K$1),OR('Consulta de contratos'!$K$2="",I432='Consulta de contratos'!$K$2),OR('Consulta de contratos'!$K$3="",C432='Consulta de contratos'!$K$3),OR('Consulta de contratos'!$K$4="",D432='Consulta de contratos'!$K$4),OR('Consulta de contratos'!$K$5="",E432='Consulta de contratos'!$K$5),OR('Consulta de contratos'!$K$6="",IFERROR(ISNUMBER(SEARCH("|"&amp;'Consulta de contratos'!$K$6&amp;"|",AF432)),FALSE))),1,0)</f>
        <v>0</v>
      </c>
      <c r="W432">
        <f>IF(V432=1,SUM($V$2:V432),0)</f>
        <v>0</v>
      </c>
      <c r="X432" t="s">
        <v>1368</v>
      </c>
      <c r="Y432" t="s">
        <v>1369</v>
      </c>
      <c r="Z432" t="s">
        <v>867</v>
      </c>
      <c r="AA432" t="s">
        <v>62</v>
      </c>
      <c r="AB432" t="s">
        <v>1370</v>
      </c>
      <c r="AC432" t="s">
        <v>1371</v>
      </c>
      <c r="AD432" t="s">
        <v>1372</v>
      </c>
      <c r="AE432" t="s">
        <v>62</v>
      </c>
      <c r="AF432" t="s">
        <v>1373</v>
      </c>
    </row>
    <row r="433" spans="1:32" x14ac:dyDescent="0.35">
      <c r="A433" t="s">
        <v>135</v>
      </c>
      <c r="B433" t="s">
        <v>1438</v>
      </c>
      <c r="C433" t="s">
        <v>896</v>
      </c>
      <c r="D433" t="s">
        <v>897</v>
      </c>
      <c r="E433" t="s">
        <v>1278</v>
      </c>
      <c r="F433" t="s">
        <v>1439</v>
      </c>
      <c r="G433" t="s">
        <v>1440</v>
      </c>
      <c r="H433" t="s">
        <v>47</v>
      </c>
      <c r="I433" t="s">
        <v>857</v>
      </c>
      <c r="J433" t="s">
        <v>1441</v>
      </c>
      <c r="K433" t="s">
        <v>1442</v>
      </c>
      <c r="N433" t="s">
        <v>52</v>
      </c>
      <c r="O433" t="s">
        <v>52</v>
      </c>
      <c r="Q433" t="s">
        <v>1363</v>
      </c>
      <c r="R433" t="s">
        <v>1443</v>
      </c>
      <c r="S433" t="s">
        <v>1444</v>
      </c>
      <c r="T433" t="s">
        <v>1449</v>
      </c>
      <c r="U433" t="s">
        <v>1446</v>
      </c>
      <c r="V433">
        <f>IF(AND(SUM(IF('Consulta de contratos'!$K$1="",0,1),IF('Consulta de contratos'!$K$2="",0,1),IF('Consulta de contratos'!$K$3="",0,1),IF('Consulta de contratos'!$K$4="",0,1),IF('Consulta de contratos'!$K$5="",0,1),IF('Consulta de contratos'!$K$6="",0,1))&gt;0,OR('Consulta de contratos'!$K$1="",A433='Consulta de contratos'!$K$1),OR('Consulta de contratos'!$K$2="",I433='Consulta de contratos'!$K$2),OR('Consulta de contratos'!$K$3="",C433='Consulta de contratos'!$K$3),OR('Consulta de contratos'!$K$4="",D433='Consulta de contratos'!$K$4),OR('Consulta de contratos'!$K$5="",E433='Consulta de contratos'!$K$5),OR('Consulta de contratos'!$K$6="",IFERROR(ISNUMBER(SEARCH("|"&amp;'Consulta de contratos'!$K$6&amp;"|",AF433)),FALSE))),1,0)</f>
        <v>0</v>
      </c>
      <c r="W433">
        <f>IF(V433=1,SUM($V$2:V433),0)</f>
        <v>0</v>
      </c>
      <c r="X433" t="s">
        <v>1368</v>
      </c>
      <c r="Y433" t="s">
        <v>1369</v>
      </c>
      <c r="Z433" t="s">
        <v>867</v>
      </c>
      <c r="AA433" t="s">
        <v>62</v>
      </c>
      <c r="AB433" t="s">
        <v>1370</v>
      </c>
      <c r="AC433" t="s">
        <v>1371</v>
      </c>
      <c r="AD433" t="s">
        <v>1372</v>
      </c>
      <c r="AE433" t="s">
        <v>62</v>
      </c>
      <c r="AF433" t="s">
        <v>1373</v>
      </c>
    </row>
    <row r="434" spans="1:32" x14ac:dyDescent="0.35">
      <c r="A434" t="s">
        <v>142</v>
      </c>
      <c r="B434" t="s">
        <v>1438</v>
      </c>
      <c r="C434" t="s">
        <v>896</v>
      </c>
      <c r="D434" t="s">
        <v>897</v>
      </c>
      <c r="E434" t="s">
        <v>1278</v>
      </c>
      <c r="F434" t="s">
        <v>1439</v>
      </c>
      <c r="G434" t="s">
        <v>1440</v>
      </c>
      <c r="H434" t="s">
        <v>47</v>
      </c>
      <c r="I434" t="s">
        <v>857</v>
      </c>
      <c r="J434" t="s">
        <v>1441</v>
      </c>
      <c r="K434" t="s">
        <v>1442</v>
      </c>
      <c r="N434" t="s">
        <v>52</v>
      </c>
      <c r="O434" t="s">
        <v>52</v>
      </c>
      <c r="Q434" t="s">
        <v>1363</v>
      </c>
      <c r="R434" t="s">
        <v>1443</v>
      </c>
      <c r="S434" t="s">
        <v>1444</v>
      </c>
      <c r="T434" t="s">
        <v>1450</v>
      </c>
      <c r="U434" t="s">
        <v>1446</v>
      </c>
      <c r="V434">
        <f>IF(AND(SUM(IF('Consulta de contratos'!$K$1="",0,1),IF('Consulta de contratos'!$K$2="",0,1),IF('Consulta de contratos'!$K$3="",0,1),IF('Consulta de contratos'!$K$4="",0,1),IF('Consulta de contratos'!$K$5="",0,1),IF('Consulta de contratos'!$K$6="",0,1))&gt;0,OR('Consulta de contratos'!$K$1="",A434='Consulta de contratos'!$K$1),OR('Consulta de contratos'!$K$2="",I434='Consulta de contratos'!$K$2),OR('Consulta de contratos'!$K$3="",C434='Consulta de contratos'!$K$3),OR('Consulta de contratos'!$K$4="",D434='Consulta de contratos'!$K$4),OR('Consulta de contratos'!$K$5="",E434='Consulta de contratos'!$K$5),OR('Consulta de contratos'!$K$6="",IFERROR(ISNUMBER(SEARCH("|"&amp;'Consulta de contratos'!$K$6&amp;"|",AF434)),FALSE))),1,0)</f>
        <v>0</v>
      </c>
      <c r="W434">
        <f>IF(V434=1,SUM($V$2:V434),0)</f>
        <v>0</v>
      </c>
      <c r="X434" t="s">
        <v>1368</v>
      </c>
      <c r="Y434" t="s">
        <v>1369</v>
      </c>
      <c r="Z434" t="s">
        <v>867</v>
      </c>
      <c r="AA434" t="s">
        <v>62</v>
      </c>
      <c r="AB434" t="s">
        <v>1370</v>
      </c>
      <c r="AC434" t="s">
        <v>1371</v>
      </c>
      <c r="AD434" t="s">
        <v>1372</v>
      </c>
      <c r="AE434" t="s">
        <v>62</v>
      </c>
      <c r="AF434" t="s">
        <v>1373</v>
      </c>
    </row>
    <row r="435" spans="1:32" x14ac:dyDescent="0.35">
      <c r="A435" t="s">
        <v>156</v>
      </c>
      <c r="B435" t="s">
        <v>1438</v>
      </c>
      <c r="C435" t="s">
        <v>896</v>
      </c>
      <c r="D435" t="s">
        <v>897</v>
      </c>
      <c r="E435" t="s">
        <v>1278</v>
      </c>
      <c r="F435" t="s">
        <v>1439</v>
      </c>
      <c r="G435" t="s">
        <v>1440</v>
      </c>
      <c r="H435" t="s">
        <v>47</v>
      </c>
      <c r="I435" t="s">
        <v>857</v>
      </c>
      <c r="J435" t="s">
        <v>1441</v>
      </c>
      <c r="K435" t="s">
        <v>1442</v>
      </c>
      <c r="N435" t="s">
        <v>52</v>
      </c>
      <c r="O435" t="s">
        <v>52</v>
      </c>
      <c r="Q435" t="s">
        <v>1363</v>
      </c>
      <c r="R435" t="s">
        <v>1443</v>
      </c>
      <c r="S435" t="s">
        <v>1444</v>
      </c>
      <c r="T435" t="s">
        <v>1451</v>
      </c>
      <c r="U435" t="s">
        <v>1446</v>
      </c>
      <c r="V435">
        <f>IF(AND(SUM(IF('Consulta de contratos'!$K$1="",0,1),IF('Consulta de contratos'!$K$2="",0,1),IF('Consulta de contratos'!$K$3="",0,1),IF('Consulta de contratos'!$K$4="",0,1),IF('Consulta de contratos'!$K$5="",0,1),IF('Consulta de contratos'!$K$6="",0,1))&gt;0,OR('Consulta de contratos'!$K$1="",A435='Consulta de contratos'!$K$1),OR('Consulta de contratos'!$K$2="",I435='Consulta de contratos'!$K$2),OR('Consulta de contratos'!$K$3="",C435='Consulta de contratos'!$K$3),OR('Consulta de contratos'!$K$4="",D435='Consulta de contratos'!$K$4),OR('Consulta de contratos'!$K$5="",E435='Consulta de contratos'!$K$5),OR('Consulta de contratos'!$K$6="",IFERROR(ISNUMBER(SEARCH("|"&amp;'Consulta de contratos'!$K$6&amp;"|",AF435)),FALSE))),1,0)</f>
        <v>0</v>
      </c>
      <c r="W435">
        <f>IF(V435=1,SUM($V$2:V435),0)</f>
        <v>0</v>
      </c>
      <c r="X435" t="s">
        <v>1368</v>
      </c>
      <c r="Y435" t="s">
        <v>1369</v>
      </c>
      <c r="Z435" t="s">
        <v>867</v>
      </c>
      <c r="AA435" t="s">
        <v>62</v>
      </c>
      <c r="AB435" t="s">
        <v>1370</v>
      </c>
      <c r="AC435" t="s">
        <v>1371</v>
      </c>
      <c r="AD435" t="s">
        <v>1372</v>
      </c>
      <c r="AE435" t="s">
        <v>62</v>
      </c>
      <c r="AF435" t="s">
        <v>1373</v>
      </c>
    </row>
    <row r="436" spans="1:32" x14ac:dyDescent="0.35">
      <c r="A436" t="s">
        <v>149</v>
      </c>
      <c r="B436" t="s">
        <v>1438</v>
      </c>
      <c r="C436" t="s">
        <v>896</v>
      </c>
      <c r="D436" t="s">
        <v>897</v>
      </c>
      <c r="E436" t="s">
        <v>1278</v>
      </c>
      <c r="F436" t="s">
        <v>1439</v>
      </c>
      <c r="G436" t="s">
        <v>1440</v>
      </c>
      <c r="H436" t="s">
        <v>47</v>
      </c>
      <c r="I436" t="s">
        <v>857</v>
      </c>
      <c r="J436" t="s">
        <v>1441</v>
      </c>
      <c r="K436" t="s">
        <v>1442</v>
      </c>
      <c r="N436" t="s">
        <v>52</v>
      </c>
      <c r="O436" t="s">
        <v>52</v>
      </c>
      <c r="Q436" t="s">
        <v>1363</v>
      </c>
      <c r="R436" t="s">
        <v>1443</v>
      </c>
      <c r="S436" t="s">
        <v>1444</v>
      </c>
      <c r="T436" t="s">
        <v>1452</v>
      </c>
      <c r="U436" t="s">
        <v>1446</v>
      </c>
      <c r="V436">
        <f>IF(AND(SUM(IF('Consulta de contratos'!$K$1="",0,1),IF('Consulta de contratos'!$K$2="",0,1),IF('Consulta de contratos'!$K$3="",0,1),IF('Consulta de contratos'!$K$4="",0,1),IF('Consulta de contratos'!$K$5="",0,1),IF('Consulta de contratos'!$K$6="",0,1))&gt;0,OR('Consulta de contratos'!$K$1="",A436='Consulta de contratos'!$K$1),OR('Consulta de contratos'!$K$2="",I436='Consulta de contratos'!$K$2),OR('Consulta de contratos'!$K$3="",C436='Consulta de contratos'!$K$3),OR('Consulta de contratos'!$K$4="",D436='Consulta de contratos'!$K$4),OR('Consulta de contratos'!$K$5="",E436='Consulta de contratos'!$K$5),OR('Consulta de contratos'!$K$6="",IFERROR(ISNUMBER(SEARCH("|"&amp;'Consulta de contratos'!$K$6&amp;"|",AF436)),FALSE))),1,0)</f>
        <v>0</v>
      </c>
      <c r="W436">
        <f>IF(V436=1,SUM($V$2:V436),0)</f>
        <v>0</v>
      </c>
      <c r="X436" t="s">
        <v>1368</v>
      </c>
      <c r="Y436" t="s">
        <v>1369</v>
      </c>
      <c r="Z436" t="s">
        <v>867</v>
      </c>
      <c r="AA436" t="s">
        <v>62</v>
      </c>
      <c r="AB436" t="s">
        <v>1370</v>
      </c>
      <c r="AC436" t="s">
        <v>1371</v>
      </c>
      <c r="AD436" t="s">
        <v>1372</v>
      </c>
      <c r="AE436" t="s">
        <v>62</v>
      </c>
      <c r="AF436" t="s">
        <v>1373</v>
      </c>
    </row>
    <row r="437" spans="1:32" x14ac:dyDescent="0.35">
      <c r="A437" t="s">
        <v>163</v>
      </c>
      <c r="B437" t="s">
        <v>1438</v>
      </c>
      <c r="C437" t="s">
        <v>896</v>
      </c>
      <c r="D437" t="s">
        <v>897</v>
      </c>
      <c r="E437" t="s">
        <v>1278</v>
      </c>
      <c r="F437" t="s">
        <v>1439</v>
      </c>
      <c r="G437" t="s">
        <v>1440</v>
      </c>
      <c r="H437" t="s">
        <v>47</v>
      </c>
      <c r="I437" t="s">
        <v>857</v>
      </c>
      <c r="J437" t="s">
        <v>1441</v>
      </c>
      <c r="K437" t="s">
        <v>1442</v>
      </c>
      <c r="N437" t="s">
        <v>52</v>
      </c>
      <c r="O437" t="s">
        <v>52</v>
      </c>
      <c r="Q437" t="s">
        <v>1363</v>
      </c>
      <c r="R437" t="s">
        <v>1443</v>
      </c>
      <c r="S437" t="s">
        <v>1444</v>
      </c>
      <c r="T437" t="s">
        <v>1453</v>
      </c>
      <c r="U437" t="s">
        <v>1446</v>
      </c>
      <c r="V437">
        <f>IF(AND(SUM(IF('Consulta de contratos'!$K$1="",0,1),IF('Consulta de contratos'!$K$2="",0,1),IF('Consulta de contratos'!$K$3="",0,1),IF('Consulta de contratos'!$K$4="",0,1),IF('Consulta de contratos'!$K$5="",0,1),IF('Consulta de contratos'!$K$6="",0,1))&gt;0,OR('Consulta de contratos'!$K$1="",A437='Consulta de contratos'!$K$1),OR('Consulta de contratos'!$K$2="",I437='Consulta de contratos'!$K$2),OR('Consulta de contratos'!$K$3="",C437='Consulta de contratos'!$K$3),OR('Consulta de contratos'!$K$4="",D437='Consulta de contratos'!$K$4),OR('Consulta de contratos'!$K$5="",E437='Consulta de contratos'!$K$5),OR('Consulta de contratos'!$K$6="",IFERROR(ISNUMBER(SEARCH("|"&amp;'Consulta de contratos'!$K$6&amp;"|",AF437)),FALSE))),1,0)</f>
        <v>0</v>
      </c>
      <c r="W437">
        <f>IF(V437=1,SUM($V$2:V437),0)</f>
        <v>0</v>
      </c>
      <c r="X437" t="s">
        <v>1368</v>
      </c>
      <c r="Y437" t="s">
        <v>1369</v>
      </c>
      <c r="Z437" t="s">
        <v>867</v>
      </c>
      <c r="AA437" t="s">
        <v>62</v>
      </c>
      <c r="AB437" t="s">
        <v>1370</v>
      </c>
      <c r="AC437" t="s">
        <v>1371</v>
      </c>
      <c r="AD437" t="s">
        <v>1372</v>
      </c>
      <c r="AE437" t="s">
        <v>62</v>
      </c>
      <c r="AF437" t="s">
        <v>1373</v>
      </c>
    </row>
    <row r="438" spans="1:32" x14ac:dyDescent="0.35">
      <c r="A438" t="s">
        <v>170</v>
      </c>
      <c r="B438" t="s">
        <v>1438</v>
      </c>
      <c r="C438" t="s">
        <v>896</v>
      </c>
      <c r="D438" t="s">
        <v>897</v>
      </c>
      <c r="E438" t="s">
        <v>1278</v>
      </c>
      <c r="F438" t="s">
        <v>1439</v>
      </c>
      <c r="G438" t="s">
        <v>1440</v>
      </c>
      <c r="H438" t="s">
        <v>47</v>
      </c>
      <c r="I438" t="s">
        <v>857</v>
      </c>
      <c r="J438" t="s">
        <v>1441</v>
      </c>
      <c r="K438" t="s">
        <v>1442</v>
      </c>
      <c r="N438" t="s">
        <v>52</v>
      </c>
      <c r="O438" t="s">
        <v>52</v>
      </c>
      <c r="Q438" t="s">
        <v>1363</v>
      </c>
      <c r="R438" t="s">
        <v>1443</v>
      </c>
      <c r="S438" t="s">
        <v>1444</v>
      </c>
      <c r="T438" t="s">
        <v>1454</v>
      </c>
      <c r="U438" t="s">
        <v>1446</v>
      </c>
      <c r="V438">
        <f>IF(AND(SUM(IF('Consulta de contratos'!$K$1="",0,1),IF('Consulta de contratos'!$K$2="",0,1),IF('Consulta de contratos'!$K$3="",0,1),IF('Consulta de contratos'!$K$4="",0,1),IF('Consulta de contratos'!$K$5="",0,1),IF('Consulta de contratos'!$K$6="",0,1))&gt;0,OR('Consulta de contratos'!$K$1="",A438='Consulta de contratos'!$K$1),OR('Consulta de contratos'!$K$2="",I438='Consulta de contratos'!$K$2),OR('Consulta de contratos'!$K$3="",C438='Consulta de contratos'!$K$3),OR('Consulta de contratos'!$K$4="",D438='Consulta de contratos'!$K$4),OR('Consulta de contratos'!$K$5="",E438='Consulta de contratos'!$K$5),OR('Consulta de contratos'!$K$6="",IFERROR(ISNUMBER(SEARCH("|"&amp;'Consulta de contratos'!$K$6&amp;"|",AF438)),FALSE))),1,0)</f>
        <v>0</v>
      </c>
      <c r="W438">
        <f>IF(V438=1,SUM($V$2:V438),0)</f>
        <v>0</v>
      </c>
      <c r="X438" t="s">
        <v>1368</v>
      </c>
      <c r="Y438" t="s">
        <v>1369</v>
      </c>
      <c r="Z438" t="s">
        <v>867</v>
      </c>
      <c r="AA438" t="s">
        <v>62</v>
      </c>
      <c r="AB438" t="s">
        <v>1370</v>
      </c>
      <c r="AC438" t="s">
        <v>1371</v>
      </c>
      <c r="AD438" t="s">
        <v>1372</v>
      </c>
      <c r="AE438" t="s">
        <v>62</v>
      </c>
      <c r="AF438" t="s">
        <v>1373</v>
      </c>
    </row>
    <row r="439" spans="1:32" x14ac:dyDescent="0.35">
      <c r="A439" t="s">
        <v>212</v>
      </c>
      <c r="B439" t="s">
        <v>1438</v>
      </c>
      <c r="C439" t="s">
        <v>896</v>
      </c>
      <c r="D439" t="s">
        <v>897</v>
      </c>
      <c r="E439" t="s">
        <v>1278</v>
      </c>
      <c r="F439" t="s">
        <v>1439</v>
      </c>
      <c r="G439" t="s">
        <v>1440</v>
      </c>
      <c r="H439" t="s">
        <v>47</v>
      </c>
      <c r="I439" t="s">
        <v>857</v>
      </c>
      <c r="J439" t="s">
        <v>1441</v>
      </c>
      <c r="K439" t="s">
        <v>1442</v>
      </c>
      <c r="N439" t="s">
        <v>52</v>
      </c>
      <c r="O439" t="s">
        <v>52</v>
      </c>
      <c r="Q439" t="s">
        <v>1363</v>
      </c>
      <c r="R439" t="s">
        <v>1443</v>
      </c>
      <c r="S439" t="s">
        <v>1444</v>
      </c>
      <c r="T439" t="s">
        <v>1455</v>
      </c>
      <c r="U439" t="s">
        <v>1446</v>
      </c>
      <c r="V439">
        <f>IF(AND(SUM(IF('Consulta de contratos'!$K$1="",0,1),IF('Consulta de contratos'!$K$2="",0,1),IF('Consulta de contratos'!$K$3="",0,1),IF('Consulta de contratos'!$K$4="",0,1),IF('Consulta de contratos'!$K$5="",0,1),IF('Consulta de contratos'!$K$6="",0,1))&gt;0,OR('Consulta de contratos'!$K$1="",A439='Consulta de contratos'!$K$1),OR('Consulta de contratos'!$K$2="",I439='Consulta de contratos'!$K$2),OR('Consulta de contratos'!$K$3="",C439='Consulta de contratos'!$K$3),OR('Consulta de contratos'!$K$4="",D439='Consulta de contratos'!$K$4),OR('Consulta de contratos'!$K$5="",E439='Consulta de contratos'!$K$5),OR('Consulta de contratos'!$K$6="",IFERROR(ISNUMBER(SEARCH("|"&amp;'Consulta de contratos'!$K$6&amp;"|",AF439)),FALSE))),1,0)</f>
        <v>0</v>
      </c>
      <c r="W439">
        <f>IF(V439=1,SUM($V$2:V439),0)</f>
        <v>0</v>
      </c>
      <c r="X439" t="s">
        <v>1368</v>
      </c>
      <c r="Y439" t="s">
        <v>1369</v>
      </c>
      <c r="Z439" t="s">
        <v>867</v>
      </c>
      <c r="AA439" t="s">
        <v>62</v>
      </c>
      <c r="AB439" t="s">
        <v>1370</v>
      </c>
      <c r="AC439" t="s">
        <v>1371</v>
      </c>
      <c r="AD439" t="s">
        <v>1372</v>
      </c>
      <c r="AE439" t="s">
        <v>62</v>
      </c>
      <c r="AF439" t="s">
        <v>1373</v>
      </c>
    </row>
    <row r="440" spans="1:32" x14ac:dyDescent="0.35">
      <c r="A440" t="s">
        <v>219</v>
      </c>
      <c r="B440" t="s">
        <v>1438</v>
      </c>
      <c r="C440" t="s">
        <v>896</v>
      </c>
      <c r="D440" t="s">
        <v>897</v>
      </c>
      <c r="E440" t="s">
        <v>1278</v>
      </c>
      <c r="F440" t="s">
        <v>1439</v>
      </c>
      <c r="G440" t="s">
        <v>1440</v>
      </c>
      <c r="H440" t="s">
        <v>47</v>
      </c>
      <c r="I440" t="s">
        <v>857</v>
      </c>
      <c r="J440" t="s">
        <v>1441</v>
      </c>
      <c r="K440" t="s">
        <v>1442</v>
      </c>
      <c r="N440" t="s">
        <v>52</v>
      </c>
      <c r="O440" t="s">
        <v>52</v>
      </c>
      <c r="Q440" t="s">
        <v>1363</v>
      </c>
      <c r="R440" t="s">
        <v>1443</v>
      </c>
      <c r="S440" t="s">
        <v>1444</v>
      </c>
      <c r="T440" t="s">
        <v>1456</v>
      </c>
      <c r="U440" t="s">
        <v>1446</v>
      </c>
      <c r="V440">
        <f>IF(AND(SUM(IF('Consulta de contratos'!$K$1="",0,1),IF('Consulta de contratos'!$K$2="",0,1),IF('Consulta de contratos'!$K$3="",0,1),IF('Consulta de contratos'!$K$4="",0,1),IF('Consulta de contratos'!$K$5="",0,1),IF('Consulta de contratos'!$K$6="",0,1))&gt;0,OR('Consulta de contratos'!$K$1="",A440='Consulta de contratos'!$K$1),OR('Consulta de contratos'!$K$2="",I440='Consulta de contratos'!$K$2),OR('Consulta de contratos'!$K$3="",C440='Consulta de contratos'!$K$3),OR('Consulta de contratos'!$K$4="",D440='Consulta de contratos'!$K$4),OR('Consulta de contratos'!$K$5="",E440='Consulta de contratos'!$K$5),OR('Consulta de contratos'!$K$6="",IFERROR(ISNUMBER(SEARCH("|"&amp;'Consulta de contratos'!$K$6&amp;"|",AF440)),FALSE))),1,0)</f>
        <v>0</v>
      </c>
      <c r="W440">
        <f>IF(V440=1,SUM($V$2:V440),0)</f>
        <v>0</v>
      </c>
      <c r="X440" t="s">
        <v>1368</v>
      </c>
      <c r="Y440" t="s">
        <v>1369</v>
      </c>
      <c r="Z440" t="s">
        <v>867</v>
      </c>
      <c r="AA440" t="s">
        <v>62</v>
      </c>
      <c r="AB440" t="s">
        <v>1370</v>
      </c>
      <c r="AC440" t="s">
        <v>1371</v>
      </c>
      <c r="AD440" t="s">
        <v>1372</v>
      </c>
      <c r="AE440" t="s">
        <v>62</v>
      </c>
      <c r="AF440" t="s">
        <v>1373</v>
      </c>
    </row>
    <row r="441" spans="1:32" x14ac:dyDescent="0.35">
      <c r="A441" t="s">
        <v>247</v>
      </c>
      <c r="B441" t="s">
        <v>1438</v>
      </c>
      <c r="C441" t="s">
        <v>896</v>
      </c>
      <c r="D441" t="s">
        <v>897</v>
      </c>
      <c r="E441" t="s">
        <v>1278</v>
      </c>
      <c r="F441" t="s">
        <v>1439</v>
      </c>
      <c r="G441" t="s">
        <v>1440</v>
      </c>
      <c r="H441" t="s">
        <v>47</v>
      </c>
      <c r="I441" t="s">
        <v>857</v>
      </c>
      <c r="J441" t="s">
        <v>1441</v>
      </c>
      <c r="K441" t="s">
        <v>1442</v>
      </c>
      <c r="N441" t="s">
        <v>52</v>
      </c>
      <c r="O441" t="s">
        <v>52</v>
      </c>
      <c r="Q441" t="s">
        <v>1363</v>
      </c>
      <c r="R441" t="s">
        <v>1443</v>
      </c>
      <c r="S441" t="s">
        <v>1444</v>
      </c>
      <c r="T441" t="s">
        <v>1457</v>
      </c>
      <c r="U441" t="s">
        <v>1446</v>
      </c>
      <c r="V441">
        <f>IF(AND(SUM(IF('Consulta de contratos'!$K$1="",0,1),IF('Consulta de contratos'!$K$2="",0,1),IF('Consulta de contratos'!$K$3="",0,1),IF('Consulta de contratos'!$K$4="",0,1),IF('Consulta de contratos'!$K$5="",0,1),IF('Consulta de contratos'!$K$6="",0,1))&gt;0,OR('Consulta de contratos'!$K$1="",A441='Consulta de contratos'!$K$1),OR('Consulta de contratos'!$K$2="",I441='Consulta de contratos'!$K$2),OR('Consulta de contratos'!$K$3="",C441='Consulta de contratos'!$K$3),OR('Consulta de contratos'!$K$4="",D441='Consulta de contratos'!$K$4),OR('Consulta de contratos'!$K$5="",E441='Consulta de contratos'!$K$5),OR('Consulta de contratos'!$K$6="",IFERROR(ISNUMBER(SEARCH("|"&amp;'Consulta de contratos'!$K$6&amp;"|",AF441)),FALSE))),1,0)</f>
        <v>0</v>
      </c>
      <c r="W441">
        <f>IF(V441=1,SUM($V$2:V441),0)</f>
        <v>0</v>
      </c>
      <c r="X441" t="s">
        <v>1368</v>
      </c>
      <c r="Y441" t="s">
        <v>1369</v>
      </c>
      <c r="Z441" t="s">
        <v>867</v>
      </c>
      <c r="AA441" t="s">
        <v>62</v>
      </c>
      <c r="AB441" t="s">
        <v>1370</v>
      </c>
      <c r="AC441" t="s">
        <v>1371</v>
      </c>
      <c r="AD441" t="s">
        <v>1372</v>
      </c>
      <c r="AE441" t="s">
        <v>62</v>
      </c>
      <c r="AF441" t="s">
        <v>1373</v>
      </c>
    </row>
    <row r="442" spans="1:32" x14ac:dyDescent="0.35">
      <c r="A442" t="s">
        <v>254</v>
      </c>
      <c r="B442" t="s">
        <v>1438</v>
      </c>
      <c r="C442" t="s">
        <v>896</v>
      </c>
      <c r="D442" t="s">
        <v>897</v>
      </c>
      <c r="E442" t="s">
        <v>1278</v>
      </c>
      <c r="F442" t="s">
        <v>1439</v>
      </c>
      <c r="G442" t="s">
        <v>1440</v>
      </c>
      <c r="H442" t="s">
        <v>47</v>
      </c>
      <c r="I442" t="s">
        <v>857</v>
      </c>
      <c r="J442" t="s">
        <v>1441</v>
      </c>
      <c r="K442" t="s">
        <v>1442</v>
      </c>
      <c r="N442" t="s">
        <v>52</v>
      </c>
      <c r="O442" t="s">
        <v>52</v>
      </c>
      <c r="Q442" t="s">
        <v>1363</v>
      </c>
      <c r="R442" t="s">
        <v>1443</v>
      </c>
      <c r="S442" t="s">
        <v>1444</v>
      </c>
      <c r="T442" t="s">
        <v>1458</v>
      </c>
      <c r="U442" t="s">
        <v>1446</v>
      </c>
      <c r="V442">
        <f>IF(AND(SUM(IF('Consulta de contratos'!$K$1="",0,1),IF('Consulta de contratos'!$K$2="",0,1),IF('Consulta de contratos'!$K$3="",0,1),IF('Consulta de contratos'!$K$4="",0,1),IF('Consulta de contratos'!$K$5="",0,1),IF('Consulta de contratos'!$K$6="",0,1))&gt;0,OR('Consulta de contratos'!$K$1="",A442='Consulta de contratos'!$K$1),OR('Consulta de contratos'!$K$2="",I442='Consulta de contratos'!$K$2),OR('Consulta de contratos'!$K$3="",C442='Consulta de contratos'!$K$3),OR('Consulta de contratos'!$K$4="",D442='Consulta de contratos'!$K$4),OR('Consulta de contratos'!$K$5="",E442='Consulta de contratos'!$K$5),OR('Consulta de contratos'!$K$6="",IFERROR(ISNUMBER(SEARCH("|"&amp;'Consulta de contratos'!$K$6&amp;"|",AF442)),FALSE))),1,0)</f>
        <v>0</v>
      </c>
      <c r="W442">
        <f>IF(V442=1,SUM($V$2:V442),0)</f>
        <v>0</v>
      </c>
      <c r="X442" t="s">
        <v>1368</v>
      </c>
      <c r="Y442" t="s">
        <v>1369</v>
      </c>
      <c r="Z442" t="s">
        <v>867</v>
      </c>
      <c r="AA442" t="s">
        <v>62</v>
      </c>
      <c r="AB442" t="s">
        <v>1370</v>
      </c>
      <c r="AC442" t="s">
        <v>1371</v>
      </c>
      <c r="AD442" t="s">
        <v>1372</v>
      </c>
      <c r="AE442" t="s">
        <v>62</v>
      </c>
      <c r="AF442" t="s">
        <v>1373</v>
      </c>
    </row>
    <row r="443" spans="1:32" x14ac:dyDescent="0.35">
      <c r="A443" t="s">
        <v>177</v>
      </c>
      <c r="B443" t="s">
        <v>1438</v>
      </c>
      <c r="C443" t="s">
        <v>896</v>
      </c>
      <c r="D443" t="s">
        <v>897</v>
      </c>
      <c r="E443" t="s">
        <v>1278</v>
      </c>
      <c r="F443" t="s">
        <v>1439</v>
      </c>
      <c r="G443" t="s">
        <v>1440</v>
      </c>
      <c r="H443" t="s">
        <v>124</v>
      </c>
      <c r="I443" t="s">
        <v>857</v>
      </c>
      <c r="J443" t="s">
        <v>1441</v>
      </c>
      <c r="K443" t="s">
        <v>1459</v>
      </c>
      <c r="N443" t="s">
        <v>52</v>
      </c>
      <c r="O443" t="s">
        <v>52</v>
      </c>
      <c r="Q443" t="s">
        <v>1363</v>
      </c>
      <c r="R443" t="s">
        <v>1443</v>
      </c>
      <c r="S443" t="s">
        <v>1444</v>
      </c>
      <c r="T443" t="s">
        <v>1460</v>
      </c>
      <c r="U443" t="s">
        <v>1461</v>
      </c>
      <c r="V443">
        <f>IF(AND(SUM(IF('Consulta de contratos'!$K$1="",0,1),IF('Consulta de contratos'!$K$2="",0,1),IF('Consulta de contratos'!$K$3="",0,1),IF('Consulta de contratos'!$K$4="",0,1),IF('Consulta de contratos'!$K$5="",0,1),IF('Consulta de contratos'!$K$6="",0,1))&gt;0,OR('Consulta de contratos'!$K$1="",A443='Consulta de contratos'!$K$1),OR('Consulta de contratos'!$K$2="",I443='Consulta de contratos'!$K$2),OR('Consulta de contratos'!$K$3="",C443='Consulta de contratos'!$K$3),OR('Consulta de contratos'!$K$4="",D443='Consulta de contratos'!$K$4),OR('Consulta de contratos'!$K$5="",E443='Consulta de contratos'!$K$5),OR('Consulta de contratos'!$K$6="",IFERROR(ISNUMBER(SEARCH("|"&amp;'Consulta de contratos'!$K$6&amp;"|",AF443)),FALSE))),1,0)</f>
        <v>0</v>
      </c>
      <c r="W443">
        <f>IF(V443=1,SUM($V$2:V443),0)</f>
        <v>0</v>
      </c>
      <c r="X443" t="s">
        <v>1368</v>
      </c>
      <c r="Y443" t="s">
        <v>1369</v>
      </c>
      <c r="Z443" t="s">
        <v>867</v>
      </c>
      <c r="AA443" t="s">
        <v>62</v>
      </c>
      <c r="AB443" t="s">
        <v>1370</v>
      </c>
      <c r="AC443" t="s">
        <v>1371</v>
      </c>
      <c r="AD443" t="s">
        <v>1372</v>
      </c>
      <c r="AE443" t="s">
        <v>62</v>
      </c>
      <c r="AF443" t="s">
        <v>1373</v>
      </c>
    </row>
    <row r="444" spans="1:32" x14ac:dyDescent="0.35">
      <c r="A444" t="s">
        <v>184</v>
      </c>
      <c r="B444" t="s">
        <v>1438</v>
      </c>
      <c r="C444" t="s">
        <v>896</v>
      </c>
      <c r="D444" t="s">
        <v>897</v>
      </c>
      <c r="E444" t="s">
        <v>1278</v>
      </c>
      <c r="F444" t="s">
        <v>1439</v>
      </c>
      <c r="G444" t="s">
        <v>1440</v>
      </c>
      <c r="H444" t="s">
        <v>124</v>
      </c>
      <c r="I444" t="s">
        <v>857</v>
      </c>
      <c r="J444" t="s">
        <v>1441</v>
      </c>
      <c r="K444" t="s">
        <v>1459</v>
      </c>
      <c r="N444" t="s">
        <v>52</v>
      </c>
      <c r="O444" t="s">
        <v>52</v>
      </c>
      <c r="Q444" t="s">
        <v>1363</v>
      </c>
      <c r="R444" t="s">
        <v>1443</v>
      </c>
      <c r="S444" t="s">
        <v>1444</v>
      </c>
      <c r="T444" t="s">
        <v>1462</v>
      </c>
      <c r="U444" t="s">
        <v>1461</v>
      </c>
      <c r="V444">
        <f>IF(AND(SUM(IF('Consulta de contratos'!$K$1="",0,1),IF('Consulta de contratos'!$K$2="",0,1),IF('Consulta de contratos'!$K$3="",0,1),IF('Consulta de contratos'!$K$4="",0,1),IF('Consulta de contratos'!$K$5="",0,1),IF('Consulta de contratos'!$K$6="",0,1))&gt;0,OR('Consulta de contratos'!$K$1="",A444='Consulta de contratos'!$K$1),OR('Consulta de contratos'!$K$2="",I444='Consulta de contratos'!$K$2),OR('Consulta de contratos'!$K$3="",C444='Consulta de contratos'!$K$3),OR('Consulta de contratos'!$K$4="",D444='Consulta de contratos'!$K$4),OR('Consulta de contratos'!$K$5="",E444='Consulta de contratos'!$K$5),OR('Consulta de contratos'!$K$6="",IFERROR(ISNUMBER(SEARCH("|"&amp;'Consulta de contratos'!$K$6&amp;"|",AF444)),FALSE))),1,0)</f>
        <v>0</v>
      </c>
      <c r="W444">
        <f>IF(V444=1,SUM($V$2:V444),0)</f>
        <v>0</v>
      </c>
      <c r="X444" t="s">
        <v>1368</v>
      </c>
      <c r="Y444" t="s">
        <v>1369</v>
      </c>
      <c r="Z444" t="s">
        <v>867</v>
      </c>
      <c r="AA444" t="s">
        <v>62</v>
      </c>
      <c r="AB444" t="s">
        <v>1370</v>
      </c>
      <c r="AC444" t="s">
        <v>1371</v>
      </c>
      <c r="AD444" t="s">
        <v>1372</v>
      </c>
      <c r="AE444" t="s">
        <v>62</v>
      </c>
      <c r="AF444" t="s">
        <v>1373</v>
      </c>
    </row>
    <row r="445" spans="1:32" x14ac:dyDescent="0.35">
      <c r="A445" t="s">
        <v>191</v>
      </c>
      <c r="B445" t="s">
        <v>1438</v>
      </c>
      <c r="C445" t="s">
        <v>896</v>
      </c>
      <c r="D445" t="s">
        <v>897</v>
      </c>
      <c r="E445" t="s">
        <v>1278</v>
      </c>
      <c r="F445" t="s">
        <v>1439</v>
      </c>
      <c r="G445" t="s">
        <v>1440</v>
      </c>
      <c r="H445" t="s">
        <v>124</v>
      </c>
      <c r="I445" t="s">
        <v>857</v>
      </c>
      <c r="J445" t="s">
        <v>1441</v>
      </c>
      <c r="K445" t="s">
        <v>1459</v>
      </c>
      <c r="N445" t="s">
        <v>52</v>
      </c>
      <c r="O445" t="s">
        <v>52</v>
      </c>
      <c r="Q445" t="s">
        <v>1363</v>
      </c>
      <c r="R445" t="s">
        <v>1443</v>
      </c>
      <c r="S445" t="s">
        <v>1444</v>
      </c>
      <c r="T445" t="s">
        <v>1463</v>
      </c>
      <c r="U445" t="s">
        <v>1461</v>
      </c>
      <c r="V445">
        <f>IF(AND(SUM(IF('Consulta de contratos'!$K$1="",0,1),IF('Consulta de contratos'!$K$2="",0,1),IF('Consulta de contratos'!$K$3="",0,1),IF('Consulta de contratos'!$K$4="",0,1),IF('Consulta de contratos'!$K$5="",0,1),IF('Consulta de contratos'!$K$6="",0,1))&gt;0,OR('Consulta de contratos'!$K$1="",A445='Consulta de contratos'!$K$1),OR('Consulta de contratos'!$K$2="",I445='Consulta de contratos'!$K$2),OR('Consulta de contratos'!$K$3="",C445='Consulta de contratos'!$K$3),OR('Consulta de contratos'!$K$4="",D445='Consulta de contratos'!$K$4),OR('Consulta de contratos'!$K$5="",E445='Consulta de contratos'!$K$5),OR('Consulta de contratos'!$K$6="",IFERROR(ISNUMBER(SEARCH("|"&amp;'Consulta de contratos'!$K$6&amp;"|",AF445)),FALSE))),1,0)</f>
        <v>0</v>
      </c>
      <c r="W445">
        <f>IF(V445=1,SUM($V$2:V445),0)</f>
        <v>0</v>
      </c>
      <c r="X445" t="s">
        <v>1368</v>
      </c>
      <c r="Y445" t="s">
        <v>1369</v>
      </c>
      <c r="Z445" t="s">
        <v>867</v>
      </c>
      <c r="AA445" t="s">
        <v>62</v>
      </c>
      <c r="AB445" t="s">
        <v>1370</v>
      </c>
      <c r="AC445" t="s">
        <v>1371</v>
      </c>
      <c r="AD445" t="s">
        <v>1372</v>
      </c>
      <c r="AE445" t="s">
        <v>62</v>
      </c>
      <c r="AF445" t="s">
        <v>1373</v>
      </c>
    </row>
    <row r="446" spans="1:32" x14ac:dyDescent="0.35">
      <c r="A446" t="s">
        <v>198</v>
      </c>
      <c r="B446" t="s">
        <v>1438</v>
      </c>
      <c r="C446" t="s">
        <v>896</v>
      </c>
      <c r="D446" t="s">
        <v>897</v>
      </c>
      <c r="E446" t="s">
        <v>1278</v>
      </c>
      <c r="F446" t="s">
        <v>1439</v>
      </c>
      <c r="G446" t="s">
        <v>1440</v>
      </c>
      <c r="H446" t="s">
        <v>124</v>
      </c>
      <c r="I446" t="s">
        <v>857</v>
      </c>
      <c r="J446" t="s">
        <v>1441</v>
      </c>
      <c r="K446" t="s">
        <v>1459</v>
      </c>
      <c r="N446" t="s">
        <v>52</v>
      </c>
      <c r="O446" t="s">
        <v>52</v>
      </c>
      <c r="Q446" t="s">
        <v>1363</v>
      </c>
      <c r="R446" t="s">
        <v>1443</v>
      </c>
      <c r="S446" t="s">
        <v>1444</v>
      </c>
      <c r="T446" t="s">
        <v>1464</v>
      </c>
      <c r="U446" t="s">
        <v>1461</v>
      </c>
      <c r="V446">
        <f>IF(AND(SUM(IF('Consulta de contratos'!$K$1="",0,1),IF('Consulta de contratos'!$K$2="",0,1),IF('Consulta de contratos'!$K$3="",0,1),IF('Consulta de contratos'!$K$4="",0,1),IF('Consulta de contratos'!$K$5="",0,1),IF('Consulta de contratos'!$K$6="",0,1))&gt;0,OR('Consulta de contratos'!$K$1="",A446='Consulta de contratos'!$K$1),OR('Consulta de contratos'!$K$2="",I446='Consulta de contratos'!$K$2),OR('Consulta de contratos'!$K$3="",C446='Consulta de contratos'!$K$3),OR('Consulta de contratos'!$K$4="",D446='Consulta de contratos'!$K$4),OR('Consulta de contratos'!$K$5="",E446='Consulta de contratos'!$K$5),OR('Consulta de contratos'!$K$6="",IFERROR(ISNUMBER(SEARCH("|"&amp;'Consulta de contratos'!$K$6&amp;"|",AF446)),FALSE))),1,0)</f>
        <v>0</v>
      </c>
      <c r="W446">
        <f>IF(V446=1,SUM($V$2:V446),0)</f>
        <v>0</v>
      </c>
      <c r="X446" t="s">
        <v>1368</v>
      </c>
      <c r="Y446" t="s">
        <v>1369</v>
      </c>
      <c r="Z446" t="s">
        <v>867</v>
      </c>
      <c r="AA446" t="s">
        <v>62</v>
      </c>
      <c r="AB446" t="s">
        <v>1370</v>
      </c>
      <c r="AC446" t="s">
        <v>1371</v>
      </c>
      <c r="AD446" t="s">
        <v>1372</v>
      </c>
      <c r="AE446" t="s">
        <v>62</v>
      </c>
      <c r="AF446" t="s">
        <v>1373</v>
      </c>
    </row>
    <row r="447" spans="1:32" x14ac:dyDescent="0.35">
      <c r="A447" t="s">
        <v>205</v>
      </c>
      <c r="B447" t="s">
        <v>1438</v>
      </c>
      <c r="C447" t="s">
        <v>896</v>
      </c>
      <c r="D447" t="s">
        <v>897</v>
      </c>
      <c r="E447" t="s">
        <v>1278</v>
      </c>
      <c r="F447" t="s">
        <v>1439</v>
      </c>
      <c r="G447" t="s">
        <v>1440</v>
      </c>
      <c r="H447" t="s">
        <v>124</v>
      </c>
      <c r="I447" t="s">
        <v>857</v>
      </c>
      <c r="J447" t="s">
        <v>1441</v>
      </c>
      <c r="K447" t="s">
        <v>1459</v>
      </c>
      <c r="N447" t="s">
        <v>52</v>
      </c>
      <c r="O447" t="s">
        <v>52</v>
      </c>
      <c r="Q447" t="s">
        <v>1363</v>
      </c>
      <c r="R447" t="s">
        <v>1443</v>
      </c>
      <c r="S447" t="s">
        <v>1444</v>
      </c>
      <c r="T447" t="s">
        <v>1465</v>
      </c>
      <c r="U447" t="s">
        <v>1461</v>
      </c>
      <c r="V447">
        <f>IF(AND(SUM(IF('Consulta de contratos'!$K$1="",0,1),IF('Consulta de contratos'!$K$2="",0,1),IF('Consulta de contratos'!$K$3="",0,1),IF('Consulta de contratos'!$K$4="",0,1),IF('Consulta de contratos'!$K$5="",0,1),IF('Consulta de contratos'!$K$6="",0,1))&gt;0,OR('Consulta de contratos'!$K$1="",A447='Consulta de contratos'!$K$1),OR('Consulta de contratos'!$K$2="",I447='Consulta de contratos'!$K$2),OR('Consulta de contratos'!$K$3="",C447='Consulta de contratos'!$K$3),OR('Consulta de contratos'!$K$4="",D447='Consulta de contratos'!$K$4),OR('Consulta de contratos'!$K$5="",E447='Consulta de contratos'!$K$5),OR('Consulta de contratos'!$K$6="",IFERROR(ISNUMBER(SEARCH("|"&amp;'Consulta de contratos'!$K$6&amp;"|",AF447)),FALSE))),1,0)</f>
        <v>0</v>
      </c>
      <c r="W447">
        <f>IF(V447=1,SUM($V$2:V447),0)</f>
        <v>0</v>
      </c>
      <c r="X447" t="s">
        <v>1368</v>
      </c>
      <c r="Y447" t="s">
        <v>1369</v>
      </c>
      <c r="Z447" t="s">
        <v>867</v>
      </c>
      <c r="AA447" t="s">
        <v>62</v>
      </c>
      <c r="AB447" t="s">
        <v>1370</v>
      </c>
      <c r="AC447" t="s">
        <v>1371</v>
      </c>
      <c r="AD447" t="s">
        <v>1372</v>
      </c>
      <c r="AE447" t="s">
        <v>62</v>
      </c>
      <c r="AF447" t="s">
        <v>1373</v>
      </c>
    </row>
    <row r="448" spans="1:32" x14ac:dyDescent="0.35">
      <c r="A448" t="s">
        <v>226</v>
      </c>
      <c r="B448" t="s">
        <v>1438</v>
      </c>
      <c r="C448" t="s">
        <v>896</v>
      </c>
      <c r="D448" t="s">
        <v>897</v>
      </c>
      <c r="E448" t="s">
        <v>1278</v>
      </c>
      <c r="F448" t="s">
        <v>1439</v>
      </c>
      <c r="G448" t="s">
        <v>1440</v>
      </c>
      <c r="H448" t="s">
        <v>124</v>
      </c>
      <c r="I448" t="s">
        <v>857</v>
      </c>
      <c r="J448" t="s">
        <v>1441</v>
      </c>
      <c r="K448" t="s">
        <v>1459</v>
      </c>
      <c r="N448" t="s">
        <v>52</v>
      </c>
      <c r="O448" t="s">
        <v>52</v>
      </c>
      <c r="Q448" t="s">
        <v>1363</v>
      </c>
      <c r="R448" t="s">
        <v>1443</v>
      </c>
      <c r="S448" t="s">
        <v>1444</v>
      </c>
      <c r="T448" t="s">
        <v>1466</v>
      </c>
      <c r="U448" t="s">
        <v>1461</v>
      </c>
      <c r="V448">
        <f>IF(AND(SUM(IF('Consulta de contratos'!$K$1="",0,1),IF('Consulta de contratos'!$K$2="",0,1),IF('Consulta de contratos'!$K$3="",0,1),IF('Consulta de contratos'!$K$4="",0,1),IF('Consulta de contratos'!$K$5="",0,1),IF('Consulta de contratos'!$K$6="",0,1))&gt;0,OR('Consulta de contratos'!$K$1="",A448='Consulta de contratos'!$K$1),OR('Consulta de contratos'!$K$2="",I448='Consulta de contratos'!$K$2),OR('Consulta de contratos'!$K$3="",C448='Consulta de contratos'!$K$3),OR('Consulta de contratos'!$K$4="",D448='Consulta de contratos'!$K$4),OR('Consulta de contratos'!$K$5="",E448='Consulta de contratos'!$K$5),OR('Consulta de contratos'!$K$6="",IFERROR(ISNUMBER(SEARCH("|"&amp;'Consulta de contratos'!$K$6&amp;"|",AF448)),FALSE))),1,0)</f>
        <v>0</v>
      </c>
      <c r="W448">
        <f>IF(V448=1,SUM($V$2:V448),0)</f>
        <v>0</v>
      </c>
      <c r="X448" t="s">
        <v>1368</v>
      </c>
      <c r="Y448" t="s">
        <v>1369</v>
      </c>
      <c r="Z448" t="s">
        <v>867</v>
      </c>
      <c r="AA448" t="s">
        <v>62</v>
      </c>
      <c r="AB448" t="s">
        <v>1370</v>
      </c>
      <c r="AC448" t="s">
        <v>1371</v>
      </c>
      <c r="AD448" t="s">
        <v>1372</v>
      </c>
      <c r="AE448" t="s">
        <v>62</v>
      </c>
      <c r="AF448" t="s">
        <v>1373</v>
      </c>
    </row>
    <row r="449" spans="1:32" x14ac:dyDescent="0.35">
      <c r="A449" t="s">
        <v>233</v>
      </c>
      <c r="B449" t="s">
        <v>1438</v>
      </c>
      <c r="C449" t="s">
        <v>896</v>
      </c>
      <c r="D449" t="s">
        <v>897</v>
      </c>
      <c r="E449" t="s">
        <v>1278</v>
      </c>
      <c r="F449" t="s">
        <v>1439</v>
      </c>
      <c r="G449" t="s">
        <v>1440</v>
      </c>
      <c r="H449" t="s">
        <v>124</v>
      </c>
      <c r="I449" t="s">
        <v>857</v>
      </c>
      <c r="J449" t="s">
        <v>1441</v>
      </c>
      <c r="K449" t="s">
        <v>1459</v>
      </c>
      <c r="N449" t="s">
        <v>52</v>
      </c>
      <c r="O449" t="s">
        <v>52</v>
      </c>
      <c r="Q449" t="s">
        <v>1363</v>
      </c>
      <c r="R449" t="s">
        <v>1443</v>
      </c>
      <c r="S449" t="s">
        <v>1444</v>
      </c>
      <c r="T449" t="s">
        <v>1467</v>
      </c>
      <c r="U449" t="s">
        <v>1461</v>
      </c>
      <c r="V449">
        <f>IF(AND(SUM(IF('Consulta de contratos'!$K$1="",0,1),IF('Consulta de contratos'!$K$2="",0,1),IF('Consulta de contratos'!$K$3="",0,1),IF('Consulta de contratos'!$K$4="",0,1),IF('Consulta de contratos'!$K$5="",0,1),IF('Consulta de contratos'!$K$6="",0,1))&gt;0,OR('Consulta de contratos'!$K$1="",A449='Consulta de contratos'!$K$1),OR('Consulta de contratos'!$K$2="",I449='Consulta de contratos'!$K$2),OR('Consulta de contratos'!$K$3="",C449='Consulta de contratos'!$K$3),OR('Consulta de contratos'!$K$4="",D449='Consulta de contratos'!$K$4),OR('Consulta de contratos'!$K$5="",E449='Consulta de contratos'!$K$5),OR('Consulta de contratos'!$K$6="",IFERROR(ISNUMBER(SEARCH("|"&amp;'Consulta de contratos'!$K$6&amp;"|",AF449)),FALSE))),1,0)</f>
        <v>0</v>
      </c>
      <c r="W449">
        <f>IF(V449=1,SUM($V$2:V449),0)</f>
        <v>0</v>
      </c>
      <c r="X449" t="s">
        <v>1368</v>
      </c>
      <c r="Y449" t="s">
        <v>1369</v>
      </c>
      <c r="Z449" t="s">
        <v>867</v>
      </c>
      <c r="AA449" t="s">
        <v>62</v>
      </c>
      <c r="AB449" t="s">
        <v>1370</v>
      </c>
      <c r="AC449" t="s">
        <v>1371</v>
      </c>
      <c r="AD449" t="s">
        <v>1372</v>
      </c>
      <c r="AE449" t="s">
        <v>62</v>
      </c>
      <c r="AF449" t="s">
        <v>1373</v>
      </c>
    </row>
    <row r="450" spans="1:32" x14ac:dyDescent="0.35">
      <c r="A450" t="s">
        <v>240</v>
      </c>
      <c r="B450" t="s">
        <v>1438</v>
      </c>
      <c r="C450" t="s">
        <v>896</v>
      </c>
      <c r="D450" t="s">
        <v>897</v>
      </c>
      <c r="E450" t="s">
        <v>1278</v>
      </c>
      <c r="F450" t="s">
        <v>1439</v>
      </c>
      <c r="G450" t="s">
        <v>1440</v>
      </c>
      <c r="H450" t="s">
        <v>124</v>
      </c>
      <c r="I450" t="s">
        <v>857</v>
      </c>
      <c r="J450" t="s">
        <v>1441</v>
      </c>
      <c r="K450" t="s">
        <v>1459</v>
      </c>
      <c r="N450" t="s">
        <v>52</v>
      </c>
      <c r="O450" t="s">
        <v>52</v>
      </c>
      <c r="Q450" t="s">
        <v>1363</v>
      </c>
      <c r="R450" t="s">
        <v>1443</v>
      </c>
      <c r="S450" t="s">
        <v>1444</v>
      </c>
      <c r="T450" t="s">
        <v>1468</v>
      </c>
      <c r="U450" t="s">
        <v>1461</v>
      </c>
      <c r="V450">
        <f>IF(AND(SUM(IF('Consulta de contratos'!$K$1="",0,1),IF('Consulta de contratos'!$K$2="",0,1),IF('Consulta de contratos'!$K$3="",0,1),IF('Consulta de contratos'!$K$4="",0,1),IF('Consulta de contratos'!$K$5="",0,1),IF('Consulta de contratos'!$K$6="",0,1))&gt;0,OR('Consulta de contratos'!$K$1="",A450='Consulta de contratos'!$K$1),OR('Consulta de contratos'!$K$2="",I450='Consulta de contratos'!$K$2),OR('Consulta de contratos'!$K$3="",C450='Consulta de contratos'!$K$3),OR('Consulta de contratos'!$K$4="",D450='Consulta de contratos'!$K$4),OR('Consulta de contratos'!$K$5="",E450='Consulta de contratos'!$K$5),OR('Consulta de contratos'!$K$6="",IFERROR(ISNUMBER(SEARCH("|"&amp;'Consulta de contratos'!$K$6&amp;"|",AF450)),FALSE))),1,0)</f>
        <v>0</v>
      </c>
      <c r="W450">
        <f>IF(V450=1,SUM($V$2:V450),0)</f>
        <v>0</v>
      </c>
      <c r="X450" t="s">
        <v>1368</v>
      </c>
      <c r="Y450" t="s">
        <v>1369</v>
      </c>
      <c r="Z450" t="s">
        <v>867</v>
      </c>
      <c r="AA450" t="s">
        <v>62</v>
      </c>
      <c r="AB450" t="s">
        <v>1370</v>
      </c>
      <c r="AC450" t="s">
        <v>1371</v>
      </c>
      <c r="AD450" t="s">
        <v>1372</v>
      </c>
      <c r="AE450" t="s">
        <v>62</v>
      </c>
      <c r="AF450" t="s">
        <v>1373</v>
      </c>
    </row>
    <row r="451" spans="1:32" x14ac:dyDescent="0.35">
      <c r="A451" t="s">
        <v>457</v>
      </c>
      <c r="B451" t="s">
        <v>1469</v>
      </c>
      <c r="C451" t="s">
        <v>896</v>
      </c>
      <c r="D451" t="s">
        <v>897</v>
      </c>
      <c r="E451" t="s">
        <v>1278</v>
      </c>
      <c r="F451" t="s">
        <v>1470</v>
      </c>
      <c r="G451" t="s">
        <v>1471</v>
      </c>
      <c r="H451" t="s">
        <v>84</v>
      </c>
      <c r="I451" t="s">
        <v>857</v>
      </c>
      <c r="J451" t="s">
        <v>1472</v>
      </c>
      <c r="K451" t="s">
        <v>1473</v>
      </c>
      <c r="N451" t="s">
        <v>52</v>
      </c>
      <c r="O451" t="s">
        <v>52</v>
      </c>
      <c r="Q451" t="s">
        <v>1363</v>
      </c>
      <c r="R451" t="s">
        <v>1474</v>
      </c>
      <c r="S451" t="s">
        <v>1475</v>
      </c>
      <c r="T451" t="s">
        <v>1476</v>
      </c>
      <c r="U451" t="s">
        <v>1477</v>
      </c>
      <c r="V451">
        <f>IF(AND(SUM(IF('Consulta de contratos'!$K$1="",0,1),IF('Consulta de contratos'!$K$2="",0,1),IF('Consulta de contratos'!$K$3="",0,1),IF('Consulta de contratos'!$K$4="",0,1),IF('Consulta de contratos'!$K$5="",0,1),IF('Consulta de contratos'!$K$6="",0,1))&gt;0,OR('Consulta de contratos'!$K$1="",A451='Consulta de contratos'!$K$1),OR('Consulta de contratos'!$K$2="",I451='Consulta de contratos'!$K$2),OR('Consulta de contratos'!$K$3="",C451='Consulta de contratos'!$K$3),OR('Consulta de contratos'!$K$4="",D451='Consulta de contratos'!$K$4),OR('Consulta de contratos'!$K$5="",E451='Consulta de contratos'!$K$5),OR('Consulta de contratos'!$K$6="",IFERROR(ISNUMBER(SEARCH("|"&amp;'Consulta de contratos'!$K$6&amp;"|",AF451)),FALSE))),1,0)</f>
        <v>0</v>
      </c>
      <c r="W451">
        <f>IF(V451=1,SUM($V$2:V451),0)</f>
        <v>0</v>
      </c>
      <c r="X451" t="s">
        <v>1368</v>
      </c>
      <c r="Y451" t="s">
        <v>1369</v>
      </c>
      <c r="Z451" t="s">
        <v>867</v>
      </c>
      <c r="AA451" t="s">
        <v>62</v>
      </c>
      <c r="AB451" t="s">
        <v>1370</v>
      </c>
      <c r="AC451" t="s">
        <v>1371</v>
      </c>
      <c r="AD451" t="s">
        <v>1372</v>
      </c>
      <c r="AE451" t="s">
        <v>62</v>
      </c>
      <c r="AF451" t="s">
        <v>1373</v>
      </c>
    </row>
    <row r="452" spans="1:32" x14ac:dyDescent="0.35">
      <c r="A452" t="s">
        <v>40</v>
      </c>
      <c r="B452" t="s">
        <v>333</v>
      </c>
      <c r="C452" t="s">
        <v>42</v>
      </c>
      <c r="D452" t="s">
        <v>262</v>
      </c>
      <c r="E452" t="s">
        <v>334</v>
      </c>
      <c r="F452" t="s">
        <v>1478</v>
      </c>
      <c r="G452" t="s">
        <v>1479</v>
      </c>
      <c r="H452" t="s">
        <v>47</v>
      </c>
      <c r="I452" t="s">
        <v>857</v>
      </c>
      <c r="J452" t="s">
        <v>1480</v>
      </c>
      <c r="K452" t="s">
        <v>1481</v>
      </c>
      <c r="N452" t="s">
        <v>269</v>
      </c>
      <c r="O452" t="s">
        <v>52</v>
      </c>
      <c r="Q452" t="s">
        <v>1482</v>
      </c>
      <c r="R452" t="s">
        <v>1483</v>
      </c>
      <c r="S452" t="s">
        <v>1484</v>
      </c>
      <c r="T452" t="s">
        <v>1485</v>
      </c>
      <c r="U452" t="s">
        <v>1486</v>
      </c>
      <c r="V452">
        <f>IF(AND(SUM(IF('Consulta de contratos'!$K$1="",0,1),IF('Consulta de contratos'!$K$2="",0,1),IF('Consulta de contratos'!$K$3="",0,1),IF('Consulta de contratos'!$K$4="",0,1),IF('Consulta de contratos'!$K$5="",0,1))&gt;0,OR('Consulta de contratos'!$K$1="",A452='Consulta de contratos'!$K$1),OR('Consulta de contratos'!$K$2="",I452='Consulta de contratos'!$K$2,AND(LEFT('Consulta de contratos'!$K$2,7)="Grupo: ",ISNUMBER(SEARCH("|"&amp;MID('Consulta de contratos'!$K$2,8,120)&amp;"|",AF452)))),OR('Consulta de contratos'!$K$3="",C452='Consulta de contratos'!$K$3),OR('Consulta de contratos'!$K$4="",D452='Consulta de contratos'!$K$4),OR('Consulta de contratos'!$K$5="",E452='Consulta de contratos'!$K$5)),1,0)</f>
        <v>0</v>
      </c>
      <c r="W452">
        <f>IF(V452=1,SUM($V$2:V452),0)</f>
        <v>0</v>
      </c>
      <c r="X452" t="s">
        <v>1487</v>
      </c>
      <c r="Y452" t="s">
        <v>1369</v>
      </c>
      <c r="Z452" t="s">
        <v>867</v>
      </c>
      <c r="AA452" t="s">
        <v>1488</v>
      </c>
      <c r="AB452" t="s">
        <v>1489</v>
      </c>
      <c r="AC452" t="s">
        <v>1490</v>
      </c>
      <c r="AD452" t="s">
        <v>1491</v>
      </c>
      <c r="AE452" t="s">
        <v>1488</v>
      </c>
      <c r="AF452" t="s">
        <v>1373</v>
      </c>
    </row>
    <row r="453" spans="1:32" x14ac:dyDescent="0.35">
      <c r="A453" t="s">
        <v>116</v>
      </c>
      <c r="B453" t="s">
        <v>333</v>
      </c>
      <c r="C453" t="s">
        <v>42</v>
      </c>
      <c r="D453" t="s">
        <v>262</v>
      </c>
      <c r="E453" t="s">
        <v>334</v>
      </c>
      <c r="F453" t="s">
        <v>1478</v>
      </c>
      <c r="G453" t="s">
        <v>1479</v>
      </c>
      <c r="H453" t="s">
        <v>47</v>
      </c>
      <c r="I453" t="s">
        <v>857</v>
      </c>
      <c r="J453" t="s">
        <v>1480</v>
      </c>
      <c r="K453" t="s">
        <v>1481</v>
      </c>
      <c r="N453" t="s">
        <v>269</v>
      </c>
      <c r="O453" t="s">
        <v>52</v>
      </c>
      <c r="Q453" t="s">
        <v>1482</v>
      </c>
      <c r="R453" t="s">
        <v>1483</v>
      </c>
      <c r="S453" t="s">
        <v>1484</v>
      </c>
      <c r="T453" t="s">
        <v>1492</v>
      </c>
      <c r="U453" t="s">
        <v>1486</v>
      </c>
      <c r="V453">
        <f>IF(AND(SUM(IF('Consulta de contratos'!$K$1="",0,1),IF('Consulta de contratos'!$K$2="",0,1),IF('Consulta de contratos'!$K$3="",0,1),IF('Consulta de contratos'!$K$4="",0,1),IF('Consulta de contratos'!$K$5="",0,1))&gt;0,OR('Consulta de contratos'!$K$1="",A453='Consulta de contratos'!$K$1),OR('Consulta de contratos'!$K$2="",I453='Consulta de contratos'!$K$2,AND(LEFT('Consulta de contratos'!$K$2,7)="Grupo: ",ISNUMBER(SEARCH("|"&amp;MID('Consulta de contratos'!$K$2,8,120)&amp;"|",AF453)))),OR('Consulta de contratos'!$K$3="",C453='Consulta de contratos'!$K$3),OR('Consulta de contratos'!$K$4="",D453='Consulta de contratos'!$K$4),OR('Consulta de contratos'!$K$5="",E453='Consulta de contratos'!$K$5)),1,0)</f>
        <v>0</v>
      </c>
      <c r="W453">
        <f>IF(V453=1,SUM($V$2:V453),0)</f>
        <v>0</v>
      </c>
      <c r="X453" t="s">
        <v>1487</v>
      </c>
      <c r="Y453" t="s">
        <v>1369</v>
      </c>
      <c r="Z453" t="s">
        <v>867</v>
      </c>
      <c r="AA453" t="s">
        <v>1488</v>
      </c>
      <c r="AB453" t="s">
        <v>1489</v>
      </c>
      <c r="AC453" t="s">
        <v>1490</v>
      </c>
      <c r="AD453" t="s">
        <v>1491</v>
      </c>
      <c r="AE453" t="s">
        <v>1488</v>
      </c>
      <c r="AF453" t="s">
        <v>1373</v>
      </c>
    </row>
    <row r="454" spans="1:32" x14ac:dyDescent="0.35">
      <c r="A454" t="s">
        <v>123</v>
      </c>
      <c r="B454" t="s">
        <v>333</v>
      </c>
      <c r="C454" t="s">
        <v>42</v>
      </c>
      <c r="D454" t="s">
        <v>262</v>
      </c>
      <c r="E454" t="s">
        <v>334</v>
      </c>
      <c r="F454" t="s">
        <v>1478</v>
      </c>
      <c r="G454" t="s">
        <v>1479</v>
      </c>
      <c r="H454" t="s">
        <v>47</v>
      </c>
      <c r="I454" t="s">
        <v>857</v>
      </c>
      <c r="J454" t="s">
        <v>1480</v>
      </c>
      <c r="K454" t="s">
        <v>1481</v>
      </c>
      <c r="N454" t="s">
        <v>269</v>
      </c>
      <c r="O454" t="s">
        <v>52</v>
      </c>
      <c r="Q454" t="s">
        <v>1482</v>
      </c>
      <c r="R454" t="s">
        <v>1483</v>
      </c>
      <c r="S454" t="s">
        <v>1484</v>
      </c>
      <c r="T454" t="s">
        <v>1493</v>
      </c>
      <c r="U454" t="s">
        <v>1486</v>
      </c>
      <c r="V454">
        <f>IF(AND(SUM(IF('Consulta de contratos'!$K$1="",0,1),IF('Consulta de contratos'!$K$2="",0,1),IF('Consulta de contratos'!$K$3="",0,1),IF('Consulta de contratos'!$K$4="",0,1),IF('Consulta de contratos'!$K$5="",0,1))&gt;0,OR('Consulta de contratos'!$K$1="",A454='Consulta de contratos'!$K$1),OR('Consulta de contratos'!$K$2="",I454='Consulta de contratos'!$K$2,AND(LEFT('Consulta de contratos'!$K$2,7)="Grupo: ",ISNUMBER(SEARCH("|"&amp;MID('Consulta de contratos'!$K$2,8,120)&amp;"|",AF454)))),OR('Consulta de contratos'!$K$3="",C454='Consulta de contratos'!$K$3),OR('Consulta de contratos'!$K$4="",D454='Consulta de contratos'!$K$4),OR('Consulta de contratos'!$K$5="",E454='Consulta de contratos'!$K$5)),1,0)</f>
        <v>0</v>
      </c>
      <c r="W454">
        <f>IF(V454=1,SUM($V$2:V454),0)</f>
        <v>0</v>
      </c>
      <c r="X454" t="s">
        <v>1487</v>
      </c>
      <c r="Y454" t="s">
        <v>1369</v>
      </c>
      <c r="Z454" t="s">
        <v>867</v>
      </c>
      <c r="AA454" t="s">
        <v>1488</v>
      </c>
      <c r="AB454" t="s">
        <v>1489</v>
      </c>
      <c r="AC454" t="s">
        <v>1490</v>
      </c>
      <c r="AD454" t="s">
        <v>1491</v>
      </c>
      <c r="AE454" t="s">
        <v>1488</v>
      </c>
      <c r="AF454" t="s">
        <v>1373</v>
      </c>
    </row>
    <row r="455" spans="1:32" x14ac:dyDescent="0.35">
      <c r="A455" t="s">
        <v>135</v>
      </c>
      <c r="B455" t="s">
        <v>333</v>
      </c>
      <c r="C455" t="s">
        <v>42</v>
      </c>
      <c r="D455" t="s">
        <v>262</v>
      </c>
      <c r="E455" t="s">
        <v>334</v>
      </c>
      <c r="F455" t="s">
        <v>1478</v>
      </c>
      <c r="G455" t="s">
        <v>1479</v>
      </c>
      <c r="H455" t="s">
        <v>47</v>
      </c>
      <c r="I455" t="s">
        <v>857</v>
      </c>
      <c r="J455" t="s">
        <v>1480</v>
      </c>
      <c r="K455" t="s">
        <v>1481</v>
      </c>
      <c r="N455" t="s">
        <v>269</v>
      </c>
      <c r="O455" t="s">
        <v>52</v>
      </c>
      <c r="Q455" t="s">
        <v>1482</v>
      </c>
      <c r="R455" t="s">
        <v>1483</v>
      </c>
      <c r="S455" t="s">
        <v>1484</v>
      </c>
      <c r="T455" t="s">
        <v>1494</v>
      </c>
      <c r="U455" t="s">
        <v>1486</v>
      </c>
      <c r="V455">
        <f>IF(AND(SUM(IF('Consulta de contratos'!$K$1="",0,1),IF('Consulta de contratos'!$K$2="",0,1),IF('Consulta de contratos'!$K$3="",0,1),IF('Consulta de contratos'!$K$4="",0,1),IF('Consulta de contratos'!$K$5="",0,1))&gt;0,OR('Consulta de contratos'!$K$1="",A455='Consulta de contratos'!$K$1),OR('Consulta de contratos'!$K$2="",I455='Consulta de contratos'!$K$2,AND(LEFT('Consulta de contratos'!$K$2,7)="Grupo: ",ISNUMBER(SEARCH("|"&amp;MID('Consulta de contratos'!$K$2,8,120)&amp;"|",AF455)))),OR('Consulta de contratos'!$K$3="",C455='Consulta de contratos'!$K$3),OR('Consulta de contratos'!$K$4="",D455='Consulta de contratos'!$K$4),OR('Consulta de contratos'!$K$5="",E455='Consulta de contratos'!$K$5)),1,0)</f>
        <v>0</v>
      </c>
      <c r="W455">
        <f>IF(V455=1,SUM($V$2:V455),0)</f>
        <v>0</v>
      </c>
      <c r="X455" t="s">
        <v>1487</v>
      </c>
      <c r="Y455" t="s">
        <v>1369</v>
      </c>
      <c r="Z455" t="s">
        <v>867</v>
      </c>
      <c r="AA455" t="s">
        <v>1488</v>
      </c>
      <c r="AB455" t="s">
        <v>1489</v>
      </c>
      <c r="AC455" t="s">
        <v>1490</v>
      </c>
      <c r="AD455" t="s">
        <v>1491</v>
      </c>
      <c r="AE455" t="s">
        <v>1488</v>
      </c>
      <c r="AF455" t="s">
        <v>1373</v>
      </c>
    </row>
    <row r="456" spans="1:32" x14ac:dyDescent="0.35">
      <c r="A456" t="s">
        <v>142</v>
      </c>
      <c r="B456" t="s">
        <v>333</v>
      </c>
      <c r="C456" t="s">
        <v>42</v>
      </c>
      <c r="D456" t="s">
        <v>262</v>
      </c>
      <c r="E456" t="s">
        <v>334</v>
      </c>
      <c r="F456" t="s">
        <v>1478</v>
      </c>
      <c r="G456" t="s">
        <v>1479</v>
      </c>
      <c r="H456" t="s">
        <v>47</v>
      </c>
      <c r="I456" t="s">
        <v>857</v>
      </c>
      <c r="J456" t="s">
        <v>1480</v>
      </c>
      <c r="K456" t="s">
        <v>1481</v>
      </c>
      <c r="N456" t="s">
        <v>269</v>
      </c>
      <c r="O456" t="s">
        <v>52</v>
      </c>
      <c r="Q456" t="s">
        <v>1482</v>
      </c>
      <c r="R456" t="s">
        <v>1483</v>
      </c>
      <c r="S456" t="s">
        <v>1484</v>
      </c>
      <c r="T456" t="s">
        <v>1495</v>
      </c>
      <c r="U456" t="s">
        <v>1486</v>
      </c>
      <c r="V456">
        <f>IF(AND(SUM(IF('Consulta de contratos'!$K$1="",0,1),IF('Consulta de contratos'!$K$2="",0,1),IF('Consulta de contratos'!$K$3="",0,1),IF('Consulta de contratos'!$K$4="",0,1),IF('Consulta de contratos'!$K$5="",0,1))&gt;0,OR('Consulta de contratos'!$K$1="",A456='Consulta de contratos'!$K$1),OR('Consulta de contratos'!$K$2="",I456='Consulta de contratos'!$K$2,AND(LEFT('Consulta de contratos'!$K$2,7)="Grupo: ",ISNUMBER(SEARCH("|"&amp;MID('Consulta de contratos'!$K$2,8,120)&amp;"|",AF456)))),OR('Consulta de contratos'!$K$3="",C456='Consulta de contratos'!$K$3),OR('Consulta de contratos'!$K$4="",D456='Consulta de contratos'!$K$4),OR('Consulta de contratos'!$K$5="",E456='Consulta de contratos'!$K$5)),1,0)</f>
        <v>0</v>
      </c>
      <c r="W456">
        <f>IF(V456=1,SUM($V$2:V456),0)</f>
        <v>0</v>
      </c>
      <c r="X456" t="s">
        <v>1487</v>
      </c>
      <c r="Y456" t="s">
        <v>1369</v>
      </c>
      <c r="Z456" t="s">
        <v>867</v>
      </c>
      <c r="AA456" t="s">
        <v>1488</v>
      </c>
      <c r="AB456" t="s">
        <v>1489</v>
      </c>
      <c r="AC456" t="s">
        <v>1490</v>
      </c>
      <c r="AD456" t="s">
        <v>1491</v>
      </c>
      <c r="AE456" t="s">
        <v>1488</v>
      </c>
      <c r="AF456" t="s">
        <v>1373</v>
      </c>
    </row>
    <row r="457" spans="1:32" x14ac:dyDescent="0.35">
      <c r="A457" t="s">
        <v>149</v>
      </c>
      <c r="B457" t="s">
        <v>333</v>
      </c>
      <c r="C457" t="s">
        <v>42</v>
      </c>
      <c r="D457" t="s">
        <v>262</v>
      </c>
      <c r="E457" t="s">
        <v>334</v>
      </c>
      <c r="F457" t="s">
        <v>1478</v>
      </c>
      <c r="G457" t="s">
        <v>1479</v>
      </c>
      <c r="H457" t="s">
        <v>47</v>
      </c>
      <c r="I457" t="s">
        <v>857</v>
      </c>
      <c r="J457" t="s">
        <v>1480</v>
      </c>
      <c r="K457" t="s">
        <v>1481</v>
      </c>
      <c r="N457" t="s">
        <v>269</v>
      </c>
      <c r="O457" t="s">
        <v>52</v>
      </c>
      <c r="Q457" t="s">
        <v>1482</v>
      </c>
      <c r="R457" t="s">
        <v>1483</v>
      </c>
      <c r="S457" t="s">
        <v>1484</v>
      </c>
      <c r="T457" t="s">
        <v>1496</v>
      </c>
      <c r="U457" t="s">
        <v>1486</v>
      </c>
      <c r="V457">
        <f>IF(AND(SUM(IF('Consulta de contratos'!$K$1="",0,1),IF('Consulta de contratos'!$K$2="",0,1),IF('Consulta de contratos'!$K$3="",0,1),IF('Consulta de contratos'!$K$4="",0,1),IF('Consulta de contratos'!$K$5="",0,1))&gt;0,OR('Consulta de contratos'!$K$1="",A457='Consulta de contratos'!$K$1),OR('Consulta de contratos'!$K$2="",I457='Consulta de contratos'!$K$2,AND(LEFT('Consulta de contratos'!$K$2,7)="Grupo: ",ISNUMBER(SEARCH("|"&amp;MID('Consulta de contratos'!$K$2,8,120)&amp;"|",AF457)))),OR('Consulta de contratos'!$K$3="",C457='Consulta de contratos'!$K$3),OR('Consulta de contratos'!$K$4="",D457='Consulta de contratos'!$K$4),OR('Consulta de contratos'!$K$5="",E457='Consulta de contratos'!$K$5)),1,0)</f>
        <v>0</v>
      </c>
      <c r="W457">
        <f>IF(V457=1,SUM($V$2:V457),0)</f>
        <v>0</v>
      </c>
      <c r="X457" t="s">
        <v>1487</v>
      </c>
      <c r="Y457" t="s">
        <v>1369</v>
      </c>
      <c r="Z457" t="s">
        <v>867</v>
      </c>
      <c r="AA457" t="s">
        <v>1488</v>
      </c>
      <c r="AB457" t="s">
        <v>1489</v>
      </c>
      <c r="AC457" t="s">
        <v>1490</v>
      </c>
      <c r="AD457" t="s">
        <v>1491</v>
      </c>
      <c r="AE457" t="s">
        <v>1488</v>
      </c>
      <c r="AF457" t="s">
        <v>1373</v>
      </c>
    </row>
    <row r="458" spans="1:32" x14ac:dyDescent="0.35">
      <c r="A458" t="s">
        <v>156</v>
      </c>
      <c r="B458" t="s">
        <v>333</v>
      </c>
      <c r="C458" t="s">
        <v>42</v>
      </c>
      <c r="D458" t="s">
        <v>262</v>
      </c>
      <c r="E458" t="s">
        <v>334</v>
      </c>
      <c r="F458" t="s">
        <v>1478</v>
      </c>
      <c r="G458" t="s">
        <v>1479</v>
      </c>
      <c r="H458" t="s">
        <v>47</v>
      </c>
      <c r="I458" t="s">
        <v>857</v>
      </c>
      <c r="J458" t="s">
        <v>1480</v>
      </c>
      <c r="K458" t="s">
        <v>1481</v>
      </c>
      <c r="N458" t="s">
        <v>269</v>
      </c>
      <c r="O458" t="s">
        <v>52</v>
      </c>
      <c r="Q458" t="s">
        <v>1482</v>
      </c>
      <c r="R458" t="s">
        <v>1483</v>
      </c>
      <c r="S458" t="s">
        <v>1484</v>
      </c>
      <c r="T458" t="s">
        <v>1497</v>
      </c>
      <c r="U458" t="s">
        <v>1486</v>
      </c>
      <c r="V458">
        <f>IF(AND(SUM(IF('Consulta de contratos'!$K$1="",0,1),IF('Consulta de contratos'!$K$2="",0,1),IF('Consulta de contratos'!$K$3="",0,1),IF('Consulta de contratos'!$K$4="",0,1),IF('Consulta de contratos'!$K$5="",0,1))&gt;0,OR('Consulta de contratos'!$K$1="",A458='Consulta de contratos'!$K$1),OR('Consulta de contratos'!$K$2="",I458='Consulta de contratos'!$K$2,AND(LEFT('Consulta de contratos'!$K$2,7)="Grupo: ",ISNUMBER(SEARCH("|"&amp;MID('Consulta de contratos'!$K$2,8,120)&amp;"|",AF458)))),OR('Consulta de contratos'!$K$3="",C458='Consulta de contratos'!$K$3),OR('Consulta de contratos'!$K$4="",D458='Consulta de contratos'!$K$4),OR('Consulta de contratos'!$K$5="",E458='Consulta de contratos'!$K$5)),1,0)</f>
        <v>0</v>
      </c>
      <c r="W458">
        <f>IF(V458=1,SUM($V$2:V458),0)</f>
        <v>0</v>
      </c>
      <c r="X458" t="s">
        <v>1487</v>
      </c>
      <c r="Y458" t="s">
        <v>1369</v>
      </c>
      <c r="Z458" t="s">
        <v>867</v>
      </c>
      <c r="AA458" t="s">
        <v>1488</v>
      </c>
      <c r="AB458" t="s">
        <v>1489</v>
      </c>
      <c r="AC458" t="s">
        <v>1490</v>
      </c>
      <c r="AD458" t="s">
        <v>1491</v>
      </c>
      <c r="AE458" t="s">
        <v>1488</v>
      </c>
      <c r="AF458" t="s">
        <v>1373</v>
      </c>
    </row>
    <row r="459" spans="1:32" x14ac:dyDescent="0.35">
      <c r="A459" t="s">
        <v>163</v>
      </c>
      <c r="B459" t="s">
        <v>333</v>
      </c>
      <c r="C459" t="s">
        <v>42</v>
      </c>
      <c r="D459" t="s">
        <v>262</v>
      </c>
      <c r="E459" t="s">
        <v>334</v>
      </c>
      <c r="F459" t="s">
        <v>1478</v>
      </c>
      <c r="G459" t="s">
        <v>1479</v>
      </c>
      <c r="H459" t="s">
        <v>124</v>
      </c>
      <c r="I459" t="s">
        <v>857</v>
      </c>
      <c r="J459" t="s">
        <v>1480</v>
      </c>
      <c r="K459" t="s">
        <v>1498</v>
      </c>
      <c r="N459" t="s">
        <v>269</v>
      </c>
      <c r="O459" t="s">
        <v>52</v>
      </c>
      <c r="Q459" t="s">
        <v>1482</v>
      </c>
      <c r="R459" t="s">
        <v>1483</v>
      </c>
      <c r="S459" t="s">
        <v>1484</v>
      </c>
      <c r="T459" t="s">
        <v>1499</v>
      </c>
      <c r="U459" t="s">
        <v>1500</v>
      </c>
      <c r="V459">
        <f>IF(AND(SUM(IF('Consulta de contratos'!$K$1="",0,1),IF('Consulta de contratos'!$K$2="",0,1),IF('Consulta de contratos'!$K$3="",0,1),IF('Consulta de contratos'!$K$4="",0,1),IF('Consulta de contratos'!$K$5="",0,1))&gt;0,OR('Consulta de contratos'!$K$1="",A459='Consulta de contratos'!$K$1),OR('Consulta de contratos'!$K$2="",I459='Consulta de contratos'!$K$2,AND(LEFT('Consulta de contratos'!$K$2,7)="Grupo: ",ISNUMBER(SEARCH("|"&amp;MID('Consulta de contratos'!$K$2,8,120)&amp;"|",AF459)))),OR('Consulta de contratos'!$K$3="",C459='Consulta de contratos'!$K$3),OR('Consulta de contratos'!$K$4="",D459='Consulta de contratos'!$K$4),OR('Consulta de contratos'!$K$5="",E459='Consulta de contratos'!$K$5)),1,0)</f>
        <v>0</v>
      </c>
      <c r="W459">
        <f>IF(V459=1,SUM($V$2:V459),0)</f>
        <v>0</v>
      </c>
      <c r="X459" t="s">
        <v>1487</v>
      </c>
      <c r="Y459" t="s">
        <v>1369</v>
      </c>
      <c r="Z459" t="s">
        <v>867</v>
      </c>
      <c r="AA459" t="s">
        <v>1488</v>
      </c>
      <c r="AB459" t="s">
        <v>1489</v>
      </c>
      <c r="AC459" t="s">
        <v>1501</v>
      </c>
      <c r="AD459" t="s">
        <v>1491</v>
      </c>
      <c r="AE459" t="s">
        <v>1488</v>
      </c>
      <c r="AF459" t="s">
        <v>1373</v>
      </c>
    </row>
    <row r="460" spans="1:32" x14ac:dyDescent="0.35">
      <c r="A460" t="s">
        <v>170</v>
      </c>
      <c r="B460" t="s">
        <v>333</v>
      </c>
      <c r="C460" t="s">
        <v>42</v>
      </c>
      <c r="D460" t="s">
        <v>262</v>
      </c>
      <c r="E460" t="s">
        <v>334</v>
      </c>
      <c r="F460" t="s">
        <v>1478</v>
      </c>
      <c r="G460" t="s">
        <v>1479</v>
      </c>
      <c r="H460" t="s">
        <v>124</v>
      </c>
      <c r="I460" t="s">
        <v>857</v>
      </c>
      <c r="J460" t="s">
        <v>1480</v>
      </c>
      <c r="K460" t="s">
        <v>1498</v>
      </c>
      <c r="N460" t="s">
        <v>269</v>
      </c>
      <c r="O460" t="s">
        <v>52</v>
      </c>
      <c r="Q460" t="s">
        <v>1482</v>
      </c>
      <c r="R460" t="s">
        <v>1483</v>
      </c>
      <c r="S460" t="s">
        <v>1484</v>
      </c>
      <c r="T460" t="s">
        <v>1502</v>
      </c>
      <c r="U460" t="s">
        <v>1500</v>
      </c>
      <c r="V460">
        <f>IF(AND(SUM(IF('Consulta de contratos'!$K$1="",0,1),IF('Consulta de contratos'!$K$2="",0,1),IF('Consulta de contratos'!$K$3="",0,1),IF('Consulta de contratos'!$K$4="",0,1),IF('Consulta de contratos'!$K$5="",0,1))&gt;0,OR('Consulta de contratos'!$K$1="",A460='Consulta de contratos'!$K$1),OR('Consulta de contratos'!$K$2="",I460='Consulta de contratos'!$K$2,AND(LEFT('Consulta de contratos'!$K$2,7)="Grupo: ",ISNUMBER(SEARCH("|"&amp;MID('Consulta de contratos'!$K$2,8,120)&amp;"|",AF460)))),OR('Consulta de contratos'!$K$3="",C460='Consulta de contratos'!$K$3),OR('Consulta de contratos'!$K$4="",D460='Consulta de contratos'!$K$4),OR('Consulta de contratos'!$K$5="",E460='Consulta de contratos'!$K$5)),1,0)</f>
        <v>0</v>
      </c>
      <c r="W460">
        <f>IF(V460=1,SUM($V$2:V460),0)</f>
        <v>0</v>
      </c>
      <c r="X460" t="s">
        <v>1487</v>
      </c>
      <c r="Y460" t="s">
        <v>1369</v>
      </c>
      <c r="Z460" t="s">
        <v>867</v>
      </c>
      <c r="AA460" t="s">
        <v>1488</v>
      </c>
      <c r="AB460" t="s">
        <v>1489</v>
      </c>
      <c r="AC460" t="s">
        <v>1501</v>
      </c>
      <c r="AD460" t="s">
        <v>1491</v>
      </c>
      <c r="AE460" t="s">
        <v>1488</v>
      </c>
      <c r="AF460" t="s">
        <v>1373</v>
      </c>
    </row>
    <row r="461" spans="1:32" x14ac:dyDescent="0.35">
      <c r="A461" t="s">
        <v>177</v>
      </c>
      <c r="B461" t="s">
        <v>333</v>
      </c>
      <c r="C461" t="s">
        <v>42</v>
      </c>
      <c r="D461" t="s">
        <v>262</v>
      </c>
      <c r="E461" t="s">
        <v>334</v>
      </c>
      <c r="F461" t="s">
        <v>1478</v>
      </c>
      <c r="G461" t="s">
        <v>1479</v>
      </c>
      <c r="H461" t="s">
        <v>124</v>
      </c>
      <c r="I461" t="s">
        <v>857</v>
      </c>
      <c r="J461" t="s">
        <v>1480</v>
      </c>
      <c r="K461" t="s">
        <v>1498</v>
      </c>
      <c r="N461" t="s">
        <v>269</v>
      </c>
      <c r="O461" t="s">
        <v>52</v>
      </c>
      <c r="Q461" t="s">
        <v>1482</v>
      </c>
      <c r="R461" t="s">
        <v>1483</v>
      </c>
      <c r="S461" t="s">
        <v>1484</v>
      </c>
      <c r="T461" t="s">
        <v>1503</v>
      </c>
      <c r="U461" t="s">
        <v>1500</v>
      </c>
      <c r="V461">
        <f>IF(AND(SUM(IF('Consulta de contratos'!$K$1="",0,1),IF('Consulta de contratos'!$K$2="",0,1),IF('Consulta de contratos'!$K$3="",0,1),IF('Consulta de contratos'!$K$4="",0,1),IF('Consulta de contratos'!$K$5="",0,1))&gt;0,OR('Consulta de contratos'!$K$1="",A461='Consulta de contratos'!$K$1),OR('Consulta de contratos'!$K$2="",I461='Consulta de contratos'!$K$2,AND(LEFT('Consulta de contratos'!$K$2,7)="Grupo: ",ISNUMBER(SEARCH("|"&amp;MID('Consulta de contratos'!$K$2,8,120)&amp;"|",AF461)))),OR('Consulta de contratos'!$K$3="",C461='Consulta de contratos'!$K$3),OR('Consulta de contratos'!$K$4="",D461='Consulta de contratos'!$K$4),OR('Consulta de contratos'!$K$5="",E461='Consulta de contratos'!$K$5)),1,0)</f>
        <v>0</v>
      </c>
      <c r="W461">
        <f>IF(V461=1,SUM($V$2:V461),0)</f>
        <v>0</v>
      </c>
      <c r="X461" t="s">
        <v>1487</v>
      </c>
      <c r="Y461" t="s">
        <v>1369</v>
      </c>
      <c r="Z461" t="s">
        <v>867</v>
      </c>
      <c r="AA461" t="s">
        <v>1488</v>
      </c>
      <c r="AB461" t="s">
        <v>1489</v>
      </c>
      <c r="AC461" t="s">
        <v>1501</v>
      </c>
      <c r="AD461" t="s">
        <v>1491</v>
      </c>
      <c r="AE461" t="s">
        <v>1488</v>
      </c>
      <c r="AF461" t="s">
        <v>1373</v>
      </c>
    </row>
    <row r="462" spans="1:32" x14ac:dyDescent="0.35">
      <c r="A462" t="s">
        <v>212</v>
      </c>
      <c r="B462" t="s">
        <v>333</v>
      </c>
      <c r="C462" t="s">
        <v>42</v>
      </c>
      <c r="D462" t="s">
        <v>262</v>
      </c>
      <c r="E462" t="s">
        <v>334</v>
      </c>
      <c r="F462" t="s">
        <v>1478</v>
      </c>
      <c r="G462" t="s">
        <v>1479</v>
      </c>
      <c r="H462" t="s">
        <v>73</v>
      </c>
      <c r="I462" t="s">
        <v>857</v>
      </c>
      <c r="J462" t="s">
        <v>1480</v>
      </c>
      <c r="K462" t="s">
        <v>1504</v>
      </c>
      <c r="N462" t="s">
        <v>269</v>
      </c>
      <c r="O462" t="s">
        <v>52</v>
      </c>
      <c r="Q462" t="s">
        <v>1482</v>
      </c>
      <c r="R462" t="s">
        <v>1483</v>
      </c>
      <c r="S462" t="s">
        <v>1484</v>
      </c>
      <c r="T462" t="s">
        <v>1505</v>
      </c>
      <c r="U462" t="s">
        <v>1506</v>
      </c>
      <c r="V462">
        <f>IF(AND(SUM(IF('Consulta de contratos'!$K$1="",0,1),IF('Consulta de contratos'!$K$2="",0,1),IF('Consulta de contratos'!$K$3="",0,1),IF('Consulta de contratos'!$K$4="",0,1),IF('Consulta de contratos'!$K$5="",0,1))&gt;0,OR('Consulta de contratos'!$K$1="",A462='Consulta de contratos'!$K$1),OR('Consulta de contratos'!$K$2="",I462='Consulta de contratos'!$K$2,AND(LEFT('Consulta de contratos'!$K$2,7)="Grupo: ",ISNUMBER(SEARCH("|"&amp;MID('Consulta de contratos'!$K$2,8,120)&amp;"|",AF462)))),OR('Consulta de contratos'!$K$3="",C462='Consulta de contratos'!$K$3),OR('Consulta de contratos'!$K$4="",D462='Consulta de contratos'!$K$4),OR('Consulta de contratos'!$K$5="",E462='Consulta de contratos'!$K$5)),1,0)</f>
        <v>0</v>
      </c>
      <c r="W462">
        <f>IF(V462=1,SUM($V$2:V462),0)</f>
        <v>0</v>
      </c>
      <c r="X462" t="s">
        <v>1487</v>
      </c>
      <c r="Y462" t="s">
        <v>1369</v>
      </c>
      <c r="Z462" t="s">
        <v>867</v>
      </c>
      <c r="AA462" t="s">
        <v>1488</v>
      </c>
      <c r="AB462" t="s">
        <v>1489</v>
      </c>
      <c r="AC462" t="s">
        <v>1507</v>
      </c>
      <c r="AD462" t="s">
        <v>1491</v>
      </c>
      <c r="AE462" t="s">
        <v>1488</v>
      </c>
      <c r="AF462" t="s">
        <v>1373</v>
      </c>
    </row>
    <row r="463" spans="1:32" x14ac:dyDescent="0.35">
      <c r="A463" t="s">
        <v>219</v>
      </c>
      <c r="B463" t="s">
        <v>333</v>
      </c>
      <c r="C463" t="s">
        <v>42</v>
      </c>
      <c r="D463" t="s">
        <v>262</v>
      </c>
      <c r="E463" t="s">
        <v>334</v>
      </c>
      <c r="F463" t="s">
        <v>1478</v>
      </c>
      <c r="G463" t="s">
        <v>1479</v>
      </c>
      <c r="H463" t="s">
        <v>73</v>
      </c>
      <c r="I463" t="s">
        <v>857</v>
      </c>
      <c r="J463" t="s">
        <v>1480</v>
      </c>
      <c r="K463" t="s">
        <v>1504</v>
      </c>
      <c r="N463" t="s">
        <v>269</v>
      </c>
      <c r="O463" t="s">
        <v>52</v>
      </c>
      <c r="Q463" t="s">
        <v>1482</v>
      </c>
      <c r="R463" t="s">
        <v>1483</v>
      </c>
      <c r="S463" t="s">
        <v>1484</v>
      </c>
      <c r="T463" t="s">
        <v>1508</v>
      </c>
      <c r="U463" t="s">
        <v>1506</v>
      </c>
      <c r="V463">
        <f>IF(AND(SUM(IF('Consulta de contratos'!$K$1="",0,1),IF('Consulta de contratos'!$K$2="",0,1),IF('Consulta de contratos'!$K$3="",0,1),IF('Consulta de contratos'!$K$4="",0,1),IF('Consulta de contratos'!$K$5="",0,1))&gt;0,OR('Consulta de contratos'!$K$1="",A463='Consulta de contratos'!$K$1),OR('Consulta de contratos'!$K$2="",I463='Consulta de contratos'!$K$2,AND(LEFT('Consulta de contratos'!$K$2,7)="Grupo: ",ISNUMBER(SEARCH("|"&amp;MID('Consulta de contratos'!$K$2,8,120)&amp;"|",AF463)))),OR('Consulta de contratos'!$K$3="",C463='Consulta de contratos'!$K$3),OR('Consulta de contratos'!$K$4="",D463='Consulta de contratos'!$K$4),OR('Consulta de contratos'!$K$5="",E463='Consulta de contratos'!$K$5)),1,0)</f>
        <v>0</v>
      </c>
      <c r="W463">
        <f>IF(V463=1,SUM($V$2:V463),0)</f>
        <v>0</v>
      </c>
      <c r="X463" t="s">
        <v>1487</v>
      </c>
      <c r="Y463" t="s">
        <v>1369</v>
      </c>
      <c r="Z463" t="s">
        <v>867</v>
      </c>
      <c r="AA463" t="s">
        <v>1488</v>
      </c>
      <c r="AB463" t="s">
        <v>1489</v>
      </c>
      <c r="AC463" t="s">
        <v>1507</v>
      </c>
      <c r="AD463" t="s">
        <v>1491</v>
      </c>
      <c r="AE463" t="s">
        <v>1488</v>
      </c>
      <c r="AF463" t="s">
        <v>1373</v>
      </c>
    </row>
    <row r="464" spans="1:32" x14ac:dyDescent="0.35">
      <c r="A464" t="s">
        <v>247</v>
      </c>
      <c r="B464" t="s">
        <v>333</v>
      </c>
      <c r="C464" t="s">
        <v>42</v>
      </c>
      <c r="D464" t="s">
        <v>262</v>
      </c>
      <c r="E464" t="s">
        <v>334</v>
      </c>
      <c r="F464" t="s">
        <v>1478</v>
      </c>
      <c r="G464" t="s">
        <v>1479</v>
      </c>
      <c r="H464" t="s">
        <v>73</v>
      </c>
      <c r="I464" t="s">
        <v>857</v>
      </c>
      <c r="J464" t="s">
        <v>1480</v>
      </c>
      <c r="K464" t="s">
        <v>1504</v>
      </c>
      <c r="N464" t="s">
        <v>269</v>
      </c>
      <c r="O464" t="s">
        <v>52</v>
      </c>
      <c r="Q464" t="s">
        <v>1482</v>
      </c>
      <c r="R464" t="s">
        <v>1483</v>
      </c>
      <c r="S464" t="s">
        <v>1484</v>
      </c>
      <c r="T464" t="s">
        <v>1509</v>
      </c>
      <c r="U464" t="s">
        <v>1506</v>
      </c>
      <c r="V464">
        <f>IF(AND(SUM(IF('Consulta de contratos'!$K$1="",0,1),IF('Consulta de contratos'!$K$2="",0,1),IF('Consulta de contratos'!$K$3="",0,1),IF('Consulta de contratos'!$K$4="",0,1),IF('Consulta de contratos'!$K$5="",0,1))&gt;0,OR('Consulta de contratos'!$K$1="",A464='Consulta de contratos'!$K$1),OR('Consulta de contratos'!$K$2="",I464='Consulta de contratos'!$K$2,AND(LEFT('Consulta de contratos'!$K$2,7)="Grupo: ",ISNUMBER(SEARCH("|"&amp;MID('Consulta de contratos'!$K$2,8,120)&amp;"|",AF464)))),OR('Consulta de contratos'!$K$3="",C464='Consulta de contratos'!$K$3),OR('Consulta de contratos'!$K$4="",D464='Consulta de contratos'!$K$4),OR('Consulta de contratos'!$K$5="",E464='Consulta de contratos'!$K$5)),1,0)</f>
        <v>0</v>
      </c>
      <c r="W464">
        <f>IF(V464=1,SUM($V$2:V464),0)</f>
        <v>0</v>
      </c>
      <c r="X464" t="s">
        <v>1487</v>
      </c>
      <c r="Y464" t="s">
        <v>1369</v>
      </c>
      <c r="Z464" t="s">
        <v>867</v>
      </c>
      <c r="AA464" t="s">
        <v>1488</v>
      </c>
      <c r="AB464" t="s">
        <v>1489</v>
      </c>
      <c r="AC464" t="s">
        <v>1507</v>
      </c>
      <c r="AD464" t="s">
        <v>1491</v>
      </c>
      <c r="AE464" t="s">
        <v>1488</v>
      </c>
      <c r="AF464" t="s">
        <v>1373</v>
      </c>
    </row>
    <row r="465" spans="1:32" x14ac:dyDescent="0.35">
      <c r="A465" t="s">
        <v>254</v>
      </c>
      <c r="B465" t="s">
        <v>333</v>
      </c>
      <c r="C465" t="s">
        <v>42</v>
      </c>
      <c r="D465" t="s">
        <v>262</v>
      </c>
      <c r="E465" t="s">
        <v>334</v>
      </c>
      <c r="F465" t="s">
        <v>1478</v>
      </c>
      <c r="G465" t="s">
        <v>1479</v>
      </c>
      <c r="H465" t="s">
        <v>73</v>
      </c>
      <c r="I465" t="s">
        <v>857</v>
      </c>
      <c r="J465" t="s">
        <v>1480</v>
      </c>
      <c r="K465" t="s">
        <v>1504</v>
      </c>
      <c r="N465" t="s">
        <v>269</v>
      </c>
      <c r="O465" t="s">
        <v>52</v>
      </c>
      <c r="Q465" t="s">
        <v>1482</v>
      </c>
      <c r="R465" t="s">
        <v>1483</v>
      </c>
      <c r="S465" t="s">
        <v>1484</v>
      </c>
      <c r="T465" t="s">
        <v>1510</v>
      </c>
      <c r="U465" t="s">
        <v>1506</v>
      </c>
      <c r="V465">
        <f>IF(AND(SUM(IF('Consulta de contratos'!$K$1="",0,1),IF('Consulta de contratos'!$K$2="",0,1),IF('Consulta de contratos'!$K$3="",0,1),IF('Consulta de contratos'!$K$4="",0,1),IF('Consulta de contratos'!$K$5="",0,1))&gt;0,OR('Consulta de contratos'!$K$1="",A465='Consulta de contratos'!$K$1),OR('Consulta de contratos'!$K$2="",I465='Consulta de contratos'!$K$2,AND(LEFT('Consulta de contratos'!$K$2,7)="Grupo: ",ISNUMBER(SEARCH("|"&amp;MID('Consulta de contratos'!$K$2,8,120)&amp;"|",AF465)))),OR('Consulta de contratos'!$K$3="",C465='Consulta de contratos'!$K$3),OR('Consulta de contratos'!$K$4="",D465='Consulta de contratos'!$K$4),OR('Consulta de contratos'!$K$5="",E465='Consulta de contratos'!$K$5)),1,0)</f>
        <v>0</v>
      </c>
      <c r="W465">
        <f>IF(V465=1,SUM($V$2:V465),0)</f>
        <v>0</v>
      </c>
      <c r="X465" t="s">
        <v>1487</v>
      </c>
      <c r="Y465" t="s">
        <v>1369</v>
      </c>
      <c r="Z465" t="s">
        <v>867</v>
      </c>
      <c r="AA465" t="s">
        <v>1488</v>
      </c>
      <c r="AB465" t="s">
        <v>1489</v>
      </c>
      <c r="AC465" t="s">
        <v>1507</v>
      </c>
      <c r="AD465" t="s">
        <v>1491</v>
      </c>
      <c r="AE465" t="s">
        <v>1488</v>
      </c>
      <c r="AF465" t="s">
        <v>1373</v>
      </c>
    </row>
    <row r="466" spans="1:32" x14ac:dyDescent="0.35">
      <c r="A466" t="s">
        <v>198</v>
      </c>
      <c r="B466" t="s">
        <v>333</v>
      </c>
      <c r="C466" t="s">
        <v>42</v>
      </c>
      <c r="D466" t="s">
        <v>262</v>
      </c>
      <c r="E466" t="s">
        <v>334</v>
      </c>
      <c r="F466" t="s">
        <v>1478</v>
      </c>
      <c r="G466" t="s">
        <v>1479</v>
      </c>
      <c r="H466" t="s">
        <v>64</v>
      </c>
      <c r="I466" t="s">
        <v>857</v>
      </c>
      <c r="J466" t="s">
        <v>1480</v>
      </c>
      <c r="K466" t="s">
        <v>1511</v>
      </c>
      <c r="N466" t="s">
        <v>269</v>
      </c>
      <c r="O466" t="s">
        <v>52</v>
      </c>
      <c r="Q466" t="s">
        <v>1482</v>
      </c>
      <c r="R466" t="s">
        <v>1483</v>
      </c>
      <c r="S466" t="s">
        <v>1484</v>
      </c>
      <c r="T466" t="s">
        <v>1512</v>
      </c>
      <c r="U466" t="s">
        <v>1513</v>
      </c>
      <c r="V466">
        <f>IF(AND(SUM(IF('Consulta de contratos'!$K$1="",0,1),IF('Consulta de contratos'!$K$2="",0,1),IF('Consulta de contratos'!$K$3="",0,1),IF('Consulta de contratos'!$K$4="",0,1),IF('Consulta de contratos'!$K$5="",0,1))&gt;0,OR('Consulta de contratos'!$K$1="",A466='Consulta de contratos'!$K$1),OR('Consulta de contratos'!$K$2="",I466='Consulta de contratos'!$K$2,AND(LEFT('Consulta de contratos'!$K$2,7)="Grupo: ",ISNUMBER(SEARCH("|"&amp;MID('Consulta de contratos'!$K$2,8,120)&amp;"|",AF466)))),OR('Consulta de contratos'!$K$3="",C466='Consulta de contratos'!$K$3),OR('Consulta de contratos'!$K$4="",D466='Consulta de contratos'!$K$4),OR('Consulta de contratos'!$K$5="",E466='Consulta de contratos'!$K$5)),1,0)</f>
        <v>0</v>
      </c>
      <c r="W466">
        <f>IF(V466=1,SUM($V$2:V466),0)</f>
        <v>0</v>
      </c>
      <c r="X466" t="s">
        <v>1487</v>
      </c>
      <c r="Y466" t="s">
        <v>1369</v>
      </c>
      <c r="Z466" t="s">
        <v>867</v>
      </c>
      <c r="AA466" t="s">
        <v>1488</v>
      </c>
      <c r="AB466" t="s">
        <v>1489</v>
      </c>
      <c r="AC466" t="s">
        <v>1514</v>
      </c>
      <c r="AD466" t="s">
        <v>1491</v>
      </c>
      <c r="AE466" t="s">
        <v>1488</v>
      </c>
      <c r="AF466" t="s">
        <v>1373</v>
      </c>
    </row>
    <row r="467" spans="1:32" x14ac:dyDescent="0.35">
      <c r="A467" t="s">
        <v>205</v>
      </c>
      <c r="B467" t="s">
        <v>333</v>
      </c>
      <c r="C467" t="s">
        <v>42</v>
      </c>
      <c r="D467" t="s">
        <v>262</v>
      </c>
      <c r="E467" t="s">
        <v>334</v>
      </c>
      <c r="F467" t="s">
        <v>1478</v>
      </c>
      <c r="G467" t="s">
        <v>1479</v>
      </c>
      <c r="H467" t="s">
        <v>64</v>
      </c>
      <c r="I467" t="s">
        <v>857</v>
      </c>
      <c r="J467" t="s">
        <v>1480</v>
      </c>
      <c r="K467" t="s">
        <v>1511</v>
      </c>
      <c r="N467" t="s">
        <v>269</v>
      </c>
      <c r="O467" t="s">
        <v>52</v>
      </c>
      <c r="Q467" t="s">
        <v>1482</v>
      </c>
      <c r="R467" t="s">
        <v>1483</v>
      </c>
      <c r="S467" t="s">
        <v>1484</v>
      </c>
      <c r="T467" t="s">
        <v>1515</v>
      </c>
      <c r="U467" t="s">
        <v>1513</v>
      </c>
      <c r="V467">
        <f>IF(AND(SUM(IF('Consulta de contratos'!$K$1="",0,1),IF('Consulta de contratos'!$K$2="",0,1),IF('Consulta de contratos'!$K$3="",0,1),IF('Consulta de contratos'!$K$4="",0,1),IF('Consulta de contratos'!$K$5="",0,1))&gt;0,OR('Consulta de contratos'!$K$1="",A467='Consulta de contratos'!$K$1),OR('Consulta de contratos'!$K$2="",I467='Consulta de contratos'!$K$2,AND(LEFT('Consulta de contratos'!$K$2,7)="Grupo: ",ISNUMBER(SEARCH("|"&amp;MID('Consulta de contratos'!$K$2,8,120)&amp;"|",AF467)))),OR('Consulta de contratos'!$K$3="",C467='Consulta de contratos'!$K$3),OR('Consulta de contratos'!$K$4="",D467='Consulta de contratos'!$K$4),OR('Consulta de contratos'!$K$5="",E467='Consulta de contratos'!$K$5)),1,0)</f>
        <v>0</v>
      </c>
      <c r="W467">
        <f>IF(V467=1,SUM($V$2:V467),0)</f>
        <v>0</v>
      </c>
      <c r="X467" t="s">
        <v>1487</v>
      </c>
      <c r="Y467" t="s">
        <v>1369</v>
      </c>
      <c r="Z467" t="s">
        <v>867</v>
      </c>
      <c r="AA467" t="s">
        <v>1488</v>
      </c>
      <c r="AB467" t="s">
        <v>1489</v>
      </c>
      <c r="AC467" t="s">
        <v>1514</v>
      </c>
      <c r="AD467" t="s">
        <v>1491</v>
      </c>
      <c r="AE467" t="s">
        <v>1488</v>
      </c>
      <c r="AF467" t="s">
        <v>1373</v>
      </c>
    </row>
    <row r="468" spans="1:32" x14ac:dyDescent="0.35">
      <c r="A468" t="s">
        <v>233</v>
      </c>
      <c r="B468" t="s">
        <v>333</v>
      </c>
      <c r="C468" t="s">
        <v>42</v>
      </c>
      <c r="D468" t="s">
        <v>262</v>
      </c>
      <c r="E468" t="s">
        <v>334</v>
      </c>
      <c r="F468" t="s">
        <v>1478</v>
      </c>
      <c r="G468" t="s">
        <v>1479</v>
      </c>
      <c r="H468" t="s">
        <v>64</v>
      </c>
      <c r="I468" t="s">
        <v>857</v>
      </c>
      <c r="J468" t="s">
        <v>1480</v>
      </c>
      <c r="K468" t="s">
        <v>1511</v>
      </c>
      <c r="N468" t="s">
        <v>269</v>
      </c>
      <c r="O468" t="s">
        <v>52</v>
      </c>
      <c r="Q468" t="s">
        <v>1482</v>
      </c>
      <c r="R468" t="s">
        <v>1483</v>
      </c>
      <c r="S468" t="s">
        <v>1484</v>
      </c>
      <c r="T468" t="s">
        <v>1516</v>
      </c>
      <c r="U468" t="s">
        <v>1513</v>
      </c>
      <c r="V468">
        <f>IF(AND(SUM(IF('Consulta de contratos'!$K$1="",0,1),IF('Consulta de contratos'!$K$2="",0,1),IF('Consulta de contratos'!$K$3="",0,1),IF('Consulta de contratos'!$K$4="",0,1),IF('Consulta de contratos'!$K$5="",0,1))&gt;0,OR('Consulta de contratos'!$K$1="",A468='Consulta de contratos'!$K$1),OR('Consulta de contratos'!$K$2="",I468='Consulta de contratos'!$K$2,AND(LEFT('Consulta de contratos'!$K$2,7)="Grupo: ",ISNUMBER(SEARCH("|"&amp;MID('Consulta de contratos'!$K$2,8,120)&amp;"|",AF468)))),OR('Consulta de contratos'!$K$3="",C468='Consulta de contratos'!$K$3),OR('Consulta de contratos'!$K$4="",D468='Consulta de contratos'!$K$4),OR('Consulta de contratos'!$K$5="",E468='Consulta de contratos'!$K$5)),1,0)</f>
        <v>0</v>
      </c>
      <c r="W468">
        <f>IF(V468=1,SUM($V$2:V468),0)</f>
        <v>0</v>
      </c>
      <c r="X468" t="s">
        <v>1487</v>
      </c>
      <c r="Y468" t="s">
        <v>1369</v>
      </c>
      <c r="Z468" t="s">
        <v>867</v>
      </c>
      <c r="AA468" t="s">
        <v>1488</v>
      </c>
      <c r="AB468" t="s">
        <v>1489</v>
      </c>
      <c r="AC468" t="s">
        <v>1514</v>
      </c>
      <c r="AD468" t="s">
        <v>1491</v>
      </c>
      <c r="AE468" t="s">
        <v>1488</v>
      </c>
      <c r="AF468" t="s">
        <v>1373</v>
      </c>
    </row>
    <row r="469" spans="1:32" x14ac:dyDescent="0.35">
      <c r="A469" t="s">
        <v>240</v>
      </c>
      <c r="B469" t="s">
        <v>333</v>
      </c>
      <c r="C469" t="s">
        <v>42</v>
      </c>
      <c r="D469" t="s">
        <v>262</v>
      </c>
      <c r="E469" t="s">
        <v>334</v>
      </c>
      <c r="F469" t="s">
        <v>1478</v>
      </c>
      <c r="G469" t="s">
        <v>1479</v>
      </c>
      <c r="H469" t="s">
        <v>64</v>
      </c>
      <c r="I469" t="s">
        <v>857</v>
      </c>
      <c r="J469" t="s">
        <v>1480</v>
      </c>
      <c r="K469" t="s">
        <v>1511</v>
      </c>
      <c r="N469" t="s">
        <v>269</v>
      </c>
      <c r="O469" t="s">
        <v>52</v>
      </c>
      <c r="Q469" t="s">
        <v>1482</v>
      </c>
      <c r="R469" t="s">
        <v>1483</v>
      </c>
      <c r="S469" t="s">
        <v>1484</v>
      </c>
      <c r="T469" t="s">
        <v>1517</v>
      </c>
      <c r="U469" t="s">
        <v>1513</v>
      </c>
      <c r="V469">
        <f>IF(AND(SUM(IF('Consulta de contratos'!$K$1="",0,1),IF('Consulta de contratos'!$K$2="",0,1),IF('Consulta de contratos'!$K$3="",0,1),IF('Consulta de contratos'!$K$4="",0,1),IF('Consulta de contratos'!$K$5="",0,1))&gt;0,OR('Consulta de contratos'!$K$1="",A469='Consulta de contratos'!$K$1),OR('Consulta de contratos'!$K$2="",I469='Consulta de contratos'!$K$2,AND(LEFT('Consulta de contratos'!$K$2,7)="Grupo: ",ISNUMBER(SEARCH("|"&amp;MID('Consulta de contratos'!$K$2,8,120)&amp;"|",AF469)))),OR('Consulta de contratos'!$K$3="",C469='Consulta de contratos'!$K$3),OR('Consulta de contratos'!$K$4="",D469='Consulta de contratos'!$K$4),OR('Consulta de contratos'!$K$5="",E469='Consulta de contratos'!$K$5)),1,0)</f>
        <v>0</v>
      </c>
      <c r="W469">
        <f>IF(V469=1,SUM($V$2:V469),0)</f>
        <v>0</v>
      </c>
      <c r="X469" t="s">
        <v>1487</v>
      </c>
      <c r="Y469" t="s">
        <v>1369</v>
      </c>
      <c r="Z469" t="s">
        <v>867</v>
      </c>
      <c r="AA469" t="s">
        <v>1488</v>
      </c>
      <c r="AB469" t="s">
        <v>1489</v>
      </c>
      <c r="AC469" t="s">
        <v>1514</v>
      </c>
      <c r="AD469" t="s">
        <v>1491</v>
      </c>
      <c r="AE469" t="s">
        <v>1488</v>
      </c>
      <c r="AF469" t="s">
        <v>1373</v>
      </c>
    </row>
    <row r="470" spans="1:32" x14ac:dyDescent="0.35">
      <c r="A470" t="s">
        <v>184</v>
      </c>
      <c r="B470" t="s">
        <v>333</v>
      </c>
      <c r="C470" t="s">
        <v>42</v>
      </c>
      <c r="D470" t="s">
        <v>262</v>
      </c>
      <c r="E470" t="s">
        <v>334</v>
      </c>
      <c r="F470" t="s">
        <v>1478</v>
      </c>
      <c r="G470" t="s">
        <v>1479</v>
      </c>
      <c r="H470" t="s">
        <v>305</v>
      </c>
      <c r="I470" t="s">
        <v>857</v>
      </c>
      <c r="J470" t="s">
        <v>1480</v>
      </c>
      <c r="K470" t="s">
        <v>1518</v>
      </c>
      <c r="N470" t="s">
        <v>269</v>
      </c>
      <c r="O470" t="s">
        <v>52</v>
      </c>
      <c r="Q470" t="s">
        <v>1482</v>
      </c>
      <c r="R470" t="s">
        <v>1483</v>
      </c>
      <c r="S470" t="s">
        <v>1484</v>
      </c>
      <c r="T470" t="s">
        <v>1519</v>
      </c>
      <c r="U470" t="s">
        <v>1520</v>
      </c>
      <c r="V470">
        <f>IF(AND(SUM(IF('Consulta de contratos'!$K$1="",0,1),IF('Consulta de contratos'!$K$2="",0,1),IF('Consulta de contratos'!$K$3="",0,1),IF('Consulta de contratos'!$K$4="",0,1),IF('Consulta de contratos'!$K$5="",0,1))&gt;0,OR('Consulta de contratos'!$K$1="",A470='Consulta de contratos'!$K$1),OR('Consulta de contratos'!$K$2="",I470='Consulta de contratos'!$K$2,AND(LEFT('Consulta de contratos'!$K$2,7)="Grupo: ",ISNUMBER(SEARCH("|"&amp;MID('Consulta de contratos'!$K$2,8,120)&amp;"|",AF470)))),OR('Consulta de contratos'!$K$3="",C470='Consulta de contratos'!$K$3),OR('Consulta de contratos'!$K$4="",D470='Consulta de contratos'!$K$4),OR('Consulta de contratos'!$K$5="",E470='Consulta de contratos'!$K$5)),1,0)</f>
        <v>0</v>
      </c>
      <c r="W470">
        <f>IF(V470=1,SUM($V$2:V470),0)</f>
        <v>0</v>
      </c>
      <c r="X470" t="s">
        <v>1487</v>
      </c>
      <c r="Y470" t="s">
        <v>1369</v>
      </c>
      <c r="Z470" t="s">
        <v>867</v>
      </c>
      <c r="AA470" t="s">
        <v>1488</v>
      </c>
      <c r="AB470" t="s">
        <v>1489</v>
      </c>
      <c r="AC470" t="s">
        <v>1521</v>
      </c>
      <c r="AD470" t="s">
        <v>1491</v>
      </c>
      <c r="AE470" t="s">
        <v>1488</v>
      </c>
      <c r="AF470" t="s">
        <v>1373</v>
      </c>
    </row>
    <row r="471" spans="1:32" x14ac:dyDescent="0.35">
      <c r="A471" t="s">
        <v>191</v>
      </c>
      <c r="B471" t="s">
        <v>333</v>
      </c>
      <c r="C471" t="s">
        <v>42</v>
      </c>
      <c r="D471" t="s">
        <v>262</v>
      </c>
      <c r="E471" t="s">
        <v>334</v>
      </c>
      <c r="F471" t="s">
        <v>1478</v>
      </c>
      <c r="G471" t="s">
        <v>1479</v>
      </c>
      <c r="H471" t="s">
        <v>305</v>
      </c>
      <c r="I471" t="s">
        <v>857</v>
      </c>
      <c r="J471" t="s">
        <v>1480</v>
      </c>
      <c r="K471" t="s">
        <v>1518</v>
      </c>
      <c r="N471" t="s">
        <v>269</v>
      </c>
      <c r="O471" t="s">
        <v>52</v>
      </c>
      <c r="Q471" t="s">
        <v>1482</v>
      </c>
      <c r="R471" t="s">
        <v>1483</v>
      </c>
      <c r="S471" t="s">
        <v>1484</v>
      </c>
      <c r="T471" t="s">
        <v>1522</v>
      </c>
      <c r="U471" t="s">
        <v>1520</v>
      </c>
      <c r="V471">
        <f>IF(AND(SUM(IF('Consulta de contratos'!$K$1="",0,1),IF('Consulta de contratos'!$K$2="",0,1),IF('Consulta de contratos'!$K$3="",0,1),IF('Consulta de contratos'!$K$4="",0,1),IF('Consulta de contratos'!$K$5="",0,1))&gt;0,OR('Consulta de contratos'!$K$1="",A471='Consulta de contratos'!$K$1),OR('Consulta de contratos'!$K$2="",I471='Consulta de contratos'!$K$2,AND(LEFT('Consulta de contratos'!$K$2,7)="Grupo: ",ISNUMBER(SEARCH("|"&amp;MID('Consulta de contratos'!$K$2,8,120)&amp;"|",AF471)))),OR('Consulta de contratos'!$K$3="",C471='Consulta de contratos'!$K$3),OR('Consulta de contratos'!$K$4="",D471='Consulta de contratos'!$K$4),OR('Consulta de contratos'!$K$5="",E471='Consulta de contratos'!$K$5)),1,0)</f>
        <v>0</v>
      </c>
      <c r="W471">
        <f>IF(V471=1,SUM($V$2:V471),0)</f>
        <v>0</v>
      </c>
      <c r="X471" t="s">
        <v>1487</v>
      </c>
      <c r="Y471" t="s">
        <v>1369</v>
      </c>
      <c r="Z471" t="s">
        <v>867</v>
      </c>
      <c r="AA471" t="s">
        <v>1488</v>
      </c>
      <c r="AB471" t="s">
        <v>1489</v>
      </c>
      <c r="AC471" t="s">
        <v>1521</v>
      </c>
      <c r="AD471" t="s">
        <v>1491</v>
      </c>
      <c r="AE471" t="s">
        <v>1488</v>
      </c>
      <c r="AF471" t="s">
        <v>1373</v>
      </c>
    </row>
    <row r="472" spans="1:32" x14ac:dyDescent="0.35">
      <c r="A472" t="s">
        <v>226</v>
      </c>
      <c r="B472" t="s">
        <v>333</v>
      </c>
      <c r="C472" t="s">
        <v>42</v>
      </c>
      <c r="D472" t="s">
        <v>262</v>
      </c>
      <c r="E472" t="s">
        <v>334</v>
      </c>
      <c r="F472" t="s">
        <v>1478</v>
      </c>
      <c r="G472" t="s">
        <v>1479</v>
      </c>
      <c r="H472" t="s">
        <v>305</v>
      </c>
      <c r="I472" t="s">
        <v>857</v>
      </c>
      <c r="J472" t="s">
        <v>1480</v>
      </c>
      <c r="K472" t="s">
        <v>1518</v>
      </c>
      <c r="N472" t="s">
        <v>269</v>
      </c>
      <c r="O472" t="s">
        <v>52</v>
      </c>
      <c r="Q472" t="s">
        <v>1482</v>
      </c>
      <c r="R472" t="s">
        <v>1483</v>
      </c>
      <c r="S472" t="s">
        <v>1484</v>
      </c>
      <c r="T472" t="s">
        <v>1523</v>
      </c>
      <c r="U472" t="s">
        <v>1520</v>
      </c>
      <c r="V472">
        <f>IF(AND(SUM(IF('Consulta de contratos'!$K$1="",0,1),IF('Consulta de contratos'!$K$2="",0,1),IF('Consulta de contratos'!$K$3="",0,1),IF('Consulta de contratos'!$K$4="",0,1),IF('Consulta de contratos'!$K$5="",0,1))&gt;0,OR('Consulta de contratos'!$K$1="",A472='Consulta de contratos'!$K$1),OR('Consulta de contratos'!$K$2="",I472='Consulta de contratos'!$K$2,AND(LEFT('Consulta de contratos'!$K$2,7)="Grupo: ",ISNUMBER(SEARCH("|"&amp;MID('Consulta de contratos'!$K$2,8,120)&amp;"|",AF472)))),OR('Consulta de contratos'!$K$3="",C472='Consulta de contratos'!$K$3),OR('Consulta de contratos'!$K$4="",D472='Consulta de contratos'!$K$4),OR('Consulta de contratos'!$K$5="",E472='Consulta de contratos'!$K$5)),1,0)</f>
        <v>0</v>
      </c>
      <c r="W472">
        <f>IF(V472=1,SUM($V$2:V472),0)</f>
        <v>0</v>
      </c>
      <c r="X472" t="s">
        <v>1487</v>
      </c>
      <c r="Y472" t="s">
        <v>1369</v>
      </c>
      <c r="Z472" t="s">
        <v>867</v>
      </c>
      <c r="AA472" t="s">
        <v>1488</v>
      </c>
      <c r="AB472" t="s">
        <v>1489</v>
      </c>
      <c r="AC472" t="s">
        <v>1521</v>
      </c>
      <c r="AD472" t="s">
        <v>1491</v>
      </c>
      <c r="AE472" t="s">
        <v>1488</v>
      </c>
      <c r="AF472" t="s">
        <v>1373</v>
      </c>
    </row>
    <row r="473" spans="1:32" x14ac:dyDescent="0.35">
      <c r="A473" t="s">
        <v>457</v>
      </c>
      <c r="B473" t="s">
        <v>1524</v>
      </c>
      <c r="C473" t="s">
        <v>42</v>
      </c>
      <c r="D473" t="s">
        <v>262</v>
      </c>
      <c r="E473" t="s">
        <v>1525</v>
      </c>
      <c r="F473" t="s">
        <v>642</v>
      </c>
      <c r="G473" t="s">
        <v>643</v>
      </c>
      <c r="H473" t="s">
        <v>64</v>
      </c>
      <c r="I473" t="s">
        <v>1526</v>
      </c>
      <c r="J473" t="s">
        <v>1527</v>
      </c>
      <c r="K473" t="s">
        <v>1528</v>
      </c>
      <c r="Q473" t="s">
        <v>1529</v>
      </c>
      <c r="R473" t="s">
        <v>1996</v>
      </c>
      <c r="S473" t="s">
        <v>1530</v>
      </c>
      <c r="T473" t="s">
        <v>1531</v>
      </c>
      <c r="U473" t="s">
        <v>1532</v>
      </c>
      <c r="V473">
        <f>IF(AND(SUM(IF('Consulta de contratos'!$K$1="",0,1),IF('Consulta de contratos'!$K$2="",0,1),IF('Consulta de contratos'!$K$3="",0,1),IF('Consulta de contratos'!$K$4="",0,1),IF('Consulta de contratos'!$K$5="",0,1))&gt;0,OR('Consulta de contratos'!$K$1="",A473='Consulta de contratos'!$K$1),OR('Consulta de contratos'!$K$2="",I473='Consulta de contratos'!$K$2,AND(LEFT('Consulta de contratos'!$K$2,7)="Grupo: ",ISNUMBER(SEARCH("|"&amp;MID('Consulta de contratos'!$K$2,8,120)&amp;"|",AF473)))),OR('Consulta de contratos'!$K$3="",C473='Consulta de contratos'!$K$3),OR('Consulta de contratos'!$K$4="",D473='Consulta de contratos'!$K$4),OR('Consulta de contratos'!$K$5="",E473='Consulta de contratos'!$K$5)),1,0)</f>
        <v>0</v>
      </c>
      <c r="W473">
        <f>IF(V473=1,SUM($V$2:V473),0)</f>
        <v>0</v>
      </c>
      <c r="X473" t="s">
        <v>1533</v>
      </c>
      <c r="Y473" t="s">
        <v>1534</v>
      </c>
      <c r="Z473" t="s">
        <v>346</v>
      </c>
      <c r="AA473" t="s">
        <v>1488</v>
      </c>
      <c r="AB473" t="s">
        <v>1535</v>
      </c>
      <c r="AC473" t="s">
        <v>1536</v>
      </c>
      <c r="AD473" t="s">
        <v>1537</v>
      </c>
      <c r="AE473" t="s">
        <v>1488</v>
      </c>
      <c r="AF473" t="s">
        <v>1538</v>
      </c>
    </row>
    <row r="474" spans="1:32" x14ac:dyDescent="0.35">
      <c r="A474" t="s">
        <v>457</v>
      </c>
      <c r="B474" t="s">
        <v>1524</v>
      </c>
      <c r="C474" t="s">
        <v>42</v>
      </c>
      <c r="D474" t="s">
        <v>262</v>
      </c>
      <c r="E474" t="s">
        <v>1525</v>
      </c>
      <c r="F474" t="s">
        <v>642</v>
      </c>
      <c r="G474" t="s">
        <v>643</v>
      </c>
      <c r="H474" t="s">
        <v>305</v>
      </c>
      <c r="I474" t="s">
        <v>1539</v>
      </c>
      <c r="J474" t="s">
        <v>1540</v>
      </c>
      <c r="K474" t="s">
        <v>1528</v>
      </c>
      <c r="Q474" t="s">
        <v>1529</v>
      </c>
      <c r="R474" t="s">
        <v>1996</v>
      </c>
      <c r="S474" t="s">
        <v>1530</v>
      </c>
      <c r="T474" t="s">
        <v>1541</v>
      </c>
      <c r="U474" t="s">
        <v>1542</v>
      </c>
      <c r="V474">
        <f>IF(AND(SUM(IF('Consulta de contratos'!$K$1="",0,1),IF('Consulta de contratos'!$K$2="",0,1),IF('Consulta de contratos'!$K$3="",0,1),IF('Consulta de contratos'!$K$4="",0,1),IF('Consulta de contratos'!$K$5="",0,1))&gt;0,OR('Consulta de contratos'!$K$1="",A474='Consulta de contratos'!$K$1),OR('Consulta de contratos'!$K$2="",I474='Consulta de contratos'!$K$2,AND(LEFT('Consulta de contratos'!$K$2,7)="Grupo: ",ISNUMBER(SEARCH("|"&amp;MID('Consulta de contratos'!$K$2,8,120)&amp;"|",AF474)))),OR('Consulta de contratos'!$K$3="",C474='Consulta de contratos'!$K$3),OR('Consulta de contratos'!$K$4="",D474='Consulta de contratos'!$K$4),OR('Consulta de contratos'!$K$5="",E474='Consulta de contratos'!$K$5)),1,0)</f>
        <v>0</v>
      </c>
      <c r="W474">
        <f>IF(V474=1,SUM($V$2:V474),0)</f>
        <v>0</v>
      </c>
      <c r="X474" t="s">
        <v>1533</v>
      </c>
      <c r="Y474" t="s">
        <v>1539</v>
      </c>
      <c r="Z474" t="s">
        <v>71</v>
      </c>
      <c r="AA474" t="s">
        <v>1488</v>
      </c>
      <c r="AB474" t="s">
        <v>1535</v>
      </c>
      <c r="AC474" t="s">
        <v>1536</v>
      </c>
      <c r="AD474" t="s">
        <v>1537</v>
      </c>
      <c r="AE474" t="s">
        <v>1488</v>
      </c>
      <c r="AF474" t="s">
        <v>1543</v>
      </c>
    </row>
    <row r="475" spans="1:32" x14ac:dyDescent="0.35">
      <c r="A475" t="s">
        <v>457</v>
      </c>
      <c r="B475" t="s">
        <v>1524</v>
      </c>
      <c r="C475" t="s">
        <v>42</v>
      </c>
      <c r="D475" t="s">
        <v>262</v>
      </c>
      <c r="E475" t="s">
        <v>1525</v>
      </c>
      <c r="F475" t="s">
        <v>642</v>
      </c>
      <c r="G475" t="s">
        <v>643</v>
      </c>
      <c r="H475" t="s">
        <v>312</v>
      </c>
      <c r="I475" t="s">
        <v>1544</v>
      </c>
      <c r="J475" t="s">
        <v>1545</v>
      </c>
      <c r="K475" t="s">
        <v>1528</v>
      </c>
      <c r="Q475" t="s">
        <v>1529</v>
      </c>
      <c r="R475" t="s">
        <v>1996</v>
      </c>
      <c r="S475" t="s">
        <v>1530</v>
      </c>
      <c r="T475" t="s">
        <v>1546</v>
      </c>
      <c r="U475" t="s">
        <v>1547</v>
      </c>
      <c r="V475">
        <f>IF(AND(SUM(IF('Consulta de contratos'!$K$1="",0,1),IF('Consulta de contratos'!$K$2="",0,1),IF('Consulta de contratos'!$K$3="",0,1),IF('Consulta de contratos'!$K$4="",0,1),IF('Consulta de contratos'!$K$5="",0,1))&gt;0,OR('Consulta de contratos'!$K$1="",A475='Consulta de contratos'!$K$1),OR('Consulta de contratos'!$K$2="",I475='Consulta de contratos'!$K$2,AND(LEFT('Consulta de contratos'!$K$2,7)="Grupo: ",ISNUMBER(SEARCH("|"&amp;MID('Consulta de contratos'!$K$2,8,120)&amp;"|",AF475)))),OR('Consulta de contratos'!$K$3="",C475='Consulta de contratos'!$K$3),OR('Consulta de contratos'!$K$4="",D475='Consulta de contratos'!$K$4),OR('Consulta de contratos'!$K$5="",E475='Consulta de contratos'!$K$5)),1,0)</f>
        <v>0</v>
      </c>
      <c r="W475">
        <f>IF(V475=1,SUM($V$2:V475),0)</f>
        <v>0</v>
      </c>
      <c r="X475" t="s">
        <v>1533</v>
      </c>
      <c r="Y475" t="s">
        <v>1544</v>
      </c>
      <c r="Z475" t="s">
        <v>71</v>
      </c>
      <c r="AA475" t="s">
        <v>1488</v>
      </c>
      <c r="AB475" t="s">
        <v>1535</v>
      </c>
      <c r="AC475" t="s">
        <v>1536</v>
      </c>
      <c r="AD475" t="s">
        <v>1537</v>
      </c>
      <c r="AE475" t="s">
        <v>1488</v>
      </c>
      <c r="AF475" t="s">
        <v>1548</v>
      </c>
    </row>
    <row r="476" spans="1:32" x14ac:dyDescent="0.35">
      <c r="A476" t="s">
        <v>457</v>
      </c>
      <c r="B476" t="s">
        <v>750</v>
      </c>
      <c r="C476" t="s">
        <v>42</v>
      </c>
      <c r="D476" t="s">
        <v>472</v>
      </c>
      <c r="E476" t="s">
        <v>751</v>
      </c>
      <c r="F476" t="s">
        <v>1549</v>
      </c>
      <c r="G476" t="s">
        <v>753</v>
      </c>
      <c r="H476" t="s">
        <v>124</v>
      </c>
      <c r="I476" t="s">
        <v>1550</v>
      </c>
      <c r="J476" t="s">
        <v>1551</v>
      </c>
      <c r="K476" t="s">
        <v>1552</v>
      </c>
      <c r="M476">
        <v>46188</v>
      </c>
      <c r="Q476" t="s">
        <v>1553</v>
      </c>
      <c r="R476" t="s">
        <v>1554</v>
      </c>
      <c r="S476" t="s">
        <v>1555</v>
      </c>
      <c r="T476" t="s">
        <v>1556</v>
      </c>
      <c r="U476" t="s">
        <v>1557</v>
      </c>
      <c r="V476">
        <f>IF(AND(SUM(IF('Consulta de contratos'!$K$1="",0,1),IF('Consulta de contratos'!$K$2="",0,1),IF('Consulta de contratos'!$K$3="",0,1),IF('Consulta de contratos'!$K$4="",0,1),IF('Consulta de contratos'!$K$5="",0,1))&gt;0,OR('Consulta de contratos'!$K$1="",A476='Consulta de contratos'!$K$1),OR('Consulta de contratos'!$K$2="",I476='Consulta de contratos'!$K$2,AND(LEFT('Consulta de contratos'!$K$2,7)="Grupo: ",ISNUMBER(SEARCH("|"&amp;MID('Consulta de contratos'!$K$2,8,120)&amp;"|",AF476)))),OR('Consulta de contratos'!$K$3="",C476='Consulta de contratos'!$K$3),OR('Consulta de contratos'!$K$4="",D476='Consulta de contratos'!$K$4),OR('Consulta de contratos'!$K$5="",E476='Consulta de contratos'!$K$5)),1,0)</f>
        <v>0</v>
      </c>
      <c r="W476">
        <f>IF(V476=1,SUM($V$2:V476),0)</f>
        <v>0</v>
      </c>
      <c r="X476" t="s">
        <v>1558</v>
      </c>
      <c r="Y476" t="s">
        <v>1550</v>
      </c>
      <c r="Z476" t="s">
        <v>71</v>
      </c>
      <c r="AA476" t="s">
        <v>1488</v>
      </c>
      <c r="AB476" t="s">
        <v>1559</v>
      </c>
      <c r="AC476" t="s">
        <v>457</v>
      </c>
      <c r="AD476" t="s">
        <v>1560</v>
      </c>
      <c r="AE476" t="s">
        <v>1488</v>
      </c>
      <c r="AF476" t="s">
        <v>1561</v>
      </c>
    </row>
    <row r="477" spans="1:32" x14ac:dyDescent="0.35">
      <c r="A477" t="s">
        <v>163</v>
      </c>
      <c r="B477" t="s">
        <v>1562</v>
      </c>
      <c r="C477" t="s">
        <v>1563</v>
      </c>
      <c r="D477" t="s">
        <v>1564</v>
      </c>
      <c r="E477" t="s">
        <v>1565</v>
      </c>
      <c r="F477" t="s">
        <v>1566</v>
      </c>
      <c r="G477" t="s">
        <v>1567</v>
      </c>
      <c r="H477" t="s">
        <v>47</v>
      </c>
      <c r="I477" t="s">
        <v>1568</v>
      </c>
      <c r="J477" t="s">
        <v>1569</v>
      </c>
      <c r="K477" t="s">
        <v>1570</v>
      </c>
      <c r="O477" t="s">
        <v>52</v>
      </c>
      <c r="Q477" t="s">
        <v>1571</v>
      </c>
      <c r="R477" t="s">
        <v>1572</v>
      </c>
      <c r="S477" t="s">
        <v>1573</v>
      </c>
      <c r="T477" t="s">
        <v>1574</v>
      </c>
      <c r="U477" t="s">
        <v>1575</v>
      </c>
      <c r="V477">
        <f>IF(AND(SUM(IF('Consulta de contratos'!$K$1="",0,1),IF('Consulta de contratos'!$K$2="",0,1),IF('Consulta de contratos'!$K$3="",0,1),IF('Consulta de contratos'!$K$4="",0,1),IF('Consulta de contratos'!$K$5="",0,1))&gt;0,OR('Consulta de contratos'!$K$1="",A477='Consulta de contratos'!$K$1),OR('Consulta de contratos'!$K$2="",I477='Consulta de contratos'!$K$2,AND(LEFT('Consulta de contratos'!$K$2,7)="Grupo: ",ISNUMBER(SEARCH("|"&amp;MID('Consulta de contratos'!$K$2,8,120)&amp;"|",AF477)))),OR('Consulta de contratos'!$K$3="",C477='Consulta de contratos'!$K$3),OR('Consulta de contratos'!$K$4="",D477='Consulta de contratos'!$K$4),OR('Consulta de contratos'!$K$5="",E477='Consulta de contratos'!$K$5)),1,0)</f>
        <v>0</v>
      </c>
      <c r="W477">
        <f>IF(V477=1,SUM($V$2:V477),0)</f>
        <v>0</v>
      </c>
      <c r="X477" t="s">
        <v>1576</v>
      </c>
      <c r="Y477" t="s">
        <v>113</v>
      </c>
      <c r="Z477" t="s">
        <v>114</v>
      </c>
      <c r="AA477" t="s">
        <v>1488</v>
      </c>
      <c r="AB477" t="s">
        <v>1577</v>
      </c>
      <c r="AC477" t="s">
        <v>1570</v>
      </c>
      <c r="AD477" t="s">
        <v>1578</v>
      </c>
      <c r="AE477" t="s">
        <v>1488</v>
      </c>
      <c r="AF477" t="s">
        <v>115</v>
      </c>
    </row>
    <row r="478" spans="1:32" x14ac:dyDescent="0.35">
      <c r="A478" t="s">
        <v>163</v>
      </c>
      <c r="B478" t="s">
        <v>1562</v>
      </c>
      <c r="C478" t="s">
        <v>1563</v>
      </c>
      <c r="D478" t="s">
        <v>1564</v>
      </c>
      <c r="E478" t="s">
        <v>1565</v>
      </c>
      <c r="F478" t="s">
        <v>1566</v>
      </c>
      <c r="G478" t="s">
        <v>1567</v>
      </c>
      <c r="H478" t="s">
        <v>124</v>
      </c>
      <c r="I478" t="s">
        <v>1579</v>
      </c>
      <c r="J478" t="s">
        <v>1580</v>
      </c>
      <c r="K478" t="s">
        <v>1570</v>
      </c>
      <c r="O478" t="s">
        <v>52</v>
      </c>
      <c r="Q478" t="s">
        <v>1571</v>
      </c>
      <c r="R478" t="s">
        <v>1572</v>
      </c>
      <c r="S478" t="s">
        <v>1573</v>
      </c>
      <c r="T478" t="s">
        <v>1581</v>
      </c>
      <c r="U478" t="s">
        <v>1582</v>
      </c>
      <c r="V478">
        <f>IF(AND(SUM(IF('Consulta de contratos'!$K$1="",0,1),IF('Consulta de contratos'!$K$2="",0,1),IF('Consulta de contratos'!$K$3="",0,1),IF('Consulta de contratos'!$K$4="",0,1),IF('Consulta de contratos'!$K$5="",0,1))&gt;0,OR('Consulta de contratos'!$K$1="",A478='Consulta de contratos'!$K$1),OR('Consulta de contratos'!$K$2="",I478='Consulta de contratos'!$K$2,AND(LEFT('Consulta de contratos'!$K$2,7)="Grupo: ",ISNUMBER(SEARCH("|"&amp;MID('Consulta de contratos'!$K$2,8,120)&amp;"|",AF478)))),OR('Consulta de contratos'!$K$3="",C478='Consulta de contratos'!$K$3),OR('Consulta de contratos'!$K$4="",D478='Consulta de contratos'!$K$4),OR('Consulta de contratos'!$K$5="",E478='Consulta de contratos'!$K$5)),1,0)</f>
        <v>0</v>
      </c>
      <c r="W478">
        <f>IF(V478=1,SUM($V$2:V478),0)</f>
        <v>0</v>
      </c>
      <c r="X478" t="s">
        <v>1576</v>
      </c>
      <c r="Y478" t="s">
        <v>1579</v>
      </c>
      <c r="Z478" t="s">
        <v>71</v>
      </c>
      <c r="AA478" t="s">
        <v>1488</v>
      </c>
      <c r="AB478" t="s">
        <v>1577</v>
      </c>
      <c r="AC478" t="s">
        <v>1570</v>
      </c>
      <c r="AD478" t="s">
        <v>1578</v>
      </c>
      <c r="AE478" t="s">
        <v>1488</v>
      </c>
      <c r="AF478" t="s">
        <v>1583</v>
      </c>
    </row>
    <row r="479" spans="1:32" x14ac:dyDescent="0.35">
      <c r="A479" t="s">
        <v>163</v>
      </c>
      <c r="B479" t="s">
        <v>1562</v>
      </c>
      <c r="C479" t="s">
        <v>1563</v>
      </c>
      <c r="D479" t="s">
        <v>1564</v>
      </c>
      <c r="E479" t="s">
        <v>1565</v>
      </c>
      <c r="F479" t="s">
        <v>1566</v>
      </c>
      <c r="G479" t="s">
        <v>1567</v>
      </c>
      <c r="H479" t="s">
        <v>73</v>
      </c>
      <c r="I479" t="s">
        <v>1584</v>
      </c>
      <c r="J479" t="s">
        <v>1585</v>
      </c>
      <c r="K479" t="s">
        <v>1570</v>
      </c>
      <c r="O479" t="s">
        <v>52</v>
      </c>
      <c r="Q479" t="s">
        <v>1571</v>
      </c>
      <c r="R479" t="s">
        <v>1572</v>
      </c>
      <c r="S479" t="s">
        <v>1573</v>
      </c>
      <c r="T479" t="s">
        <v>1586</v>
      </c>
      <c r="U479" t="s">
        <v>1587</v>
      </c>
      <c r="V479">
        <f>IF(AND(SUM(IF('Consulta de contratos'!$K$1="",0,1),IF('Consulta de contratos'!$K$2="",0,1),IF('Consulta de contratos'!$K$3="",0,1),IF('Consulta de contratos'!$K$4="",0,1),IF('Consulta de contratos'!$K$5="",0,1))&gt;0,OR('Consulta de contratos'!$K$1="",A479='Consulta de contratos'!$K$1),OR('Consulta de contratos'!$K$2="",I479='Consulta de contratos'!$K$2,AND(LEFT('Consulta de contratos'!$K$2,7)="Grupo: ",ISNUMBER(SEARCH("|"&amp;MID('Consulta de contratos'!$K$2,8,120)&amp;"|",AF479)))),OR('Consulta de contratos'!$K$3="",C479='Consulta de contratos'!$K$3),OR('Consulta de contratos'!$K$4="",D479='Consulta de contratos'!$K$4),OR('Consulta de contratos'!$K$5="",E479='Consulta de contratos'!$K$5)),1,0)</f>
        <v>0</v>
      </c>
      <c r="W479">
        <f>IF(V479=1,SUM($V$2:V479),0)</f>
        <v>0</v>
      </c>
      <c r="X479" t="s">
        <v>1576</v>
      </c>
      <c r="Y479" t="s">
        <v>1584</v>
      </c>
      <c r="Z479" t="s">
        <v>71</v>
      </c>
      <c r="AA479" t="s">
        <v>1488</v>
      </c>
      <c r="AB479" t="s">
        <v>1577</v>
      </c>
      <c r="AC479" t="s">
        <v>1570</v>
      </c>
      <c r="AD479" t="s">
        <v>1578</v>
      </c>
      <c r="AE479" t="s">
        <v>1488</v>
      </c>
      <c r="AF479" t="s">
        <v>1588</v>
      </c>
    </row>
    <row r="480" spans="1:32" x14ac:dyDescent="0.35">
      <c r="A480" t="s">
        <v>163</v>
      </c>
      <c r="B480" t="s">
        <v>1562</v>
      </c>
      <c r="C480" t="s">
        <v>1563</v>
      </c>
      <c r="D480" t="s">
        <v>1564</v>
      </c>
      <c r="E480" t="s">
        <v>1565</v>
      </c>
      <c r="F480" t="s">
        <v>1566</v>
      </c>
      <c r="G480" t="s">
        <v>1567</v>
      </c>
      <c r="H480" t="s">
        <v>64</v>
      </c>
      <c r="I480" t="s">
        <v>1589</v>
      </c>
      <c r="J480" t="s">
        <v>1590</v>
      </c>
      <c r="K480" t="s">
        <v>1570</v>
      </c>
      <c r="O480" t="s">
        <v>52</v>
      </c>
      <c r="Q480" t="s">
        <v>1571</v>
      </c>
      <c r="R480" t="s">
        <v>1591</v>
      </c>
      <c r="S480" t="s">
        <v>1573</v>
      </c>
      <c r="T480" t="s">
        <v>1592</v>
      </c>
      <c r="U480" t="s">
        <v>1593</v>
      </c>
      <c r="V480">
        <f>IF(AND(SUM(IF('Consulta de contratos'!$K$1="",0,1),IF('Consulta de contratos'!$K$2="",0,1),IF('Consulta de contratos'!$K$3="",0,1),IF('Consulta de contratos'!$K$4="",0,1),IF('Consulta de contratos'!$K$5="",0,1))&gt;0,OR('Consulta de contratos'!$K$1="",A480='Consulta de contratos'!$K$1),OR('Consulta de contratos'!$K$2="",I480='Consulta de contratos'!$K$2,AND(LEFT('Consulta de contratos'!$K$2,7)="Grupo: ",ISNUMBER(SEARCH("|"&amp;MID('Consulta de contratos'!$K$2,8,120)&amp;"|",AF480)))),OR('Consulta de contratos'!$K$3="",C480='Consulta de contratos'!$K$3),OR('Consulta de contratos'!$K$4="",D480='Consulta de contratos'!$K$4),OR('Consulta de contratos'!$K$5="",E480='Consulta de contratos'!$K$5)),1,0)</f>
        <v>0</v>
      </c>
      <c r="W480">
        <f>IF(V480=1,SUM($V$2:V480),0)</f>
        <v>0</v>
      </c>
      <c r="X480" t="s">
        <v>1576</v>
      </c>
      <c r="Y480" t="s">
        <v>1589</v>
      </c>
      <c r="Z480" t="s">
        <v>71</v>
      </c>
      <c r="AA480" t="s">
        <v>1488</v>
      </c>
      <c r="AB480" t="s">
        <v>1577</v>
      </c>
      <c r="AC480" t="s">
        <v>1570</v>
      </c>
      <c r="AD480" t="s">
        <v>1578</v>
      </c>
      <c r="AE480" t="s">
        <v>1488</v>
      </c>
      <c r="AF480" t="s">
        <v>1594</v>
      </c>
    </row>
    <row r="481" spans="1:32" x14ac:dyDescent="0.35">
      <c r="A481" t="s">
        <v>191</v>
      </c>
      <c r="B481" t="s">
        <v>1595</v>
      </c>
      <c r="C481" t="s">
        <v>1563</v>
      </c>
      <c r="D481" t="s">
        <v>1596</v>
      </c>
      <c r="E481" t="s">
        <v>1565</v>
      </c>
      <c r="F481" t="s">
        <v>1597</v>
      </c>
      <c r="G481" t="s">
        <v>1598</v>
      </c>
      <c r="H481" t="s">
        <v>47</v>
      </c>
      <c r="I481" t="s">
        <v>1599</v>
      </c>
      <c r="J481" t="s">
        <v>1600</v>
      </c>
      <c r="K481" t="s">
        <v>1601</v>
      </c>
      <c r="O481" t="s">
        <v>52</v>
      </c>
      <c r="Q481" t="s">
        <v>1571</v>
      </c>
      <c r="R481" t="s">
        <v>1602</v>
      </c>
      <c r="S481" t="s">
        <v>1603</v>
      </c>
      <c r="T481" t="s">
        <v>1604</v>
      </c>
      <c r="U481" t="s">
        <v>1605</v>
      </c>
      <c r="V481">
        <f>IF(AND(SUM(IF('Consulta de contratos'!$K$1="",0,1),IF('Consulta de contratos'!$K$2="",0,1),IF('Consulta de contratos'!$K$3="",0,1),IF('Consulta de contratos'!$K$4="",0,1),IF('Consulta de contratos'!$K$5="",0,1))&gt;0,OR('Consulta de contratos'!$K$1="",A481='Consulta de contratos'!$K$1),OR('Consulta de contratos'!$K$2="",I481='Consulta de contratos'!$K$2,AND(LEFT('Consulta de contratos'!$K$2,7)="Grupo: ",ISNUMBER(SEARCH("|"&amp;MID('Consulta de contratos'!$K$2,8,120)&amp;"|",AF481)))),OR('Consulta de contratos'!$K$3="",C481='Consulta de contratos'!$K$3),OR('Consulta de contratos'!$K$4="",D481='Consulta de contratos'!$K$4),OR('Consulta de contratos'!$K$5="",E481='Consulta de contratos'!$K$5)),1,0)</f>
        <v>0</v>
      </c>
      <c r="W481">
        <f>IF(V481=1,SUM($V$2:V481),0)</f>
        <v>0</v>
      </c>
      <c r="X481" t="s">
        <v>1576</v>
      </c>
      <c r="Y481" t="s">
        <v>1599</v>
      </c>
      <c r="Z481" t="s">
        <v>71</v>
      </c>
      <c r="AA481" t="s">
        <v>1488</v>
      </c>
      <c r="AB481" t="s">
        <v>1577</v>
      </c>
      <c r="AC481" t="s">
        <v>1601</v>
      </c>
      <c r="AD481" t="s">
        <v>1578</v>
      </c>
      <c r="AE481" t="s">
        <v>1488</v>
      </c>
      <c r="AF481" t="s">
        <v>1606</v>
      </c>
    </row>
    <row r="482" spans="1:32" x14ac:dyDescent="0.35">
      <c r="A482" t="s">
        <v>191</v>
      </c>
      <c r="B482" t="s">
        <v>1595</v>
      </c>
      <c r="C482" t="s">
        <v>1563</v>
      </c>
      <c r="D482" t="s">
        <v>1596</v>
      </c>
      <c r="E482" t="s">
        <v>1565</v>
      </c>
      <c r="F482" t="s">
        <v>1597</v>
      </c>
      <c r="G482" t="s">
        <v>1598</v>
      </c>
      <c r="H482" t="s">
        <v>124</v>
      </c>
      <c r="I482" t="s">
        <v>1599</v>
      </c>
      <c r="J482" t="s">
        <v>1607</v>
      </c>
      <c r="K482" t="s">
        <v>1601</v>
      </c>
      <c r="O482" t="s">
        <v>52</v>
      </c>
      <c r="Q482" t="s">
        <v>1571</v>
      </c>
      <c r="R482" t="s">
        <v>1602</v>
      </c>
      <c r="S482" t="s">
        <v>1603</v>
      </c>
      <c r="T482" t="s">
        <v>1608</v>
      </c>
      <c r="U482" t="s">
        <v>1609</v>
      </c>
      <c r="V482">
        <f>IF(AND(SUM(IF('Consulta de contratos'!$K$1="",0,1),IF('Consulta de contratos'!$K$2="",0,1),IF('Consulta de contratos'!$K$3="",0,1),IF('Consulta de contratos'!$K$4="",0,1),IF('Consulta de contratos'!$K$5="",0,1))&gt;0,OR('Consulta de contratos'!$K$1="",A482='Consulta de contratos'!$K$1),OR('Consulta de contratos'!$K$2="",I482='Consulta de contratos'!$K$2,AND(LEFT('Consulta de contratos'!$K$2,7)="Grupo: ",ISNUMBER(SEARCH("|"&amp;MID('Consulta de contratos'!$K$2,8,120)&amp;"|",AF482)))),OR('Consulta de contratos'!$K$3="",C482='Consulta de contratos'!$K$3),OR('Consulta de contratos'!$K$4="",D482='Consulta de contratos'!$K$4),OR('Consulta de contratos'!$K$5="",E482='Consulta de contratos'!$K$5)),1,0)</f>
        <v>0</v>
      </c>
      <c r="W482">
        <f>IF(V482=1,SUM($V$2:V482),0)</f>
        <v>0</v>
      </c>
      <c r="X482" t="s">
        <v>1576</v>
      </c>
      <c r="Y482" t="s">
        <v>1599</v>
      </c>
      <c r="Z482" t="s">
        <v>71</v>
      </c>
      <c r="AA482" t="s">
        <v>1488</v>
      </c>
      <c r="AB482" t="s">
        <v>1577</v>
      </c>
      <c r="AC482" t="s">
        <v>1601</v>
      </c>
      <c r="AD482" t="s">
        <v>1578</v>
      </c>
      <c r="AE482" t="s">
        <v>1488</v>
      </c>
      <c r="AF482" t="s">
        <v>1606</v>
      </c>
    </row>
    <row r="483" spans="1:32" x14ac:dyDescent="0.35">
      <c r="A483" t="s">
        <v>191</v>
      </c>
      <c r="B483" t="s">
        <v>1595</v>
      </c>
      <c r="C483" t="s">
        <v>1563</v>
      </c>
      <c r="D483" t="s">
        <v>1596</v>
      </c>
      <c r="E483" t="s">
        <v>1565</v>
      </c>
      <c r="F483" t="s">
        <v>1597</v>
      </c>
      <c r="G483" t="s">
        <v>1598</v>
      </c>
      <c r="H483" t="s">
        <v>73</v>
      </c>
      <c r="I483" t="s">
        <v>1610</v>
      </c>
      <c r="J483" t="s">
        <v>1611</v>
      </c>
      <c r="K483" t="s">
        <v>1601</v>
      </c>
      <c r="O483" t="s">
        <v>52</v>
      </c>
      <c r="Q483" t="s">
        <v>1571</v>
      </c>
      <c r="R483" t="s">
        <v>1602</v>
      </c>
      <c r="S483" t="s">
        <v>1603</v>
      </c>
      <c r="T483" t="s">
        <v>1612</v>
      </c>
      <c r="U483" t="s">
        <v>1613</v>
      </c>
      <c r="V483">
        <f>IF(AND(SUM(IF('Consulta de contratos'!$K$1="",0,1),IF('Consulta de contratos'!$K$2="",0,1),IF('Consulta de contratos'!$K$3="",0,1),IF('Consulta de contratos'!$K$4="",0,1),IF('Consulta de contratos'!$K$5="",0,1))&gt;0,OR('Consulta de contratos'!$K$1="",A483='Consulta de contratos'!$K$1),OR('Consulta de contratos'!$K$2="",I483='Consulta de contratos'!$K$2,AND(LEFT('Consulta de contratos'!$K$2,7)="Grupo: ",ISNUMBER(SEARCH("|"&amp;MID('Consulta de contratos'!$K$2,8,120)&amp;"|",AF483)))),OR('Consulta de contratos'!$K$3="",C483='Consulta de contratos'!$K$3),OR('Consulta de contratos'!$K$4="",D483='Consulta de contratos'!$K$4),OR('Consulta de contratos'!$K$5="",E483='Consulta de contratos'!$K$5)),1,0)</f>
        <v>0</v>
      </c>
      <c r="W483">
        <f>IF(V483=1,SUM($V$2:V483),0)</f>
        <v>0</v>
      </c>
      <c r="X483" t="s">
        <v>1576</v>
      </c>
      <c r="Y483" t="s">
        <v>1614</v>
      </c>
      <c r="Z483" t="s">
        <v>927</v>
      </c>
      <c r="AA483" t="s">
        <v>1488</v>
      </c>
      <c r="AB483" t="s">
        <v>1577</v>
      </c>
      <c r="AC483" t="s">
        <v>1601</v>
      </c>
      <c r="AD483" t="s">
        <v>1578</v>
      </c>
      <c r="AE483" t="s">
        <v>1488</v>
      </c>
      <c r="AF483" t="s">
        <v>1615</v>
      </c>
    </row>
    <row r="484" spans="1:32" x14ac:dyDescent="0.35">
      <c r="A484" t="s">
        <v>191</v>
      </c>
      <c r="B484" t="s">
        <v>1595</v>
      </c>
      <c r="C484" t="s">
        <v>1563</v>
      </c>
      <c r="D484" t="s">
        <v>1596</v>
      </c>
      <c r="E484" t="s">
        <v>1565</v>
      </c>
      <c r="F484" t="s">
        <v>1597</v>
      </c>
      <c r="G484" t="s">
        <v>1598</v>
      </c>
      <c r="H484" t="s">
        <v>64</v>
      </c>
      <c r="I484" t="s">
        <v>1616</v>
      </c>
      <c r="J484" t="s">
        <v>1617</v>
      </c>
      <c r="K484" t="s">
        <v>1601</v>
      </c>
      <c r="O484" t="s">
        <v>52</v>
      </c>
      <c r="Q484" t="s">
        <v>1571</v>
      </c>
      <c r="R484" t="s">
        <v>1602</v>
      </c>
      <c r="S484" t="s">
        <v>1603</v>
      </c>
      <c r="T484" t="s">
        <v>1618</v>
      </c>
      <c r="U484" t="s">
        <v>1619</v>
      </c>
      <c r="V484">
        <f>IF(AND(SUM(IF('Consulta de contratos'!$K$1="",0,1),IF('Consulta de contratos'!$K$2="",0,1),IF('Consulta de contratos'!$K$3="",0,1),IF('Consulta de contratos'!$K$4="",0,1),IF('Consulta de contratos'!$K$5="",0,1))&gt;0,OR('Consulta de contratos'!$K$1="",A484='Consulta de contratos'!$K$1),OR('Consulta de contratos'!$K$2="",I484='Consulta de contratos'!$K$2,AND(LEFT('Consulta de contratos'!$K$2,7)="Grupo: ",ISNUMBER(SEARCH("|"&amp;MID('Consulta de contratos'!$K$2,8,120)&amp;"|",AF484)))),OR('Consulta de contratos'!$K$3="",C484='Consulta de contratos'!$K$3),OR('Consulta de contratos'!$K$4="",D484='Consulta de contratos'!$K$4),OR('Consulta de contratos'!$K$5="",E484='Consulta de contratos'!$K$5)),1,0)</f>
        <v>0</v>
      </c>
      <c r="W484">
        <f>IF(V484=1,SUM($V$2:V484),0)</f>
        <v>0</v>
      </c>
      <c r="X484" t="s">
        <v>1576</v>
      </c>
      <c r="Y484" t="s">
        <v>1616</v>
      </c>
      <c r="Z484" t="s">
        <v>71</v>
      </c>
      <c r="AA484" t="s">
        <v>1488</v>
      </c>
      <c r="AB484" t="s">
        <v>1577</v>
      </c>
      <c r="AC484" t="s">
        <v>1601</v>
      </c>
      <c r="AD484" t="s">
        <v>1578</v>
      </c>
      <c r="AE484" t="s">
        <v>1488</v>
      </c>
      <c r="AF484" t="s">
        <v>1620</v>
      </c>
    </row>
    <row r="485" spans="1:32" x14ac:dyDescent="0.35">
      <c r="A485" t="s">
        <v>219</v>
      </c>
      <c r="B485" t="s">
        <v>1595</v>
      </c>
      <c r="C485" t="s">
        <v>1563</v>
      </c>
      <c r="D485" t="s">
        <v>1621</v>
      </c>
      <c r="E485" t="s">
        <v>1565</v>
      </c>
      <c r="F485" t="s">
        <v>1622</v>
      </c>
      <c r="G485" t="s">
        <v>1623</v>
      </c>
      <c r="H485" t="s">
        <v>47</v>
      </c>
      <c r="I485" t="s">
        <v>1624</v>
      </c>
      <c r="J485" t="s">
        <v>1625</v>
      </c>
      <c r="K485" t="s">
        <v>1626</v>
      </c>
      <c r="O485" t="s">
        <v>52</v>
      </c>
      <c r="Q485" t="s">
        <v>1571</v>
      </c>
      <c r="R485" t="s">
        <v>1627</v>
      </c>
      <c r="S485" t="s">
        <v>1628</v>
      </c>
      <c r="T485" t="s">
        <v>1629</v>
      </c>
      <c r="U485" t="s">
        <v>1630</v>
      </c>
      <c r="V485">
        <f>IF(AND(SUM(IF('Consulta de contratos'!$K$1="",0,1),IF('Consulta de contratos'!$K$2="",0,1),IF('Consulta de contratos'!$K$3="",0,1),IF('Consulta de contratos'!$K$4="",0,1),IF('Consulta de contratos'!$K$5="",0,1))&gt;0,OR('Consulta de contratos'!$K$1="",A485='Consulta de contratos'!$K$1),OR('Consulta de contratos'!$K$2="",I485='Consulta de contratos'!$K$2,AND(LEFT('Consulta de contratos'!$K$2,7)="Grupo: ",ISNUMBER(SEARCH("|"&amp;MID('Consulta de contratos'!$K$2,8,120)&amp;"|",AF485)))),OR('Consulta de contratos'!$K$3="",C485='Consulta de contratos'!$K$3),OR('Consulta de contratos'!$K$4="",D485='Consulta de contratos'!$K$4),OR('Consulta de contratos'!$K$5="",E485='Consulta de contratos'!$K$5)),1,0)</f>
        <v>0</v>
      </c>
      <c r="W485">
        <f>IF(V485=1,SUM($V$2:V485),0)</f>
        <v>0</v>
      </c>
      <c r="X485" t="s">
        <v>1576</v>
      </c>
      <c r="Y485" t="s">
        <v>1631</v>
      </c>
      <c r="Z485" t="s">
        <v>1632</v>
      </c>
      <c r="AA485" t="s">
        <v>1488</v>
      </c>
      <c r="AB485" t="s">
        <v>1577</v>
      </c>
      <c r="AC485" t="s">
        <v>1626</v>
      </c>
      <c r="AD485" t="s">
        <v>1578</v>
      </c>
      <c r="AE485" t="s">
        <v>1488</v>
      </c>
      <c r="AF485" t="s">
        <v>1633</v>
      </c>
    </row>
    <row r="486" spans="1:32" x14ac:dyDescent="0.35">
      <c r="A486" t="s">
        <v>219</v>
      </c>
      <c r="B486" t="s">
        <v>1595</v>
      </c>
      <c r="C486" t="s">
        <v>1563</v>
      </c>
      <c r="D486" t="s">
        <v>1621</v>
      </c>
      <c r="E486" t="s">
        <v>1565</v>
      </c>
      <c r="F486" t="s">
        <v>1622</v>
      </c>
      <c r="G486" t="s">
        <v>1623</v>
      </c>
      <c r="H486" t="s">
        <v>124</v>
      </c>
      <c r="I486" t="s">
        <v>1634</v>
      </c>
      <c r="J486" t="s">
        <v>1635</v>
      </c>
      <c r="K486" t="s">
        <v>1626</v>
      </c>
      <c r="O486" t="s">
        <v>52</v>
      </c>
      <c r="Q486" t="s">
        <v>1571</v>
      </c>
      <c r="R486" t="s">
        <v>1627</v>
      </c>
      <c r="S486" t="s">
        <v>1628</v>
      </c>
      <c r="T486" t="s">
        <v>1636</v>
      </c>
      <c r="U486" t="s">
        <v>1637</v>
      </c>
      <c r="V486">
        <f>IF(AND(SUM(IF('Consulta de contratos'!$K$1="",0,1),IF('Consulta de contratos'!$K$2="",0,1),IF('Consulta de contratos'!$K$3="",0,1),IF('Consulta de contratos'!$K$4="",0,1),IF('Consulta de contratos'!$K$5="",0,1))&gt;0,OR('Consulta de contratos'!$K$1="",A486='Consulta de contratos'!$K$1),OR('Consulta de contratos'!$K$2="",I486='Consulta de contratos'!$K$2,AND(LEFT('Consulta de contratos'!$K$2,7)="Grupo: ",ISNUMBER(SEARCH("|"&amp;MID('Consulta de contratos'!$K$2,8,120)&amp;"|",AF486)))),OR('Consulta de contratos'!$K$3="",C486='Consulta de contratos'!$K$3),OR('Consulta de contratos'!$K$4="",D486='Consulta de contratos'!$K$4),OR('Consulta de contratos'!$K$5="",E486='Consulta de contratos'!$K$5)),1,0)</f>
        <v>0</v>
      </c>
      <c r="W486">
        <f>IF(V486=1,SUM($V$2:V486),0)</f>
        <v>0</v>
      </c>
      <c r="X486" t="s">
        <v>1576</v>
      </c>
      <c r="Y486" t="s">
        <v>1634</v>
      </c>
      <c r="Z486" t="s">
        <v>71</v>
      </c>
      <c r="AA486" t="s">
        <v>1488</v>
      </c>
      <c r="AB486" t="s">
        <v>1577</v>
      </c>
      <c r="AC486" t="s">
        <v>1626</v>
      </c>
      <c r="AD486" t="s">
        <v>1578</v>
      </c>
      <c r="AE486" t="s">
        <v>1488</v>
      </c>
      <c r="AF486" t="s">
        <v>1638</v>
      </c>
    </row>
    <row r="487" spans="1:32" x14ac:dyDescent="0.35">
      <c r="A487" t="s">
        <v>219</v>
      </c>
      <c r="B487" t="s">
        <v>1595</v>
      </c>
      <c r="C487" t="s">
        <v>1563</v>
      </c>
      <c r="D487" t="s">
        <v>1621</v>
      </c>
      <c r="E487" t="s">
        <v>1565</v>
      </c>
      <c r="F487" t="s">
        <v>1622</v>
      </c>
      <c r="G487" t="s">
        <v>1623</v>
      </c>
      <c r="H487" t="s">
        <v>73</v>
      </c>
      <c r="I487" t="s">
        <v>1639</v>
      </c>
      <c r="J487" t="s">
        <v>1640</v>
      </c>
      <c r="K487" t="s">
        <v>1626</v>
      </c>
      <c r="O487" t="s">
        <v>52</v>
      </c>
      <c r="Q487" t="s">
        <v>1571</v>
      </c>
      <c r="R487" t="s">
        <v>1641</v>
      </c>
      <c r="S487" t="s">
        <v>1628</v>
      </c>
      <c r="T487" t="s">
        <v>1642</v>
      </c>
      <c r="U487" t="s">
        <v>1643</v>
      </c>
      <c r="V487">
        <f>IF(AND(SUM(IF('Consulta de contratos'!$K$1="",0,1),IF('Consulta de contratos'!$K$2="",0,1),IF('Consulta de contratos'!$K$3="",0,1),IF('Consulta de contratos'!$K$4="",0,1),IF('Consulta de contratos'!$K$5="",0,1))&gt;0,OR('Consulta de contratos'!$K$1="",A487='Consulta de contratos'!$K$1),OR('Consulta de contratos'!$K$2="",I487='Consulta de contratos'!$K$2,AND(LEFT('Consulta de contratos'!$K$2,7)="Grupo: ",ISNUMBER(SEARCH("|"&amp;MID('Consulta de contratos'!$K$2,8,120)&amp;"|",AF487)))),OR('Consulta de contratos'!$K$3="",C487='Consulta de contratos'!$K$3),OR('Consulta de contratos'!$K$4="",D487='Consulta de contratos'!$K$4),OR('Consulta de contratos'!$K$5="",E487='Consulta de contratos'!$K$5)),1,0)</f>
        <v>0</v>
      </c>
      <c r="W487">
        <f>IF(V487=1,SUM($V$2:V487),0)</f>
        <v>0</v>
      </c>
      <c r="X487" t="s">
        <v>1576</v>
      </c>
      <c r="Y487" t="s">
        <v>1115</v>
      </c>
      <c r="Z487" t="s">
        <v>1644</v>
      </c>
      <c r="AA487" t="s">
        <v>1488</v>
      </c>
      <c r="AB487" t="s">
        <v>1577</v>
      </c>
      <c r="AC487" t="s">
        <v>1626</v>
      </c>
      <c r="AD487" t="s">
        <v>1578</v>
      </c>
      <c r="AE487" t="s">
        <v>1488</v>
      </c>
      <c r="AF487" t="s">
        <v>1116</v>
      </c>
    </row>
    <row r="488" spans="1:32" x14ac:dyDescent="0.35">
      <c r="A488" t="s">
        <v>219</v>
      </c>
      <c r="B488" t="s">
        <v>1595</v>
      </c>
      <c r="C488" t="s">
        <v>1563</v>
      </c>
      <c r="D488" t="s">
        <v>1621</v>
      </c>
      <c r="E488" t="s">
        <v>1565</v>
      </c>
      <c r="F488" t="s">
        <v>1622</v>
      </c>
      <c r="G488" t="s">
        <v>1623</v>
      </c>
      <c r="H488" t="s">
        <v>64</v>
      </c>
      <c r="I488" t="s">
        <v>1645</v>
      </c>
      <c r="J488" t="s">
        <v>1646</v>
      </c>
      <c r="K488" t="s">
        <v>1626</v>
      </c>
      <c r="O488" t="s">
        <v>52</v>
      </c>
      <c r="Q488" t="s">
        <v>1571</v>
      </c>
      <c r="R488" t="s">
        <v>1647</v>
      </c>
      <c r="S488" t="s">
        <v>1628</v>
      </c>
      <c r="T488" t="s">
        <v>1648</v>
      </c>
      <c r="U488" t="s">
        <v>1649</v>
      </c>
      <c r="V488">
        <f>IF(AND(SUM(IF('Consulta de contratos'!$K$1="",0,1),IF('Consulta de contratos'!$K$2="",0,1),IF('Consulta de contratos'!$K$3="",0,1),IF('Consulta de contratos'!$K$4="",0,1),IF('Consulta de contratos'!$K$5="",0,1))&gt;0,OR('Consulta de contratos'!$K$1="",A488='Consulta de contratos'!$K$1),OR('Consulta de contratos'!$K$2="",I488='Consulta de contratos'!$K$2,AND(LEFT('Consulta de contratos'!$K$2,7)="Grupo: ",ISNUMBER(SEARCH("|"&amp;MID('Consulta de contratos'!$K$2,8,120)&amp;"|",AF488)))),OR('Consulta de contratos'!$K$3="",C488='Consulta de contratos'!$K$3),OR('Consulta de contratos'!$K$4="",D488='Consulta de contratos'!$K$4),OR('Consulta de contratos'!$K$5="",E488='Consulta de contratos'!$K$5)),1,0)</f>
        <v>0</v>
      </c>
      <c r="W488">
        <f>IF(V488=1,SUM($V$2:V488),0)</f>
        <v>0</v>
      </c>
      <c r="X488" t="s">
        <v>1650</v>
      </c>
      <c r="Y488" t="s">
        <v>1369</v>
      </c>
      <c r="Z488" t="s">
        <v>346</v>
      </c>
      <c r="AA488" t="s">
        <v>1488</v>
      </c>
      <c r="AB488" t="s">
        <v>1651</v>
      </c>
      <c r="AC488" t="s">
        <v>1626</v>
      </c>
      <c r="AD488" t="s">
        <v>1578</v>
      </c>
      <c r="AE488" t="s">
        <v>1488</v>
      </c>
      <c r="AF488" t="s">
        <v>1373</v>
      </c>
    </row>
    <row r="489" spans="1:32" x14ac:dyDescent="0.35">
      <c r="A489" t="s">
        <v>226</v>
      </c>
      <c r="B489" t="s">
        <v>1595</v>
      </c>
      <c r="C489" t="s">
        <v>1563</v>
      </c>
      <c r="D489" t="s">
        <v>1652</v>
      </c>
      <c r="E489" t="s">
        <v>1565</v>
      </c>
      <c r="F489" t="s">
        <v>1653</v>
      </c>
      <c r="G489" t="s">
        <v>1654</v>
      </c>
      <c r="H489" t="s">
        <v>47</v>
      </c>
      <c r="I489" t="s">
        <v>1655</v>
      </c>
      <c r="J489" t="s">
        <v>1625</v>
      </c>
      <c r="K489" t="s">
        <v>1656</v>
      </c>
      <c r="O489" t="s">
        <v>52</v>
      </c>
      <c r="Q489" t="s">
        <v>1571</v>
      </c>
      <c r="R489" t="s">
        <v>1657</v>
      </c>
      <c r="S489" t="s">
        <v>1658</v>
      </c>
      <c r="T489" t="s">
        <v>1659</v>
      </c>
      <c r="U489" t="s">
        <v>1660</v>
      </c>
      <c r="V489">
        <f>IF(AND(SUM(IF('Consulta de contratos'!$K$1="",0,1),IF('Consulta de contratos'!$K$2="",0,1),IF('Consulta de contratos'!$K$3="",0,1),IF('Consulta de contratos'!$K$4="",0,1),IF('Consulta de contratos'!$K$5="",0,1))&gt;0,OR('Consulta de contratos'!$K$1="",A489='Consulta de contratos'!$K$1),OR('Consulta de contratos'!$K$2="",I489='Consulta de contratos'!$K$2,AND(LEFT('Consulta de contratos'!$K$2,7)="Grupo: ",ISNUMBER(SEARCH("|"&amp;MID('Consulta de contratos'!$K$2,8,120)&amp;"|",AF489)))),OR('Consulta de contratos'!$K$3="",C489='Consulta de contratos'!$K$3),OR('Consulta de contratos'!$K$4="",D489='Consulta de contratos'!$K$4),OR('Consulta de contratos'!$K$5="",E489='Consulta de contratos'!$K$5)),1,0)</f>
        <v>0</v>
      </c>
      <c r="W489">
        <f>IF(V489=1,SUM($V$2:V489),0)</f>
        <v>0</v>
      </c>
      <c r="X489" t="s">
        <v>1576</v>
      </c>
      <c r="Y489" t="s">
        <v>1661</v>
      </c>
      <c r="Z489" t="s">
        <v>1632</v>
      </c>
      <c r="AA489" t="s">
        <v>1488</v>
      </c>
      <c r="AB489" t="s">
        <v>1577</v>
      </c>
      <c r="AC489" t="s">
        <v>1656</v>
      </c>
      <c r="AD489" t="s">
        <v>1578</v>
      </c>
      <c r="AE489" t="s">
        <v>1488</v>
      </c>
      <c r="AF489" t="s">
        <v>1662</v>
      </c>
    </row>
    <row r="490" spans="1:32" x14ac:dyDescent="0.35">
      <c r="A490" t="s">
        <v>226</v>
      </c>
      <c r="B490" t="s">
        <v>1595</v>
      </c>
      <c r="C490" t="s">
        <v>1563</v>
      </c>
      <c r="D490" t="s">
        <v>1652</v>
      </c>
      <c r="E490" t="s">
        <v>1565</v>
      </c>
      <c r="F490" t="s">
        <v>1653</v>
      </c>
      <c r="G490" t="s">
        <v>1654</v>
      </c>
      <c r="H490" t="s">
        <v>124</v>
      </c>
      <c r="I490" t="s">
        <v>1624</v>
      </c>
      <c r="J490" t="s">
        <v>1663</v>
      </c>
      <c r="K490" t="s">
        <v>1656</v>
      </c>
      <c r="O490" t="s">
        <v>52</v>
      </c>
      <c r="Q490" t="s">
        <v>1571</v>
      </c>
      <c r="R490" t="s">
        <v>1657</v>
      </c>
      <c r="S490" t="s">
        <v>1658</v>
      </c>
      <c r="T490" t="s">
        <v>1664</v>
      </c>
      <c r="U490" t="s">
        <v>1665</v>
      </c>
      <c r="V490">
        <f>IF(AND(SUM(IF('Consulta de contratos'!$K$1="",0,1),IF('Consulta de contratos'!$K$2="",0,1),IF('Consulta de contratos'!$K$3="",0,1),IF('Consulta de contratos'!$K$4="",0,1),IF('Consulta de contratos'!$K$5="",0,1))&gt;0,OR('Consulta de contratos'!$K$1="",A490='Consulta de contratos'!$K$1),OR('Consulta de contratos'!$K$2="",I490='Consulta de contratos'!$K$2,AND(LEFT('Consulta de contratos'!$K$2,7)="Grupo: ",ISNUMBER(SEARCH("|"&amp;MID('Consulta de contratos'!$K$2,8,120)&amp;"|",AF490)))),OR('Consulta de contratos'!$K$3="",C490='Consulta de contratos'!$K$3),OR('Consulta de contratos'!$K$4="",D490='Consulta de contratos'!$K$4),OR('Consulta de contratos'!$K$5="",E490='Consulta de contratos'!$K$5)),1,0)</f>
        <v>0</v>
      </c>
      <c r="W490">
        <f>IF(V490=1,SUM($V$2:V490),0)</f>
        <v>0</v>
      </c>
      <c r="X490" t="s">
        <v>1576</v>
      </c>
      <c r="Y490" t="s">
        <v>1631</v>
      </c>
      <c r="Z490" t="s">
        <v>1632</v>
      </c>
      <c r="AA490" t="s">
        <v>1488</v>
      </c>
      <c r="AB490" t="s">
        <v>1577</v>
      </c>
      <c r="AC490" t="s">
        <v>1656</v>
      </c>
      <c r="AD490" t="s">
        <v>1578</v>
      </c>
      <c r="AE490" t="s">
        <v>1488</v>
      </c>
      <c r="AF490" t="s">
        <v>1633</v>
      </c>
    </row>
    <row r="491" spans="1:32" x14ac:dyDescent="0.35">
      <c r="A491" t="s">
        <v>457</v>
      </c>
      <c r="B491" t="s">
        <v>1666</v>
      </c>
      <c r="C491" t="s">
        <v>42</v>
      </c>
      <c r="D491" t="s">
        <v>43</v>
      </c>
      <c r="E491" t="s">
        <v>1405</v>
      </c>
      <c r="F491" t="s">
        <v>1667</v>
      </c>
      <c r="G491" t="s">
        <v>1668</v>
      </c>
      <c r="H491" t="s">
        <v>84</v>
      </c>
      <c r="I491" t="s">
        <v>1669</v>
      </c>
      <c r="J491" t="s">
        <v>1670</v>
      </c>
      <c r="K491" t="s">
        <v>1671</v>
      </c>
      <c r="O491" t="s">
        <v>52</v>
      </c>
      <c r="Q491" t="s">
        <v>1672</v>
      </c>
      <c r="R491" t="s">
        <v>1673</v>
      </c>
      <c r="S491" t="s">
        <v>1674</v>
      </c>
      <c r="T491" t="s">
        <v>1675</v>
      </c>
      <c r="U491" t="s">
        <v>1676</v>
      </c>
      <c r="V491">
        <f>IF(AND(SUM(IF('Consulta de contratos'!$K$1="",0,1),IF('Consulta de contratos'!$K$2="",0,1),IF('Consulta de contratos'!$K$3="",0,1),IF('Consulta de contratos'!$K$4="",0,1),IF('Consulta de contratos'!$K$5="",0,1))&gt;0,OR('Consulta de contratos'!$K$1="",A491='Consulta de contratos'!$K$1),OR('Consulta de contratos'!$K$2="",I491='Consulta de contratos'!$K$2,AND(LEFT('Consulta de contratos'!$K$2,7)="Grupo: ",ISNUMBER(SEARCH("|"&amp;MID('Consulta de contratos'!$K$2,8,120)&amp;"|",AF491)))),OR('Consulta de contratos'!$K$3="",C491='Consulta de contratos'!$K$3),OR('Consulta de contratos'!$K$4="",D491='Consulta de contratos'!$K$4),OR('Consulta de contratos'!$K$5="",E491='Consulta de contratos'!$K$5)),1,0)</f>
        <v>0</v>
      </c>
      <c r="W491">
        <f>IF(V491=1,SUM($V$2:V491),0)</f>
        <v>0</v>
      </c>
      <c r="X491" t="s">
        <v>1576</v>
      </c>
      <c r="Y491" t="s">
        <v>1677</v>
      </c>
      <c r="Z491" t="s">
        <v>927</v>
      </c>
      <c r="AA491" t="s">
        <v>1488</v>
      </c>
      <c r="AB491" t="s">
        <v>1678</v>
      </c>
      <c r="AC491" t="s">
        <v>1671</v>
      </c>
      <c r="AD491" t="s">
        <v>1578</v>
      </c>
      <c r="AE491" t="s">
        <v>1488</v>
      </c>
      <c r="AF491" t="s">
        <v>1679</v>
      </c>
    </row>
    <row r="492" spans="1:32" x14ac:dyDescent="0.35">
      <c r="A492" t="s">
        <v>457</v>
      </c>
      <c r="B492" t="s">
        <v>1666</v>
      </c>
      <c r="C492" t="s">
        <v>42</v>
      </c>
      <c r="D492" t="s">
        <v>43</v>
      </c>
      <c r="E492" t="s">
        <v>1405</v>
      </c>
      <c r="F492" t="s">
        <v>1680</v>
      </c>
      <c r="G492" t="s">
        <v>1681</v>
      </c>
      <c r="H492" t="s">
        <v>84</v>
      </c>
      <c r="I492" t="s">
        <v>1682</v>
      </c>
      <c r="J492" t="s">
        <v>1683</v>
      </c>
      <c r="K492" t="s">
        <v>1684</v>
      </c>
      <c r="O492" t="s">
        <v>52</v>
      </c>
      <c r="Q492" t="s">
        <v>1672</v>
      </c>
      <c r="R492" t="s">
        <v>1685</v>
      </c>
      <c r="S492" t="s">
        <v>1686</v>
      </c>
      <c r="T492" t="s">
        <v>1687</v>
      </c>
      <c r="U492" t="s">
        <v>1688</v>
      </c>
      <c r="V492">
        <f>IF(AND(SUM(IF('Consulta de contratos'!$K$1="",0,1),IF('Consulta de contratos'!$K$2="",0,1),IF('Consulta de contratos'!$K$3="",0,1),IF('Consulta de contratos'!$K$4="",0,1),IF('Consulta de contratos'!$K$5="",0,1))&gt;0,OR('Consulta de contratos'!$K$1="",A492='Consulta de contratos'!$K$1),OR('Consulta de contratos'!$K$2="",I492='Consulta de contratos'!$K$2,AND(LEFT('Consulta de contratos'!$K$2,7)="Grupo: ",ISNUMBER(SEARCH("|"&amp;MID('Consulta de contratos'!$K$2,8,120)&amp;"|",AF492)))),OR('Consulta de contratos'!$K$3="",C492='Consulta de contratos'!$K$3),OR('Consulta de contratos'!$K$4="",D492='Consulta de contratos'!$K$4),OR('Consulta de contratos'!$K$5="",E492='Consulta de contratos'!$K$5)),1,0)</f>
        <v>0</v>
      </c>
      <c r="W492">
        <f>IF(V492=1,SUM($V$2:V492),0)</f>
        <v>0</v>
      </c>
      <c r="X492" t="s">
        <v>1576</v>
      </c>
      <c r="Y492" t="s">
        <v>1689</v>
      </c>
      <c r="Z492" t="s">
        <v>1690</v>
      </c>
      <c r="AA492" t="s">
        <v>1488</v>
      </c>
      <c r="AB492" t="s">
        <v>1678</v>
      </c>
      <c r="AC492" t="s">
        <v>1684</v>
      </c>
      <c r="AD492" t="s">
        <v>1578</v>
      </c>
      <c r="AE492" t="s">
        <v>1488</v>
      </c>
      <c r="AF492" t="s">
        <v>1691</v>
      </c>
    </row>
    <row r="493" spans="1:32" x14ac:dyDescent="0.35">
      <c r="A493" t="s">
        <v>233</v>
      </c>
      <c r="B493" t="s">
        <v>1692</v>
      </c>
      <c r="C493" t="s">
        <v>42</v>
      </c>
      <c r="D493" t="s">
        <v>1693</v>
      </c>
      <c r="E493" t="s">
        <v>1694</v>
      </c>
      <c r="F493" t="s">
        <v>1695</v>
      </c>
      <c r="G493" t="s">
        <v>1696</v>
      </c>
      <c r="H493" t="s">
        <v>84</v>
      </c>
      <c r="I493" t="s">
        <v>857</v>
      </c>
      <c r="J493" t="s">
        <v>1697</v>
      </c>
      <c r="K493" t="s">
        <v>1698</v>
      </c>
      <c r="O493" t="s">
        <v>52</v>
      </c>
      <c r="Q493" t="s">
        <v>1699</v>
      </c>
      <c r="R493" t="s">
        <v>1700</v>
      </c>
      <c r="S493" t="s">
        <v>1701</v>
      </c>
      <c r="T493" t="s">
        <v>1702</v>
      </c>
      <c r="U493" t="s">
        <v>1703</v>
      </c>
      <c r="V493">
        <f>IF(AND(SUM(IF('Consulta de contratos'!$K$1="",0,1),IF('Consulta de contratos'!$K$2="",0,1),IF('Consulta de contratos'!$K$3="",0,1),IF('Consulta de contratos'!$K$4="",0,1),IF('Consulta de contratos'!$K$5="",0,1))&gt;0,OR('Consulta de contratos'!$K$1="",A493='Consulta de contratos'!$K$1),OR('Consulta de contratos'!$K$2="",I493='Consulta de contratos'!$K$2,AND(LEFT('Consulta de contratos'!$K$2,7)="Grupo: ",ISNUMBER(SEARCH("|"&amp;MID('Consulta de contratos'!$K$2,8,120)&amp;"|",AF493)))),OR('Consulta de contratos'!$K$3="",C493='Consulta de contratos'!$K$3),OR('Consulta de contratos'!$K$4="",D493='Consulta de contratos'!$K$4),OR('Consulta de contratos'!$K$5="",E493='Consulta de contratos'!$K$5)),1,0)</f>
        <v>0</v>
      </c>
      <c r="W493">
        <f>IF(V493=1,SUM($V$2:V493),0)</f>
        <v>0</v>
      </c>
      <c r="X493" t="s">
        <v>1650</v>
      </c>
      <c r="Y493" t="s">
        <v>1369</v>
      </c>
      <c r="Z493" t="s">
        <v>346</v>
      </c>
      <c r="AA493" t="s">
        <v>1488</v>
      </c>
      <c r="AB493" t="s">
        <v>1651</v>
      </c>
      <c r="AC493" t="s">
        <v>1698</v>
      </c>
      <c r="AD493" t="s">
        <v>1578</v>
      </c>
      <c r="AE493" t="s">
        <v>1488</v>
      </c>
      <c r="AF493" t="s">
        <v>1373</v>
      </c>
    </row>
    <row r="494" spans="1:32" x14ac:dyDescent="0.35">
      <c r="V494">
        <f>IF(AND(SUM(IF('Consulta de contratos'!$K$1="",0,1),IF('Consulta de contratos'!$K$2="",0,1),IF('Consulta de contratos'!$K$3="",0,1),IF('Consulta de contratos'!$K$4="",0,1),IF('Consulta de contratos'!$K$5="",0,1))&gt;0,OR('Consulta de contratos'!$K$1="",A494='Consulta de contratos'!$K$1),OR('Consulta de contratos'!$K$2="",I494='Consulta de contratos'!$K$2,AND(LEFT('Consulta de contratos'!$K$2,7)="Grupo: ",ISNUMBER(SEARCH("|"&amp;MID('Consulta de contratos'!$K$2,8,120)&amp;"|",AF494)))),OR('Consulta de contratos'!$K$3="",C494='Consulta de contratos'!$K$3),OR('Consulta de contratos'!$K$4="",D494='Consulta de contratos'!$K$4),OR('Consulta de contratos'!$K$5="",E494='Consulta de contratos'!$K$5)),1,0)</f>
        <v>0</v>
      </c>
      <c r="W494">
        <f>IF(V494=1,SUM($V$2:V494),0)</f>
        <v>0</v>
      </c>
    </row>
    <row r="495" spans="1:32" x14ac:dyDescent="0.35">
      <c r="V495">
        <f>IF(AND(SUM(IF('Consulta de contratos'!$K$1="",0,1),IF('Consulta de contratos'!$K$2="",0,1),IF('Consulta de contratos'!$K$3="",0,1),IF('Consulta de contratos'!$K$4="",0,1),IF('Consulta de contratos'!$K$5="",0,1))&gt;0,OR('Consulta de contratos'!$K$1="",A495='Consulta de contratos'!$K$1),OR('Consulta de contratos'!$K$2="",I495='Consulta de contratos'!$K$2,AND(LEFT('Consulta de contratos'!$K$2,7)="Grupo: ",ISNUMBER(SEARCH("|"&amp;MID('Consulta de contratos'!$K$2,8,120)&amp;"|",AF495)))),OR('Consulta de contratos'!$K$3="",C495='Consulta de contratos'!$K$3),OR('Consulta de contratos'!$K$4="",D495='Consulta de contratos'!$K$4),OR('Consulta de contratos'!$K$5="",E495='Consulta de contratos'!$K$5)),1,0)</f>
        <v>0</v>
      </c>
      <c r="W495">
        <f>IF(V495=1,SUM($V$2:V495),0)</f>
        <v>0</v>
      </c>
    </row>
    <row r="496" spans="1:32" x14ac:dyDescent="0.35">
      <c r="V496">
        <f>IF(AND(SUM(IF('Consulta de contratos'!$K$1="",0,1),IF('Consulta de contratos'!$K$2="",0,1),IF('Consulta de contratos'!$K$3="",0,1),IF('Consulta de contratos'!$K$4="",0,1),IF('Consulta de contratos'!$K$5="",0,1))&gt;0,OR('Consulta de contratos'!$K$1="",A496='Consulta de contratos'!$K$1),OR('Consulta de contratos'!$K$2="",I496='Consulta de contratos'!$K$2,AND(LEFT('Consulta de contratos'!$K$2,7)="Grupo: ",ISNUMBER(SEARCH("|"&amp;MID('Consulta de contratos'!$K$2,8,120)&amp;"|",AF496)))),OR('Consulta de contratos'!$K$3="",C496='Consulta de contratos'!$K$3),OR('Consulta de contratos'!$K$4="",D496='Consulta de contratos'!$K$4),OR('Consulta de contratos'!$K$5="",E496='Consulta de contratos'!$K$5)),1,0)</f>
        <v>0</v>
      </c>
      <c r="W496">
        <f>IF(V496=1,SUM($V$2:V496),0)</f>
        <v>0</v>
      </c>
    </row>
    <row r="497" spans="22:23" x14ac:dyDescent="0.35">
      <c r="V497">
        <f>IF(AND(SUM(IF('Consulta de contratos'!$K$1="",0,1),IF('Consulta de contratos'!$K$2="",0,1),IF('Consulta de contratos'!$K$3="",0,1),IF('Consulta de contratos'!$K$4="",0,1),IF('Consulta de contratos'!$K$5="",0,1))&gt;0,OR('Consulta de contratos'!$K$1="",A497='Consulta de contratos'!$K$1),OR('Consulta de contratos'!$K$2="",I497='Consulta de contratos'!$K$2,AND(LEFT('Consulta de contratos'!$K$2,7)="Grupo: ",ISNUMBER(SEARCH("|"&amp;MID('Consulta de contratos'!$K$2,8,120)&amp;"|",AF497)))),OR('Consulta de contratos'!$K$3="",C497='Consulta de contratos'!$K$3),OR('Consulta de contratos'!$K$4="",D497='Consulta de contratos'!$K$4),OR('Consulta de contratos'!$K$5="",E497='Consulta de contratos'!$K$5)),1,0)</f>
        <v>0</v>
      </c>
      <c r="W497">
        <f>IF(V497=1,SUM($V$2:V497),0)</f>
        <v>0</v>
      </c>
    </row>
    <row r="498" spans="22:23" x14ac:dyDescent="0.35">
      <c r="V498">
        <f>IF(AND(SUM(IF('Consulta de contratos'!$K$1="",0,1),IF('Consulta de contratos'!$K$2="",0,1),IF('Consulta de contratos'!$K$3="",0,1),IF('Consulta de contratos'!$K$4="",0,1),IF('Consulta de contratos'!$K$5="",0,1))&gt;0,OR('Consulta de contratos'!$K$1="",A498='Consulta de contratos'!$K$1),OR('Consulta de contratos'!$K$2="",I498='Consulta de contratos'!$K$2,AND(LEFT('Consulta de contratos'!$K$2,7)="Grupo: ",ISNUMBER(SEARCH("|"&amp;MID('Consulta de contratos'!$K$2,8,120)&amp;"|",AF498)))),OR('Consulta de contratos'!$K$3="",C498='Consulta de contratos'!$K$3),OR('Consulta de contratos'!$K$4="",D498='Consulta de contratos'!$K$4),OR('Consulta de contratos'!$K$5="",E498='Consulta de contratos'!$K$5)),1,0)</f>
        <v>0</v>
      </c>
      <c r="W498">
        <f>IF(V498=1,SUM($V$2:V498),0)</f>
        <v>0</v>
      </c>
    </row>
    <row r="499" spans="22:23" x14ac:dyDescent="0.35">
      <c r="V499">
        <f>IF(AND(SUM(IF('Consulta de contratos'!$K$1="",0,1),IF('Consulta de contratos'!$K$2="",0,1),IF('Consulta de contratos'!$K$3="",0,1),IF('Consulta de contratos'!$K$4="",0,1),IF('Consulta de contratos'!$K$5="",0,1))&gt;0,OR('Consulta de contratos'!$K$1="",A499='Consulta de contratos'!$K$1),OR('Consulta de contratos'!$K$2="",I499='Consulta de contratos'!$K$2,AND(LEFT('Consulta de contratos'!$K$2,7)="Grupo: ",ISNUMBER(SEARCH("|"&amp;MID('Consulta de contratos'!$K$2,8,120)&amp;"|",AF499)))),OR('Consulta de contratos'!$K$3="",C499='Consulta de contratos'!$K$3),OR('Consulta de contratos'!$K$4="",D499='Consulta de contratos'!$K$4),OR('Consulta de contratos'!$K$5="",E499='Consulta de contratos'!$K$5)),1,0)</f>
        <v>0</v>
      </c>
      <c r="W499">
        <f>IF(V499=1,SUM($V$2:V499),0)</f>
        <v>0</v>
      </c>
    </row>
    <row r="500" spans="22:23" x14ac:dyDescent="0.35">
      <c r="V500">
        <f>IF(AND(SUM(IF('Consulta de contratos'!$K$1="",0,1),IF('Consulta de contratos'!$K$2="",0,1),IF('Consulta de contratos'!$K$3="",0,1),IF('Consulta de contratos'!$K$4="",0,1),IF('Consulta de contratos'!$K$5="",0,1))&gt;0,OR('Consulta de contratos'!$K$1="",A500='Consulta de contratos'!$K$1),OR('Consulta de contratos'!$K$2="",I500='Consulta de contratos'!$K$2,AND(LEFT('Consulta de contratos'!$K$2,7)="Grupo: ",ISNUMBER(SEARCH("|"&amp;MID('Consulta de contratos'!$K$2,8,120)&amp;"|",AF500)))),OR('Consulta de contratos'!$K$3="",C500='Consulta de contratos'!$K$3),OR('Consulta de contratos'!$K$4="",D500='Consulta de contratos'!$K$4),OR('Consulta de contratos'!$K$5="",E500='Consulta de contratos'!$K$5)),1,0)</f>
        <v>0</v>
      </c>
      <c r="W500">
        <f>IF(V500=1,SUM($V$2:V500),0)</f>
        <v>0</v>
      </c>
    </row>
    <row r="501" spans="22:23" x14ac:dyDescent="0.35">
      <c r="V501">
        <f>IF(AND(SUM(IF('Consulta de contratos'!$K$1="",0,1),IF('Consulta de contratos'!$K$2="",0,1),IF('Consulta de contratos'!$K$3="",0,1),IF('Consulta de contratos'!$K$4="",0,1),IF('Consulta de contratos'!$K$5="",0,1))&gt;0,OR('Consulta de contratos'!$K$1="",A501='Consulta de contratos'!$K$1),OR('Consulta de contratos'!$K$2="",I501='Consulta de contratos'!$K$2,AND(LEFT('Consulta de contratos'!$K$2,7)="Grupo: ",ISNUMBER(SEARCH("|"&amp;MID('Consulta de contratos'!$K$2,8,120)&amp;"|",AF501)))),OR('Consulta de contratos'!$K$3="",C501='Consulta de contratos'!$K$3),OR('Consulta de contratos'!$K$4="",D501='Consulta de contratos'!$K$4),OR('Consulta de contratos'!$K$5="",E501='Consulta de contratos'!$K$5)),1,0)</f>
        <v>0</v>
      </c>
      <c r="W501">
        <f>IF(V501=1,SUM($V$2:V501),0)</f>
        <v>0</v>
      </c>
    </row>
    <row r="502" spans="22:23" x14ac:dyDescent="0.35">
      <c r="V502">
        <f>IF(AND(SUM(IF('Consulta de contratos'!$K$1="",0,1),IF('Consulta de contratos'!$K$2="",0,1),IF('Consulta de contratos'!$K$3="",0,1),IF('Consulta de contratos'!$K$4="",0,1),IF('Consulta de contratos'!$K$5="",0,1))&gt;0,OR('Consulta de contratos'!$K$1="",A502='Consulta de contratos'!$K$1),OR('Consulta de contratos'!$K$2="",I502='Consulta de contratos'!$K$2,AND(LEFT('Consulta de contratos'!$K$2,7)="Grupo: ",ISNUMBER(SEARCH("|"&amp;MID('Consulta de contratos'!$K$2,8,120)&amp;"|",AF502)))),OR('Consulta de contratos'!$K$3="",C502='Consulta de contratos'!$K$3),OR('Consulta de contratos'!$K$4="",D502='Consulta de contratos'!$K$4),OR('Consulta de contratos'!$K$5="",E502='Consulta de contratos'!$K$5)),1,0)</f>
        <v>0</v>
      </c>
      <c r="W502">
        <f>IF(V502=1,SUM($V$2:V502),0)</f>
        <v>0</v>
      </c>
    </row>
    <row r="503" spans="22:23" x14ac:dyDescent="0.35">
      <c r="V503">
        <f>IF(AND(SUM(IF('Consulta de contratos'!$K$1="",0,1),IF('Consulta de contratos'!$K$2="",0,1),IF('Consulta de contratos'!$K$3="",0,1),IF('Consulta de contratos'!$K$4="",0,1),IF('Consulta de contratos'!$K$5="",0,1))&gt;0,OR('Consulta de contratos'!$K$1="",A503='Consulta de contratos'!$K$1),OR('Consulta de contratos'!$K$2="",I503='Consulta de contratos'!$K$2,AND(LEFT('Consulta de contratos'!$K$2,7)="Grupo: ",ISNUMBER(SEARCH("|"&amp;MID('Consulta de contratos'!$K$2,8,120)&amp;"|",AF503)))),OR('Consulta de contratos'!$K$3="",C503='Consulta de contratos'!$K$3),OR('Consulta de contratos'!$K$4="",D503='Consulta de contratos'!$K$4),OR('Consulta de contratos'!$K$5="",E503='Consulta de contratos'!$K$5)),1,0)</f>
        <v>0</v>
      </c>
      <c r="W503">
        <f>IF(V503=1,SUM($V$2:V503),0)</f>
        <v>0</v>
      </c>
    </row>
    <row r="504" spans="22:23" x14ac:dyDescent="0.35">
      <c r="V504">
        <f>IF(AND(SUM(IF('Consulta de contratos'!$K$1="",0,1),IF('Consulta de contratos'!$K$2="",0,1),IF('Consulta de contratos'!$K$3="",0,1),IF('Consulta de contratos'!$K$4="",0,1),IF('Consulta de contratos'!$K$5="",0,1))&gt;0,OR('Consulta de contratos'!$K$1="",A504='Consulta de contratos'!$K$1),OR('Consulta de contratos'!$K$2="",I504='Consulta de contratos'!$K$2,AND(LEFT('Consulta de contratos'!$K$2,7)="Grupo: ",ISNUMBER(SEARCH("|"&amp;MID('Consulta de contratos'!$K$2,8,120)&amp;"|",AF504)))),OR('Consulta de contratos'!$K$3="",C504='Consulta de contratos'!$K$3),OR('Consulta de contratos'!$K$4="",D504='Consulta de contratos'!$K$4),OR('Consulta de contratos'!$K$5="",E504='Consulta de contratos'!$K$5)),1,0)</f>
        <v>0</v>
      </c>
      <c r="W504">
        <f>IF(V504=1,SUM($V$2:V504),0)</f>
        <v>0</v>
      </c>
    </row>
    <row r="505" spans="22:23" x14ac:dyDescent="0.35">
      <c r="V505">
        <f>IF(AND(SUM(IF('Consulta de contratos'!$K$1="",0,1),IF('Consulta de contratos'!$K$2="",0,1),IF('Consulta de contratos'!$K$3="",0,1),IF('Consulta de contratos'!$K$4="",0,1),IF('Consulta de contratos'!$K$5="",0,1))&gt;0,OR('Consulta de contratos'!$K$1="",A505='Consulta de contratos'!$K$1),OR('Consulta de contratos'!$K$2="",I505='Consulta de contratos'!$K$2,AND(LEFT('Consulta de contratos'!$K$2,7)="Grupo: ",ISNUMBER(SEARCH("|"&amp;MID('Consulta de contratos'!$K$2,8,120)&amp;"|",AF505)))),OR('Consulta de contratos'!$K$3="",C505='Consulta de contratos'!$K$3),OR('Consulta de contratos'!$K$4="",D505='Consulta de contratos'!$K$4),OR('Consulta de contratos'!$K$5="",E505='Consulta de contratos'!$K$5)),1,0)</f>
        <v>0</v>
      </c>
      <c r="W505">
        <f>IF(V505=1,SUM($V$2:V505),0)</f>
        <v>0</v>
      </c>
    </row>
    <row r="506" spans="22:23" x14ac:dyDescent="0.35">
      <c r="V506">
        <f>IF(AND(SUM(IF('Consulta de contratos'!$K$1="",0,1),IF('Consulta de contratos'!$K$2="",0,1),IF('Consulta de contratos'!$K$3="",0,1),IF('Consulta de contratos'!$K$4="",0,1),IF('Consulta de contratos'!$K$5="",0,1))&gt;0,OR('Consulta de contratos'!$K$1="",A506='Consulta de contratos'!$K$1),OR('Consulta de contratos'!$K$2="",I506='Consulta de contratos'!$K$2,AND(LEFT('Consulta de contratos'!$K$2,7)="Grupo: ",ISNUMBER(SEARCH("|"&amp;MID('Consulta de contratos'!$K$2,8,120)&amp;"|",AF506)))),OR('Consulta de contratos'!$K$3="",C506='Consulta de contratos'!$K$3),OR('Consulta de contratos'!$K$4="",D506='Consulta de contratos'!$K$4),OR('Consulta de contratos'!$K$5="",E506='Consulta de contratos'!$K$5)),1,0)</f>
        <v>0</v>
      </c>
      <c r="W506">
        <f>IF(V506=1,SUM($V$2:V506),0)</f>
        <v>0</v>
      </c>
    </row>
    <row r="507" spans="22:23" x14ac:dyDescent="0.35">
      <c r="V507">
        <f>IF(AND(SUM(IF('Consulta de contratos'!$K$1="",0,1),IF('Consulta de contratos'!$K$2="",0,1),IF('Consulta de contratos'!$K$3="",0,1),IF('Consulta de contratos'!$K$4="",0,1),IF('Consulta de contratos'!$K$5="",0,1))&gt;0,OR('Consulta de contratos'!$K$1="",A507='Consulta de contratos'!$K$1),OR('Consulta de contratos'!$K$2="",I507='Consulta de contratos'!$K$2,AND(LEFT('Consulta de contratos'!$K$2,7)="Grupo: ",ISNUMBER(SEARCH("|"&amp;MID('Consulta de contratos'!$K$2,8,120)&amp;"|",AF507)))),OR('Consulta de contratos'!$K$3="",C507='Consulta de contratos'!$K$3),OR('Consulta de contratos'!$K$4="",D507='Consulta de contratos'!$K$4),OR('Consulta de contratos'!$K$5="",E507='Consulta de contratos'!$K$5)),1,0)</f>
        <v>0</v>
      </c>
      <c r="W507">
        <f>IF(V507=1,SUM($V$2:V507),0)</f>
        <v>0</v>
      </c>
    </row>
    <row r="508" spans="22:23" x14ac:dyDescent="0.35">
      <c r="V508">
        <f>IF(AND(SUM(IF('Consulta de contratos'!$K$1="",0,1),IF('Consulta de contratos'!$K$2="",0,1),IF('Consulta de contratos'!$K$3="",0,1),IF('Consulta de contratos'!$K$4="",0,1),IF('Consulta de contratos'!$K$5="",0,1))&gt;0,OR('Consulta de contratos'!$K$1="",A508='Consulta de contratos'!$K$1),OR('Consulta de contratos'!$K$2="",I508='Consulta de contratos'!$K$2,AND(LEFT('Consulta de contratos'!$K$2,7)="Grupo: ",ISNUMBER(SEARCH("|"&amp;MID('Consulta de contratos'!$K$2,8,120)&amp;"|",AF508)))),OR('Consulta de contratos'!$K$3="",C508='Consulta de contratos'!$K$3),OR('Consulta de contratos'!$K$4="",D508='Consulta de contratos'!$K$4),OR('Consulta de contratos'!$K$5="",E508='Consulta de contratos'!$K$5)),1,0)</f>
        <v>0</v>
      </c>
      <c r="W508">
        <f>IF(V508=1,SUM($V$2:V508),0)</f>
        <v>0</v>
      </c>
    </row>
    <row r="509" spans="22:23" x14ac:dyDescent="0.35">
      <c r="V509">
        <f>IF(AND(SUM(IF('Consulta de contratos'!$K$1="",0,1),IF('Consulta de contratos'!$K$2="",0,1),IF('Consulta de contratos'!$K$3="",0,1),IF('Consulta de contratos'!$K$4="",0,1),IF('Consulta de contratos'!$K$5="",0,1))&gt;0,OR('Consulta de contratos'!$K$1="",A509='Consulta de contratos'!$K$1),OR('Consulta de contratos'!$K$2="",I509='Consulta de contratos'!$K$2,AND(LEFT('Consulta de contratos'!$K$2,7)="Grupo: ",ISNUMBER(SEARCH("|"&amp;MID('Consulta de contratos'!$K$2,8,120)&amp;"|",AF509)))),OR('Consulta de contratos'!$K$3="",C509='Consulta de contratos'!$K$3),OR('Consulta de contratos'!$K$4="",D509='Consulta de contratos'!$K$4),OR('Consulta de contratos'!$K$5="",E509='Consulta de contratos'!$K$5)),1,0)</f>
        <v>0</v>
      </c>
      <c r="W509">
        <f>IF(V509=1,SUM($V$2:V509),0)</f>
        <v>0</v>
      </c>
    </row>
    <row r="510" spans="22:23" x14ac:dyDescent="0.35">
      <c r="V510">
        <f>IF(AND(SUM(IF('Consulta de contratos'!$K$1="",0,1),IF('Consulta de contratos'!$K$2="",0,1),IF('Consulta de contratos'!$K$3="",0,1),IF('Consulta de contratos'!$K$4="",0,1),IF('Consulta de contratos'!$K$5="",0,1))&gt;0,OR('Consulta de contratos'!$K$1="",A510='Consulta de contratos'!$K$1),OR('Consulta de contratos'!$K$2="",I510='Consulta de contratos'!$K$2,AND(LEFT('Consulta de contratos'!$K$2,7)="Grupo: ",ISNUMBER(SEARCH("|"&amp;MID('Consulta de contratos'!$K$2,8,120)&amp;"|",AF510)))),OR('Consulta de contratos'!$K$3="",C510='Consulta de contratos'!$K$3),OR('Consulta de contratos'!$K$4="",D510='Consulta de contratos'!$K$4),OR('Consulta de contratos'!$K$5="",E510='Consulta de contratos'!$K$5)),1,0)</f>
        <v>0</v>
      </c>
      <c r="W510">
        <f>IF(V510=1,SUM($V$2:V510),0)</f>
        <v>0</v>
      </c>
    </row>
    <row r="511" spans="22:23" x14ac:dyDescent="0.35">
      <c r="V511">
        <f>IF(AND(SUM(IF('Consulta de contratos'!$K$1="",0,1),IF('Consulta de contratos'!$K$2="",0,1),IF('Consulta de contratos'!$K$3="",0,1),IF('Consulta de contratos'!$K$4="",0,1),IF('Consulta de contratos'!$K$5="",0,1))&gt;0,OR('Consulta de contratos'!$K$1="",A511='Consulta de contratos'!$K$1),OR('Consulta de contratos'!$K$2="",I511='Consulta de contratos'!$K$2,AND(LEFT('Consulta de contratos'!$K$2,7)="Grupo: ",ISNUMBER(SEARCH("|"&amp;MID('Consulta de contratos'!$K$2,8,120)&amp;"|",AF511)))),OR('Consulta de contratos'!$K$3="",C511='Consulta de contratos'!$K$3),OR('Consulta de contratos'!$K$4="",D511='Consulta de contratos'!$K$4),OR('Consulta de contratos'!$K$5="",E511='Consulta de contratos'!$K$5)),1,0)</f>
        <v>0</v>
      </c>
      <c r="W511">
        <f>IF(V511=1,SUM($V$2:V511),0)</f>
        <v>0</v>
      </c>
    </row>
    <row r="512" spans="22:23" x14ac:dyDescent="0.35">
      <c r="V512">
        <f>IF(AND(SUM(IF('Consulta de contratos'!$K$1="",0,1),IF('Consulta de contratos'!$K$2="",0,1),IF('Consulta de contratos'!$K$3="",0,1),IF('Consulta de contratos'!$K$4="",0,1),IF('Consulta de contratos'!$K$5="",0,1))&gt;0,OR('Consulta de contratos'!$K$1="",A512='Consulta de contratos'!$K$1),OR('Consulta de contratos'!$K$2="",I512='Consulta de contratos'!$K$2,AND(LEFT('Consulta de contratos'!$K$2,7)="Grupo: ",ISNUMBER(SEARCH("|"&amp;MID('Consulta de contratos'!$K$2,8,120)&amp;"|",AF512)))),OR('Consulta de contratos'!$K$3="",C512='Consulta de contratos'!$K$3),OR('Consulta de contratos'!$K$4="",D512='Consulta de contratos'!$K$4),OR('Consulta de contratos'!$K$5="",E512='Consulta de contratos'!$K$5)),1,0)</f>
        <v>0</v>
      </c>
      <c r="W512">
        <f>IF(V512=1,SUM($V$2:V512),0)</f>
        <v>0</v>
      </c>
    </row>
    <row r="513" spans="22:23" x14ac:dyDescent="0.35">
      <c r="V513">
        <f>IF(AND(SUM(IF('Consulta de contratos'!$K$1="",0,1),IF('Consulta de contratos'!$K$2="",0,1),IF('Consulta de contratos'!$K$3="",0,1),IF('Consulta de contratos'!$K$4="",0,1),IF('Consulta de contratos'!$K$5="",0,1))&gt;0,OR('Consulta de contratos'!$K$1="",A513='Consulta de contratos'!$K$1),OR('Consulta de contratos'!$K$2="",I513='Consulta de contratos'!$K$2,AND(LEFT('Consulta de contratos'!$K$2,7)="Grupo: ",ISNUMBER(SEARCH("|"&amp;MID('Consulta de contratos'!$K$2,8,120)&amp;"|",AF513)))),OR('Consulta de contratos'!$K$3="",C513='Consulta de contratos'!$K$3),OR('Consulta de contratos'!$K$4="",D513='Consulta de contratos'!$K$4),OR('Consulta de contratos'!$K$5="",E513='Consulta de contratos'!$K$5)),1,0)</f>
        <v>0</v>
      </c>
      <c r="W513">
        <f>IF(V513=1,SUM($V$2:V513),0)</f>
        <v>0</v>
      </c>
    </row>
    <row r="514" spans="22:23" x14ac:dyDescent="0.35">
      <c r="V514">
        <f>IF(AND(SUM(IF('Consulta de contratos'!$K$1="",0,1),IF('Consulta de contratos'!$K$2="",0,1),IF('Consulta de contratos'!$K$3="",0,1),IF('Consulta de contratos'!$K$4="",0,1),IF('Consulta de contratos'!$K$5="",0,1))&gt;0,OR('Consulta de contratos'!$K$1="",A514='Consulta de contratos'!$K$1),OR('Consulta de contratos'!$K$2="",I514='Consulta de contratos'!$K$2,AND(LEFT('Consulta de contratos'!$K$2,7)="Grupo: ",ISNUMBER(SEARCH("|"&amp;MID('Consulta de contratos'!$K$2,8,120)&amp;"|",AF514)))),OR('Consulta de contratos'!$K$3="",C514='Consulta de contratos'!$K$3),OR('Consulta de contratos'!$K$4="",D514='Consulta de contratos'!$K$4),OR('Consulta de contratos'!$K$5="",E514='Consulta de contratos'!$K$5)),1,0)</f>
        <v>0</v>
      </c>
      <c r="W514">
        <f>IF(V514=1,SUM($V$2:V514),0)</f>
        <v>0</v>
      </c>
    </row>
    <row r="515" spans="22:23" x14ac:dyDescent="0.35">
      <c r="V515">
        <f>IF(AND(SUM(IF('Consulta de contratos'!$K$1="",0,1),IF('Consulta de contratos'!$K$2="",0,1),IF('Consulta de contratos'!$K$3="",0,1),IF('Consulta de contratos'!$K$4="",0,1),IF('Consulta de contratos'!$K$5="",0,1))&gt;0,OR('Consulta de contratos'!$K$1="",A515='Consulta de contratos'!$K$1),OR('Consulta de contratos'!$K$2="",I515='Consulta de contratos'!$K$2,AND(LEFT('Consulta de contratos'!$K$2,7)="Grupo: ",ISNUMBER(SEARCH("|"&amp;MID('Consulta de contratos'!$K$2,8,120)&amp;"|",AF515)))),OR('Consulta de contratos'!$K$3="",C515='Consulta de contratos'!$K$3),OR('Consulta de contratos'!$K$4="",D515='Consulta de contratos'!$K$4),OR('Consulta de contratos'!$K$5="",E515='Consulta de contratos'!$K$5)),1,0)</f>
        <v>0</v>
      </c>
      <c r="W515">
        <f>IF(V515=1,SUM($V$2:V515),0)</f>
        <v>0</v>
      </c>
    </row>
    <row r="516" spans="22:23" x14ac:dyDescent="0.35">
      <c r="V516">
        <f>IF(AND(SUM(IF('Consulta de contratos'!$K$1="",0,1),IF('Consulta de contratos'!$K$2="",0,1),IF('Consulta de contratos'!$K$3="",0,1),IF('Consulta de contratos'!$K$4="",0,1),IF('Consulta de contratos'!$K$5="",0,1))&gt;0,OR('Consulta de contratos'!$K$1="",A516='Consulta de contratos'!$K$1),OR('Consulta de contratos'!$K$2="",I516='Consulta de contratos'!$K$2,AND(LEFT('Consulta de contratos'!$K$2,7)="Grupo: ",ISNUMBER(SEARCH("|"&amp;MID('Consulta de contratos'!$K$2,8,120)&amp;"|",AF516)))),OR('Consulta de contratos'!$K$3="",C516='Consulta de contratos'!$K$3),OR('Consulta de contratos'!$K$4="",D516='Consulta de contratos'!$K$4),OR('Consulta de contratos'!$K$5="",E516='Consulta de contratos'!$K$5)),1,0)</f>
        <v>0</v>
      </c>
      <c r="W516">
        <f>IF(V516=1,SUM($V$2:V516),0)</f>
        <v>0</v>
      </c>
    </row>
    <row r="517" spans="22:23" x14ac:dyDescent="0.35">
      <c r="V517">
        <f>IF(AND(SUM(IF('Consulta de contratos'!$K$1="",0,1),IF('Consulta de contratos'!$K$2="",0,1),IF('Consulta de contratos'!$K$3="",0,1),IF('Consulta de contratos'!$K$4="",0,1),IF('Consulta de contratos'!$K$5="",0,1))&gt;0,OR('Consulta de contratos'!$K$1="",A517='Consulta de contratos'!$K$1),OR('Consulta de contratos'!$K$2="",I517='Consulta de contratos'!$K$2,AND(LEFT('Consulta de contratos'!$K$2,7)="Grupo: ",ISNUMBER(SEARCH("|"&amp;MID('Consulta de contratos'!$K$2,8,120)&amp;"|",AF517)))),OR('Consulta de contratos'!$K$3="",C517='Consulta de contratos'!$K$3),OR('Consulta de contratos'!$K$4="",D517='Consulta de contratos'!$K$4),OR('Consulta de contratos'!$K$5="",E517='Consulta de contratos'!$K$5)),1,0)</f>
        <v>0</v>
      </c>
      <c r="W517">
        <f>IF(V517=1,SUM($V$2:V517),0)</f>
        <v>0</v>
      </c>
    </row>
    <row r="518" spans="22:23" x14ac:dyDescent="0.35">
      <c r="V518">
        <f>IF(AND(SUM(IF('Consulta de contratos'!$K$1="",0,1),IF('Consulta de contratos'!$K$2="",0,1),IF('Consulta de contratos'!$K$3="",0,1),IF('Consulta de contratos'!$K$4="",0,1),IF('Consulta de contratos'!$K$5="",0,1))&gt;0,OR('Consulta de contratos'!$K$1="",A518='Consulta de contratos'!$K$1),OR('Consulta de contratos'!$K$2="",I518='Consulta de contratos'!$K$2,AND(LEFT('Consulta de contratos'!$K$2,7)="Grupo: ",ISNUMBER(SEARCH("|"&amp;MID('Consulta de contratos'!$K$2,8,120)&amp;"|",AF518)))),OR('Consulta de contratos'!$K$3="",C518='Consulta de contratos'!$K$3),OR('Consulta de contratos'!$K$4="",D518='Consulta de contratos'!$K$4),OR('Consulta de contratos'!$K$5="",E518='Consulta de contratos'!$K$5)),1,0)</f>
        <v>0</v>
      </c>
      <c r="W518">
        <f>IF(V518=1,SUM($V$2:V518),0)</f>
        <v>0</v>
      </c>
    </row>
    <row r="519" spans="22:23" x14ac:dyDescent="0.35">
      <c r="V519">
        <f>IF(AND(SUM(IF('Consulta de contratos'!$K$1="",0,1),IF('Consulta de contratos'!$K$2="",0,1),IF('Consulta de contratos'!$K$3="",0,1),IF('Consulta de contratos'!$K$4="",0,1),IF('Consulta de contratos'!$K$5="",0,1))&gt;0,OR('Consulta de contratos'!$K$1="",A519='Consulta de contratos'!$K$1),OR('Consulta de contratos'!$K$2="",I519='Consulta de contratos'!$K$2,AND(LEFT('Consulta de contratos'!$K$2,7)="Grupo: ",ISNUMBER(SEARCH("|"&amp;MID('Consulta de contratos'!$K$2,8,120)&amp;"|",AF519)))),OR('Consulta de contratos'!$K$3="",C519='Consulta de contratos'!$K$3),OR('Consulta de contratos'!$K$4="",D519='Consulta de contratos'!$K$4),OR('Consulta de contratos'!$K$5="",E519='Consulta de contratos'!$K$5)),1,0)</f>
        <v>0</v>
      </c>
      <c r="W519">
        <f>IF(V519=1,SUM($V$2:V519),0)</f>
        <v>0</v>
      </c>
    </row>
    <row r="520" spans="22:23" x14ac:dyDescent="0.35">
      <c r="V520">
        <f>IF(AND(SUM(IF('Consulta de contratos'!$K$1="",0,1),IF('Consulta de contratos'!$K$2="",0,1),IF('Consulta de contratos'!$K$3="",0,1),IF('Consulta de contratos'!$K$4="",0,1),IF('Consulta de contratos'!$K$5="",0,1))&gt;0,OR('Consulta de contratos'!$K$1="",A520='Consulta de contratos'!$K$1),OR('Consulta de contratos'!$K$2="",I520='Consulta de contratos'!$K$2,AND(LEFT('Consulta de contratos'!$K$2,7)="Grupo: ",ISNUMBER(SEARCH("|"&amp;MID('Consulta de contratos'!$K$2,8,120)&amp;"|",AF520)))),OR('Consulta de contratos'!$K$3="",C520='Consulta de contratos'!$K$3),OR('Consulta de contratos'!$K$4="",D520='Consulta de contratos'!$K$4),OR('Consulta de contratos'!$K$5="",E520='Consulta de contratos'!$K$5)),1,0)</f>
        <v>0</v>
      </c>
      <c r="W520">
        <f>IF(V520=1,SUM($V$2:V520),0)</f>
        <v>0</v>
      </c>
    </row>
    <row r="521" spans="22:23" x14ac:dyDescent="0.35">
      <c r="V521">
        <f>IF(AND(SUM(IF('Consulta de contratos'!$K$1="",0,1),IF('Consulta de contratos'!$K$2="",0,1),IF('Consulta de contratos'!$K$3="",0,1),IF('Consulta de contratos'!$K$4="",0,1),IF('Consulta de contratos'!$K$5="",0,1))&gt;0,OR('Consulta de contratos'!$K$1="",A521='Consulta de contratos'!$K$1),OR('Consulta de contratos'!$K$2="",I521='Consulta de contratos'!$K$2,AND(LEFT('Consulta de contratos'!$K$2,7)="Grupo: ",ISNUMBER(SEARCH("|"&amp;MID('Consulta de contratos'!$K$2,8,120)&amp;"|",AF521)))),OR('Consulta de contratos'!$K$3="",C521='Consulta de contratos'!$K$3),OR('Consulta de contratos'!$K$4="",D521='Consulta de contratos'!$K$4),OR('Consulta de contratos'!$K$5="",E521='Consulta de contratos'!$K$5)),1,0)</f>
        <v>0</v>
      </c>
      <c r="W521">
        <f>IF(V521=1,SUM($V$2:V521),0)</f>
        <v>0</v>
      </c>
    </row>
    <row r="522" spans="22:23" x14ac:dyDescent="0.35">
      <c r="V522">
        <f>IF(AND(SUM(IF('Consulta de contratos'!$K$1="",0,1),IF('Consulta de contratos'!$K$2="",0,1),IF('Consulta de contratos'!$K$3="",0,1),IF('Consulta de contratos'!$K$4="",0,1),IF('Consulta de contratos'!$K$5="",0,1))&gt;0,OR('Consulta de contratos'!$K$1="",A522='Consulta de contratos'!$K$1),OR('Consulta de contratos'!$K$2="",I522='Consulta de contratos'!$K$2,AND(LEFT('Consulta de contratos'!$K$2,7)="Grupo: ",ISNUMBER(SEARCH("|"&amp;MID('Consulta de contratos'!$K$2,8,120)&amp;"|",AF522)))),OR('Consulta de contratos'!$K$3="",C522='Consulta de contratos'!$K$3),OR('Consulta de contratos'!$K$4="",D522='Consulta de contratos'!$K$4),OR('Consulta de contratos'!$K$5="",E522='Consulta de contratos'!$K$5)),1,0)</f>
        <v>0</v>
      </c>
      <c r="W522">
        <f>IF(V522=1,SUM($V$2:V522),0)</f>
        <v>0</v>
      </c>
    </row>
    <row r="523" spans="22:23" x14ac:dyDescent="0.35">
      <c r="V523">
        <f>IF(AND(SUM(IF('Consulta de contratos'!$K$1="",0,1),IF('Consulta de contratos'!$K$2="",0,1),IF('Consulta de contratos'!$K$3="",0,1),IF('Consulta de contratos'!$K$4="",0,1),IF('Consulta de contratos'!$K$5="",0,1))&gt;0,OR('Consulta de contratos'!$K$1="",A523='Consulta de contratos'!$K$1),OR('Consulta de contratos'!$K$2="",I523='Consulta de contratos'!$K$2,AND(LEFT('Consulta de contratos'!$K$2,7)="Grupo: ",ISNUMBER(SEARCH("|"&amp;MID('Consulta de contratos'!$K$2,8,120)&amp;"|",AF523)))),OR('Consulta de contratos'!$K$3="",C523='Consulta de contratos'!$K$3),OR('Consulta de contratos'!$K$4="",D523='Consulta de contratos'!$K$4),OR('Consulta de contratos'!$K$5="",E523='Consulta de contratos'!$K$5)),1,0)</f>
        <v>0</v>
      </c>
      <c r="W523">
        <f>IF(V523=1,SUM($V$2:V523),0)</f>
        <v>0</v>
      </c>
    </row>
    <row r="524" spans="22:23" x14ac:dyDescent="0.35">
      <c r="V524">
        <f>IF(AND(SUM(IF('Consulta de contratos'!$K$1="",0,1),IF('Consulta de contratos'!$K$2="",0,1),IF('Consulta de contratos'!$K$3="",0,1),IF('Consulta de contratos'!$K$4="",0,1),IF('Consulta de contratos'!$K$5="",0,1))&gt;0,OR('Consulta de contratos'!$K$1="",A524='Consulta de contratos'!$K$1),OR('Consulta de contratos'!$K$2="",I524='Consulta de contratos'!$K$2,AND(LEFT('Consulta de contratos'!$K$2,7)="Grupo: ",ISNUMBER(SEARCH("|"&amp;MID('Consulta de contratos'!$K$2,8,120)&amp;"|",AF524)))),OR('Consulta de contratos'!$K$3="",C524='Consulta de contratos'!$K$3),OR('Consulta de contratos'!$K$4="",D524='Consulta de contratos'!$K$4),OR('Consulta de contratos'!$K$5="",E524='Consulta de contratos'!$K$5)),1,0)</f>
        <v>0</v>
      </c>
      <c r="W524">
        <f>IF(V524=1,SUM($V$2:V524),0)</f>
        <v>0</v>
      </c>
    </row>
    <row r="525" spans="22:23" x14ac:dyDescent="0.35">
      <c r="V525">
        <f>IF(AND(SUM(IF('Consulta de contratos'!$K$1="",0,1),IF('Consulta de contratos'!$K$2="",0,1),IF('Consulta de contratos'!$K$3="",0,1),IF('Consulta de contratos'!$K$4="",0,1),IF('Consulta de contratos'!$K$5="",0,1))&gt;0,OR('Consulta de contratos'!$K$1="",A525='Consulta de contratos'!$K$1),OR('Consulta de contratos'!$K$2="",I525='Consulta de contratos'!$K$2,AND(LEFT('Consulta de contratos'!$K$2,7)="Grupo: ",ISNUMBER(SEARCH("|"&amp;MID('Consulta de contratos'!$K$2,8,120)&amp;"|",AF525)))),OR('Consulta de contratos'!$K$3="",C525='Consulta de contratos'!$K$3),OR('Consulta de contratos'!$K$4="",D525='Consulta de contratos'!$K$4),OR('Consulta de contratos'!$K$5="",E525='Consulta de contratos'!$K$5)),1,0)</f>
        <v>0</v>
      </c>
      <c r="W525">
        <f>IF(V525=1,SUM($V$2:V525),0)</f>
        <v>0</v>
      </c>
    </row>
    <row r="526" spans="22:23" x14ac:dyDescent="0.35">
      <c r="V526">
        <f>IF(AND(SUM(IF('Consulta de contratos'!$K$1="",0,1),IF('Consulta de contratos'!$K$2="",0,1),IF('Consulta de contratos'!$K$3="",0,1),IF('Consulta de contratos'!$K$4="",0,1),IF('Consulta de contratos'!$K$5="",0,1))&gt;0,OR('Consulta de contratos'!$K$1="",A526='Consulta de contratos'!$K$1),OR('Consulta de contratos'!$K$2="",I526='Consulta de contratos'!$K$2,AND(LEFT('Consulta de contratos'!$K$2,7)="Grupo: ",ISNUMBER(SEARCH("|"&amp;MID('Consulta de contratos'!$K$2,8,120)&amp;"|",AF526)))),OR('Consulta de contratos'!$K$3="",C526='Consulta de contratos'!$K$3),OR('Consulta de contratos'!$K$4="",D526='Consulta de contratos'!$K$4),OR('Consulta de contratos'!$K$5="",E526='Consulta de contratos'!$K$5)),1,0)</f>
        <v>0</v>
      </c>
      <c r="W526">
        <f>IF(V526=1,SUM($V$2:V526),0)</f>
        <v>0</v>
      </c>
    </row>
    <row r="527" spans="22:23" x14ac:dyDescent="0.35">
      <c r="V527">
        <f>IF(AND(SUM(IF('Consulta de contratos'!$K$1="",0,1),IF('Consulta de contratos'!$K$2="",0,1),IF('Consulta de contratos'!$K$3="",0,1),IF('Consulta de contratos'!$K$4="",0,1),IF('Consulta de contratos'!$K$5="",0,1))&gt;0,OR('Consulta de contratos'!$K$1="",A527='Consulta de contratos'!$K$1),OR('Consulta de contratos'!$K$2="",I527='Consulta de contratos'!$K$2,AND(LEFT('Consulta de contratos'!$K$2,7)="Grupo: ",ISNUMBER(SEARCH("|"&amp;MID('Consulta de contratos'!$K$2,8,120)&amp;"|",AF527)))),OR('Consulta de contratos'!$K$3="",C527='Consulta de contratos'!$K$3),OR('Consulta de contratos'!$K$4="",D527='Consulta de contratos'!$K$4),OR('Consulta de contratos'!$K$5="",E527='Consulta de contratos'!$K$5)),1,0)</f>
        <v>0</v>
      </c>
      <c r="W527">
        <f>IF(V527=1,SUM($V$2:V527),0)</f>
        <v>0</v>
      </c>
    </row>
    <row r="528" spans="22:23" x14ac:dyDescent="0.35">
      <c r="V528">
        <f>IF(AND(SUM(IF('Consulta de contratos'!$K$1="",0,1),IF('Consulta de contratos'!$K$2="",0,1),IF('Consulta de contratos'!$K$3="",0,1),IF('Consulta de contratos'!$K$4="",0,1),IF('Consulta de contratos'!$K$5="",0,1))&gt;0,OR('Consulta de contratos'!$K$1="",A528='Consulta de contratos'!$K$1),OR('Consulta de contratos'!$K$2="",I528='Consulta de contratos'!$K$2,AND(LEFT('Consulta de contratos'!$K$2,7)="Grupo: ",ISNUMBER(SEARCH("|"&amp;MID('Consulta de contratos'!$K$2,8,120)&amp;"|",AF528)))),OR('Consulta de contratos'!$K$3="",C528='Consulta de contratos'!$K$3),OR('Consulta de contratos'!$K$4="",D528='Consulta de contratos'!$K$4),OR('Consulta de contratos'!$K$5="",E528='Consulta de contratos'!$K$5)),1,0)</f>
        <v>0</v>
      </c>
      <c r="W528">
        <f>IF(V528=1,SUM($V$2:V528),0)</f>
        <v>0</v>
      </c>
    </row>
    <row r="529" spans="22:23" x14ac:dyDescent="0.35">
      <c r="V529">
        <f>IF(AND(SUM(IF('Consulta de contratos'!$K$1="",0,1),IF('Consulta de contratos'!$K$2="",0,1),IF('Consulta de contratos'!$K$3="",0,1),IF('Consulta de contratos'!$K$4="",0,1),IF('Consulta de contratos'!$K$5="",0,1))&gt;0,OR('Consulta de contratos'!$K$1="",A529='Consulta de contratos'!$K$1),OR('Consulta de contratos'!$K$2="",I529='Consulta de contratos'!$K$2,AND(LEFT('Consulta de contratos'!$K$2,7)="Grupo: ",ISNUMBER(SEARCH("|"&amp;MID('Consulta de contratos'!$K$2,8,120)&amp;"|",AF529)))),OR('Consulta de contratos'!$K$3="",C529='Consulta de contratos'!$K$3),OR('Consulta de contratos'!$K$4="",D529='Consulta de contratos'!$K$4),OR('Consulta de contratos'!$K$5="",E529='Consulta de contratos'!$K$5)),1,0)</f>
        <v>0</v>
      </c>
      <c r="W529">
        <f>IF(V529=1,SUM($V$2:V529),0)</f>
        <v>0</v>
      </c>
    </row>
    <row r="530" spans="22:23" x14ac:dyDescent="0.35">
      <c r="V530">
        <f>IF(AND(SUM(IF('Consulta de contratos'!$K$1="",0,1),IF('Consulta de contratos'!$K$2="",0,1),IF('Consulta de contratos'!$K$3="",0,1),IF('Consulta de contratos'!$K$4="",0,1),IF('Consulta de contratos'!$K$5="",0,1))&gt;0,OR('Consulta de contratos'!$K$1="",A530='Consulta de contratos'!$K$1),OR('Consulta de contratos'!$K$2="",I530='Consulta de contratos'!$K$2,AND(LEFT('Consulta de contratos'!$K$2,7)="Grupo: ",ISNUMBER(SEARCH("|"&amp;MID('Consulta de contratos'!$K$2,8,120)&amp;"|",AF530)))),OR('Consulta de contratos'!$K$3="",C530='Consulta de contratos'!$K$3),OR('Consulta de contratos'!$K$4="",D530='Consulta de contratos'!$K$4),OR('Consulta de contratos'!$K$5="",E530='Consulta de contratos'!$K$5)),1,0)</f>
        <v>0</v>
      </c>
      <c r="W530">
        <f>IF(V530=1,SUM($V$2:V530),0)</f>
        <v>0</v>
      </c>
    </row>
    <row r="531" spans="22:23" x14ac:dyDescent="0.35">
      <c r="V531">
        <f>IF(AND(SUM(IF('Consulta de contratos'!$K$1="",0,1),IF('Consulta de contratos'!$K$2="",0,1),IF('Consulta de contratos'!$K$3="",0,1),IF('Consulta de contratos'!$K$4="",0,1),IF('Consulta de contratos'!$K$5="",0,1))&gt;0,OR('Consulta de contratos'!$K$1="",A531='Consulta de contratos'!$K$1),OR('Consulta de contratos'!$K$2="",I531='Consulta de contratos'!$K$2,AND(LEFT('Consulta de contratos'!$K$2,7)="Grupo: ",ISNUMBER(SEARCH("|"&amp;MID('Consulta de contratos'!$K$2,8,120)&amp;"|",AF531)))),OR('Consulta de contratos'!$K$3="",C531='Consulta de contratos'!$K$3),OR('Consulta de contratos'!$K$4="",D531='Consulta de contratos'!$K$4),OR('Consulta de contratos'!$K$5="",E531='Consulta de contratos'!$K$5)),1,0)</f>
        <v>0</v>
      </c>
      <c r="W531">
        <f>IF(V531=1,SUM($V$2:V531),0)</f>
        <v>0</v>
      </c>
    </row>
    <row r="532" spans="22:23" x14ac:dyDescent="0.35">
      <c r="V532">
        <f>IF(AND(SUM(IF('Consulta de contratos'!$K$1="",0,1),IF('Consulta de contratos'!$K$2="",0,1),IF('Consulta de contratos'!$K$3="",0,1),IF('Consulta de contratos'!$K$4="",0,1),IF('Consulta de contratos'!$K$5="",0,1))&gt;0,OR('Consulta de contratos'!$K$1="",A532='Consulta de contratos'!$K$1),OR('Consulta de contratos'!$K$2="",I532='Consulta de contratos'!$K$2,AND(LEFT('Consulta de contratos'!$K$2,7)="Grupo: ",ISNUMBER(SEARCH("|"&amp;MID('Consulta de contratos'!$K$2,8,120)&amp;"|",AF532)))),OR('Consulta de contratos'!$K$3="",C532='Consulta de contratos'!$K$3),OR('Consulta de contratos'!$K$4="",D532='Consulta de contratos'!$K$4),OR('Consulta de contratos'!$K$5="",E532='Consulta de contratos'!$K$5)),1,0)</f>
        <v>0</v>
      </c>
      <c r="W532">
        <f>IF(V532=1,SUM($V$2:V532),0)</f>
        <v>0</v>
      </c>
    </row>
    <row r="533" spans="22:23" x14ac:dyDescent="0.35">
      <c r="V533">
        <f>IF(AND(SUM(IF('Consulta de contratos'!$K$1="",0,1),IF('Consulta de contratos'!$K$2="",0,1),IF('Consulta de contratos'!$K$3="",0,1),IF('Consulta de contratos'!$K$4="",0,1),IF('Consulta de contratos'!$K$5="",0,1))&gt;0,OR('Consulta de contratos'!$K$1="",A533='Consulta de contratos'!$K$1),OR('Consulta de contratos'!$K$2="",I533='Consulta de contratos'!$K$2,AND(LEFT('Consulta de contratos'!$K$2,7)="Grupo: ",ISNUMBER(SEARCH("|"&amp;MID('Consulta de contratos'!$K$2,8,120)&amp;"|",AF533)))),OR('Consulta de contratos'!$K$3="",C533='Consulta de contratos'!$K$3),OR('Consulta de contratos'!$K$4="",D533='Consulta de contratos'!$K$4),OR('Consulta de contratos'!$K$5="",E533='Consulta de contratos'!$K$5)),1,0)</f>
        <v>0</v>
      </c>
      <c r="W533">
        <f>IF(V533=1,SUM($V$2:V533),0)</f>
        <v>0</v>
      </c>
    </row>
    <row r="534" spans="22:23" x14ac:dyDescent="0.35">
      <c r="V534">
        <f>IF(AND(SUM(IF('Consulta de contratos'!$K$1="",0,1),IF('Consulta de contratos'!$K$2="",0,1),IF('Consulta de contratos'!$K$3="",0,1),IF('Consulta de contratos'!$K$4="",0,1),IF('Consulta de contratos'!$K$5="",0,1))&gt;0,OR('Consulta de contratos'!$K$1="",A534='Consulta de contratos'!$K$1),OR('Consulta de contratos'!$K$2="",I534='Consulta de contratos'!$K$2,AND(LEFT('Consulta de contratos'!$K$2,7)="Grupo: ",ISNUMBER(SEARCH("|"&amp;MID('Consulta de contratos'!$K$2,8,120)&amp;"|",AF534)))),OR('Consulta de contratos'!$K$3="",C534='Consulta de contratos'!$K$3),OR('Consulta de contratos'!$K$4="",D534='Consulta de contratos'!$K$4),OR('Consulta de contratos'!$K$5="",E534='Consulta de contratos'!$K$5)),1,0)</f>
        <v>0</v>
      </c>
      <c r="W534">
        <f>IF(V534=1,SUM($V$2:V534),0)</f>
        <v>0</v>
      </c>
    </row>
    <row r="535" spans="22:23" x14ac:dyDescent="0.35">
      <c r="V535">
        <f>IF(AND(SUM(IF('Consulta de contratos'!$K$1="",0,1),IF('Consulta de contratos'!$K$2="",0,1),IF('Consulta de contratos'!$K$3="",0,1),IF('Consulta de contratos'!$K$4="",0,1),IF('Consulta de contratos'!$K$5="",0,1))&gt;0,OR('Consulta de contratos'!$K$1="",A535='Consulta de contratos'!$K$1),OR('Consulta de contratos'!$K$2="",I535='Consulta de contratos'!$K$2,AND(LEFT('Consulta de contratos'!$K$2,7)="Grupo: ",ISNUMBER(SEARCH("|"&amp;MID('Consulta de contratos'!$K$2,8,120)&amp;"|",AF535)))),OR('Consulta de contratos'!$K$3="",C535='Consulta de contratos'!$K$3),OR('Consulta de contratos'!$K$4="",D535='Consulta de contratos'!$K$4),OR('Consulta de contratos'!$K$5="",E535='Consulta de contratos'!$K$5)),1,0)</f>
        <v>0</v>
      </c>
      <c r="W535">
        <f>IF(V535=1,SUM($V$2:V535),0)</f>
        <v>0</v>
      </c>
    </row>
    <row r="536" spans="22:23" x14ac:dyDescent="0.35">
      <c r="V536">
        <f>IF(AND(SUM(IF('Consulta de contratos'!$K$1="",0,1),IF('Consulta de contratos'!$K$2="",0,1),IF('Consulta de contratos'!$K$3="",0,1),IF('Consulta de contratos'!$K$4="",0,1),IF('Consulta de contratos'!$K$5="",0,1))&gt;0,OR('Consulta de contratos'!$K$1="",A536='Consulta de contratos'!$K$1),OR('Consulta de contratos'!$K$2="",I536='Consulta de contratos'!$K$2,AND(LEFT('Consulta de contratos'!$K$2,7)="Grupo: ",ISNUMBER(SEARCH("|"&amp;MID('Consulta de contratos'!$K$2,8,120)&amp;"|",AF536)))),OR('Consulta de contratos'!$K$3="",C536='Consulta de contratos'!$K$3),OR('Consulta de contratos'!$K$4="",D536='Consulta de contratos'!$K$4),OR('Consulta de contratos'!$K$5="",E536='Consulta de contratos'!$K$5)),1,0)</f>
        <v>0</v>
      </c>
      <c r="W536">
        <f>IF(V536=1,SUM($V$2:V536),0)</f>
        <v>0</v>
      </c>
    </row>
    <row r="537" spans="22:23" x14ac:dyDescent="0.35">
      <c r="V537">
        <f>IF(AND(SUM(IF('Consulta de contratos'!$K$1="",0,1),IF('Consulta de contratos'!$K$2="",0,1),IF('Consulta de contratos'!$K$3="",0,1),IF('Consulta de contratos'!$K$4="",0,1),IF('Consulta de contratos'!$K$5="",0,1))&gt;0,OR('Consulta de contratos'!$K$1="",A537='Consulta de contratos'!$K$1),OR('Consulta de contratos'!$K$2="",I537='Consulta de contratos'!$K$2,AND(LEFT('Consulta de contratos'!$K$2,7)="Grupo: ",ISNUMBER(SEARCH("|"&amp;MID('Consulta de contratos'!$K$2,8,120)&amp;"|",AF537)))),OR('Consulta de contratos'!$K$3="",C537='Consulta de contratos'!$K$3),OR('Consulta de contratos'!$K$4="",D537='Consulta de contratos'!$K$4),OR('Consulta de contratos'!$K$5="",E537='Consulta de contratos'!$K$5)),1,0)</f>
        <v>0</v>
      </c>
      <c r="W537">
        <f>IF(V537=1,SUM($V$2:V537),0)</f>
        <v>0</v>
      </c>
    </row>
    <row r="538" spans="22:23" x14ac:dyDescent="0.35">
      <c r="V538">
        <f>IF(AND(SUM(IF('Consulta de contratos'!$K$1="",0,1),IF('Consulta de contratos'!$K$2="",0,1),IF('Consulta de contratos'!$K$3="",0,1),IF('Consulta de contratos'!$K$4="",0,1),IF('Consulta de contratos'!$K$5="",0,1))&gt;0,OR('Consulta de contratos'!$K$1="",A538='Consulta de contratos'!$K$1),OR('Consulta de contratos'!$K$2="",I538='Consulta de contratos'!$K$2,AND(LEFT('Consulta de contratos'!$K$2,7)="Grupo: ",ISNUMBER(SEARCH("|"&amp;MID('Consulta de contratos'!$K$2,8,120)&amp;"|",AF538)))),OR('Consulta de contratos'!$K$3="",C538='Consulta de contratos'!$K$3),OR('Consulta de contratos'!$K$4="",D538='Consulta de contratos'!$K$4),OR('Consulta de contratos'!$K$5="",E538='Consulta de contratos'!$K$5)),1,0)</f>
        <v>0</v>
      </c>
      <c r="W538">
        <f>IF(V538=1,SUM($V$2:V538),0)</f>
        <v>0</v>
      </c>
    </row>
    <row r="539" spans="22:23" x14ac:dyDescent="0.35">
      <c r="V539">
        <f>IF(AND(SUM(IF('Consulta de contratos'!$K$1="",0,1),IF('Consulta de contratos'!$K$2="",0,1),IF('Consulta de contratos'!$K$3="",0,1),IF('Consulta de contratos'!$K$4="",0,1),IF('Consulta de contratos'!$K$5="",0,1))&gt;0,OR('Consulta de contratos'!$K$1="",A539='Consulta de contratos'!$K$1),OR('Consulta de contratos'!$K$2="",I539='Consulta de contratos'!$K$2,AND(LEFT('Consulta de contratos'!$K$2,7)="Grupo: ",ISNUMBER(SEARCH("|"&amp;MID('Consulta de contratos'!$K$2,8,120)&amp;"|",AF539)))),OR('Consulta de contratos'!$K$3="",C539='Consulta de contratos'!$K$3),OR('Consulta de contratos'!$K$4="",D539='Consulta de contratos'!$K$4),OR('Consulta de contratos'!$K$5="",E539='Consulta de contratos'!$K$5)),1,0)</f>
        <v>0</v>
      </c>
      <c r="W539">
        <f>IF(V539=1,SUM($V$2:V539),0)</f>
        <v>0</v>
      </c>
    </row>
    <row r="540" spans="22:23" x14ac:dyDescent="0.35">
      <c r="V540">
        <f>IF(AND(SUM(IF('Consulta de contratos'!$K$1="",0,1),IF('Consulta de contratos'!$K$2="",0,1),IF('Consulta de contratos'!$K$3="",0,1),IF('Consulta de contratos'!$K$4="",0,1),IF('Consulta de contratos'!$K$5="",0,1))&gt;0,OR('Consulta de contratos'!$K$1="",A540='Consulta de contratos'!$K$1),OR('Consulta de contratos'!$K$2="",I540='Consulta de contratos'!$K$2,AND(LEFT('Consulta de contratos'!$K$2,7)="Grupo: ",ISNUMBER(SEARCH("|"&amp;MID('Consulta de contratos'!$K$2,8,120)&amp;"|",AF540)))),OR('Consulta de contratos'!$K$3="",C540='Consulta de contratos'!$K$3),OR('Consulta de contratos'!$K$4="",D540='Consulta de contratos'!$K$4),OR('Consulta de contratos'!$K$5="",E540='Consulta de contratos'!$K$5)),1,0)</f>
        <v>0</v>
      </c>
      <c r="W540">
        <f>IF(V540=1,SUM($V$2:V540),0)</f>
        <v>0</v>
      </c>
    </row>
    <row r="541" spans="22:23" x14ac:dyDescent="0.35">
      <c r="V541">
        <f>IF(AND(SUM(IF('Consulta de contratos'!$K$1="",0,1),IF('Consulta de contratos'!$K$2="",0,1),IF('Consulta de contratos'!$K$3="",0,1),IF('Consulta de contratos'!$K$4="",0,1),IF('Consulta de contratos'!$K$5="",0,1))&gt;0,OR('Consulta de contratos'!$K$1="",A541='Consulta de contratos'!$K$1),OR('Consulta de contratos'!$K$2="",I541='Consulta de contratos'!$K$2,AND(LEFT('Consulta de contratos'!$K$2,7)="Grupo: ",ISNUMBER(SEARCH("|"&amp;MID('Consulta de contratos'!$K$2,8,120)&amp;"|",AF541)))),OR('Consulta de contratos'!$K$3="",C541='Consulta de contratos'!$K$3),OR('Consulta de contratos'!$K$4="",D541='Consulta de contratos'!$K$4),OR('Consulta de contratos'!$K$5="",E541='Consulta de contratos'!$K$5)),1,0)</f>
        <v>0</v>
      </c>
      <c r="W541">
        <f>IF(V541=1,SUM($V$2:V541),0)</f>
        <v>0</v>
      </c>
    </row>
    <row r="542" spans="22:23" x14ac:dyDescent="0.35">
      <c r="V542">
        <f>IF(AND(SUM(IF('Consulta de contratos'!$K$1="",0,1),IF('Consulta de contratos'!$K$2="",0,1),IF('Consulta de contratos'!$K$3="",0,1),IF('Consulta de contratos'!$K$4="",0,1),IF('Consulta de contratos'!$K$5="",0,1))&gt;0,OR('Consulta de contratos'!$K$1="",A542='Consulta de contratos'!$K$1),OR('Consulta de contratos'!$K$2="",I542='Consulta de contratos'!$K$2,AND(LEFT('Consulta de contratos'!$K$2,7)="Grupo: ",ISNUMBER(SEARCH("|"&amp;MID('Consulta de contratos'!$K$2,8,120)&amp;"|",AF542)))),OR('Consulta de contratos'!$K$3="",C542='Consulta de contratos'!$K$3),OR('Consulta de contratos'!$K$4="",D542='Consulta de contratos'!$K$4),OR('Consulta de contratos'!$K$5="",E542='Consulta de contratos'!$K$5)),1,0)</f>
        <v>0</v>
      </c>
      <c r="W542">
        <f>IF(V542=1,SUM($V$2:V542),0)</f>
        <v>0</v>
      </c>
    </row>
    <row r="543" spans="22:23" x14ac:dyDescent="0.35">
      <c r="V543">
        <f>IF(AND(SUM(IF('Consulta de contratos'!$K$1="",0,1),IF('Consulta de contratos'!$K$2="",0,1),IF('Consulta de contratos'!$K$3="",0,1),IF('Consulta de contratos'!$K$4="",0,1),IF('Consulta de contratos'!$K$5="",0,1))&gt;0,OR('Consulta de contratos'!$K$1="",A543='Consulta de contratos'!$K$1),OR('Consulta de contratos'!$K$2="",I543='Consulta de contratos'!$K$2,AND(LEFT('Consulta de contratos'!$K$2,7)="Grupo: ",ISNUMBER(SEARCH("|"&amp;MID('Consulta de contratos'!$K$2,8,120)&amp;"|",AF543)))),OR('Consulta de contratos'!$K$3="",C543='Consulta de contratos'!$K$3),OR('Consulta de contratos'!$K$4="",D543='Consulta de contratos'!$K$4),OR('Consulta de contratos'!$K$5="",E543='Consulta de contratos'!$K$5)),1,0)</f>
        <v>0</v>
      </c>
      <c r="W543">
        <f>IF(V543=1,SUM($V$2:V543),0)</f>
        <v>0</v>
      </c>
    </row>
    <row r="544" spans="22:23" x14ac:dyDescent="0.35">
      <c r="V544">
        <f>IF(AND(SUM(IF('Consulta de contratos'!$K$1="",0,1),IF('Consulta de contratos'!$K$2="",0,1),IF('Consulta de contratos'!$K$3="",0,1),IF('Consulta de contratos'!$K$4="",0,1),IF('Consulta de contratos'!$K$5="",0,1))&gt;0,OR('Consulta de contratos'!$K$1="",A544='Consulta de contratos'!$K$1),OR('Consulta de contratos'!$K$2="",I544='Consulta de contratos'!$K$2,AND(LEFT('Consulta de contratos'!$K$2,7)="Grupo: ",ISNUMBER(SEARCH("|"&amp;MID('Consulta de contratos'!$K$2,8,120)&amp;"|",AF544)))),OR('Consulta de contratos'!$K$3="",C544='Consulta de contratos'!$K$3),OR('Consulta de contratos'!$K$4="",D544='Consulta de contratos'!$K$4),OR('Consulta de contratos'!$K$5="",E544='Consulta de contratos'!$K$5)),1,0)</f>
        <v>0</v>
      </c>
      <c r="W544">
        <f>IF(V544=1,SUM($V$2:V544),0)</f>
        <v>0</v>
      </c>
    </row>
    <row r="545" spans="22:23" x14ac:dyDescent="0.35">
      <c r="V545">
        <f>IF(AND(SUM(IF('Consulta de contratos'!$K$1="",0,1),IF('Consulta de contratos'!$K$2="",0,1),IF('Consulta de contratos'!$K$3="",0,1),IF('Consulta de contratos'!$K$4="",0,1),IF('Consulta de contratos'!$K$5="",0,1))&gt;0,OR('Consulta de contratos'!$K$1="",A545='Consulta de contratos'!$K$1),OR('Consulta de contratos'!$K$2="",I545='Consulta de contratos'!$K$2,AND(LEFT('Consulta de contratos'!$K$2,7)="Grupo: ",ISNUMBER(SEARCH("|"&amp;MID('Consulta de contratos'!$K$2,8,120)&amp;"|",AF545)))),OR('Consulta de contratos'!$K$3="",C545='Consulta de contratos'!$K$3),OR('Consulta de contratos'!$K$4="",D545='Consulta de contratos'!$K$4),OR('Consulta de contratos'!$K$5="",E545='Consulta de contratos'!$K$5)),1,0)</f>
        <v>0</v>
      </c>
      <c r="W545">
        <f>IF(V545=1,SUM($V$2:V545),0)</f>
        <v>0</v>
      </c>
    </row>
    <row r="546" spans="22:23" x14ac:dyDescent="0.35">
      <c r="V546">
        <f>IF(AND(SUM(IF('Consulta de contratos'!$K$1="",0,1),IF('Consulta de contratos'!$K$2="",0,1),IF('Consulta de contratos'!$K$3="",0,1),IF('Consulta de contratos'!$K$4="",0,1),IF('Consulta de contratos'!$K$5="",0,1))&gt;0,OR('Consulta de contratos'!$K$1="",A546='Consulta de contratos'!$K$1),OR('Consulta de contratos'!$K$2="",I546='Consulta de contratos'!$K$2,AND(LEFT('Consulta de contratos'!$K$2,7)="Grupo: ",ISNUMBER(SEARCH("|"&amp;MID('Consulta de contratos'!$K$2,8,120)&amp;"|",AF546)))),OR('Consulta de contratos'!$K$3="",C546='Consulta de contratos'!$K$3),OR('Consulta de contratos'!$K$4="",D546='Consulta de contratos'!$K$4),OR('Consulta de contratos'!$K$5="",E546='Consulta de contratos'!$K$5)),1,0)</f>
        <v>0</v>
      </c>
      <c r="W546">
        <f>IF(V546=1,SUM($V$2:V546),0)</f>
        <v>0</v>
      </c>
    </row>
    <row r="547" spans="22:23" x14ac:dyDescent="0.35">
      <c r="V547">
        <f>IF(AND(SUM(IF('Consulta de contratos'!$K$1="",0,1),IF('Consulta de contratos'!$K$2="",0,1),IF('Consulta de contratos'!$K$3="",0,1),IF('Consulta de contratos'!$K$4="",0,1),IF('Consulta de contratos'!$K$5="",0,1))&gt;0,OR('Consulta de contratos'!$K$1="",A547='Consulta de contratos'!$K$1),OR('Consulta de contratos'!$K$2="",I547='Consulta de contratos'!$K$2,AND(LEFT('Consulta de contratos'!$K$2,7)="Grupo: ",ISNUMBER(SEARCH("|"&amp;MID('Consulta de contratos'!$K$2,8,120)&amp;"|",AF547)))),OR('Consulta de contratos'!$K$3="",C547='Consulta de contratos'!$K$3),OR('Consulta de contratos'!$K$4="",D547='Consulta de contratos'!$K$4),OR('Consulta de contratos'!$K$5="",E547='Consulta de contratos'!$K$5)),1,0)</f>
        <v>0</v>
      </c>
      <c r="W547">
        <f>IF(V547=1,SUM($V$2:V547),0)</f>
        <v>0</v>
      </c>
    </row>
    <row r="548" spans="22:23" x14ac:dyDescent="0.35">
      <c r="V548">
        <f>IF(AND(SUM(IF('Consulta de contratos'!$K$1="",0,1),IF('Consulta de contratos'!$K$2="",0,1),IF('Consulta de contratos'!$K$3="",0,1),IF('Consulta de contratos'!$K$4="",0,1),IF('Consulta de contratos'!$K$5="",0,1))&gt;0,OR('Consulta de contratos'!$K$1="",A548='Consulta de contratos'!$K$1),OR('Consulta de contratos'!$K$2="",I548='Consulta de contratos'!$K$2,AND(LEFT('Consulta de contratos'!$K$2,7)="Grupo: ",ISNUMBER(SEARCH("|"&amp;MID('Consulta de contratos'!$K$2,8,120)&amp;"|",AF548)))),OR('Consulta de contratos'!$K$3="",C548='Consulta de contratos'!$K$3),OR('Consulta de contratos'!$K$4="",D548='Consulta de contratos'!$K$4),OR('Consulta de contratos'!$K$5="",E548='Consulta de contratos'!$K$5)),1,0)</f>
        <v>0</v>
      </c>
      <c r="W548">
        <f>IF(V548=1,SUM($V$2:V548),0)</f>
        <v>0</v>
      </c>
    </row>
    <row r="549" spans="22:23" x14ac:dyDescent="0.35">
      <c r="V549">
        <f>IF(AND(SUM(IF('Consulta de contratos'!$K$1="",0,1),IF('Consulta de contratos'!$K$2="",0,1),IF('Consulta de contratos'!$K$3="",0,1),IF('Consulta de contratos'!$K$4="",0,1),IF('Consulta de contratos'!$K$5="",0,1))&gt;0,OR('Consulta de contratos'!$K$1="",A549='Consulta de contratos'!$K$1),OR('Consulta de contratos'!$K$2="",I549='Consulta de contratos'!$K$2,AND(LEFT('Consulta de contratos'!$K$2,7)="Grupo: ",ISNUMBER(SEARCH("|"&amp;MID('Consulta de contratos'!$K$2,8,120)&amp;"|",AF549)))),OR('Consulta de contratos'!$K$3="",C549='Consulta de contratos'!$K$3),OR('Consulta de contratos'!$K$4="",D549='Consulta de contratos'!$K$4),OR('Consulta de contratos'!$K$5="",E549='Consulta de contratos'!$K$5)),1,0)</f>
        <v>0</v>
      </c>
      <c r="W549">
        <f>IF(V549=1,SUM($V$2:V549),0)</f>
        <v>0</v>
      </c>
    </row>
    <row r="550" spans="22:23" x14ac:dyDescent="0.35">
      <c r="V550">
        <f>IF(AND(SUM(IF('Consulta de contratos'!$K$1="",0,1),IF('Consulta de contratos'!$K$2="",0,1),IF('Consulta de contratos'!$K$3="",0,1),IF('Consulta de contratos'!$K$4="",0,1),IF('Consulta de contratos'!$K$5="",0,1))&gt;0,OR('Consulta de contratos'!$K$1="",A550='Consulta de contratos'!$K$1),OR('Consulta de contratos'!$K$2="",I550='Consulta de contratos'!$K$2,AND(LEFT('Consulta de contratos'!$K$2,7)="Grupo: ",ISNUMBER(SEARCH("|"&amp;MID('Consulta de contratos'!$K$2,8,120)&amp;"|",AF550)))),OR('Consulta de contratos'!$K$3="",C550='Consulta de contratos'!$K$3),OR('Consulta de contratos'!$K$4="",D550='Consulta de contratos'!$K$4),OR('Consulta de contratos'!$K$5="",E550='Consulta de contratos'!$K$5)),1,0)</f>
        <v>0</v>
      </c>
      <c r="W550">
        <f>IF(V550=1,SUM($V$2:V550),0)</f>
        <v>0</v>
      </c>
    </row>
    <row r="551" spans="22:23" x14ac:dyDescent="0.35">
      <c r="V551">
        <f>IF(AND(SUM(IF('Consulta de contratos'!$K$1="",0,1),IF('Consulta de contratos'!$K$2="",0,1),IF('Consulta de contratos'!$K$3="",0,1),IF('Consulta de contratos'!$K$4="",0,1),IF('Consulta de contratos'!$K$5="",0,1))&gt;0,OR('Consulta de contratos'!$K$1="",A551='Consulta de contratos'!$K$1),OR('Consulta de contratos'!$K$2="",I551='Consulta de contratos'!$K$2,AND(LEFT('Consulta de contratos'!$K$2,7)="Grupo: ",ISNUMBER(SEARCH("|"&amp;MID('Consulta de contratos'!$K$2,8,120)&amp;"|",AF551)))),OR('Consulta de contratos'!$K$3="",C551='Consulta de contratos'!$K$3),OR('Consulta de contratos'!$K$4="",D551='Consulta de contratos'!$K$4),OR('Consulta de contratos'!$K$5="",E551='Consulta de contratos'!$K$5)),1,0)</f>
        <v>0</v>
      </c>
      <c r="W551">
        <f>IF(V551=1,SUM($V$2:V551),0)</f>
        <v>0</v>
      </c>
    </row>
    <row r="552" spans="22:23" x14ac:dyDescent="0.35">
      <c r="V552">
        <f>IF(AND(SUM(IF('Consulta de contratos'!$K$1="",0,1),IF('Consulta de contratos'!$K$2="",0,1),IF('Consulta de contratos'!$K$3="",0,1),IF('Consulta de contratos'!$K$4="",0,1),IF('Consulta de contratos'!$K$5="",0,1))&gt;0,OR('Consulta de contratos'!$K$1="",A552='Consulta de contratos'!$K$1),OR('Consulta de contratos'!$K$2="",I552='Consulta de contratos'!$K$2,AND(LEFT('Consulta de contratos'!$K$2,7)="Grupo: ",ISNUMBER(SEARCH("|"&amp;MID('Consulta de contratos'!$K$2,8,120)&amp;"|",AF552)))),OR('Consulta de contratos'!$K$3="",C552='Consulta de contratos'!$K$3),OR('Consulta de contratos'!$K$4="",D552='Consulta de contratos'!$K$4),OR('Consulta de contratos'!$K$5="",E552='Consulta de contratos'!$K$5)),1,0)</f>
        <v>0</v>
      </c>
      <c r="W552">
        <f>IF(V552=1,SUM($V$2:V552),0)</f>
        <v>0</v>
      </c>
    </row>
    <row r="553" spans="22:23" x14ac:dyDescent="0.35">
      <c r="V553">
        <f>IF(AND(SUM(IF('Consulta de contratos'!$K$1="",0,1),IF('Consulta de contratos'!$K$2="",0,1),IF('Consulta de contratos'!$K$3="",0,1),IF('Consulta de contratos'!$K$4="",0,1),IF('Consulta de contratos'!$K$5="",0,1))&gt;0,OR('Consulta de contratos'!$K$1="",A553='Consulta de contratos'!$K$1),OR('Consulta de contratos'!$K$2="",I553='Consulta de contratos'!$K$2,AND(LEFT('Consulta de contratos'!$K$2,7)="Grupo: ",ISNUMBER(SEARCH("|"&amp;MID('Consulta de contratos'!$K$2,8,120)&amp;"|",AF553)))),OR('Consulta de contratos'!$K$3="",C553='Consulta de contratos'!$K$3),OR('Consulta de contratos'!$K$4="",D553='Consulta de contratos'!$K$4),OR('Consulta de contratos'!$K$5="",E553='Consulta de contratos'!$K$5)),1,0)</f>
        <v>0</v>
      </c>
      <c r="W553">
        <f>IF(V553=1,SUM($V$2:V553),0)</f>
        <v>0</v>
      </c>
    </row>
    <row r="554" spans="22:23" x14ac:dyDescent="0.35">
      <c r="V554">
        <f>IF(AND(SUM(IF('Consulta de contratos'!$K$1="",0,1),IF('Consulta de contratos'!$K$2="",0,1),IF('Consulta de contratos'!$K$3="",0,1),IF('Consulta de contratos'!$K$4="",0,1),IF('Consulta de contratos'!$K$5="",0,1))&gt;0,OR('Consulta de contratos'!$K$1="",A554='Consulta de contratos'!$K$1),OR('Consulta de contratos'!$K$2="",I554='Consulta de contratos'!$K$2,AND(LEFT('Consulta de contratos'!$K$2,7)="Grupo: ",ISNUMBER(SEARCH("|"&amp;MID('Consulta de contratos'!$K$2,8,120)&amp;"|",AF554)))),OR('Consulta de contratos'!$K$3="",C554='Consulta de contratos'!$K$3),OR('Consulta de contratos'!$K$4="",D554='Consulta de contratos'!$K$4),OR('Consulta de contratos'!$K$5="",E554='Consulta de contratos'!$K$5)),1,0)</f>
        <v>0</v>
      </c>
      <c r="W554">
        <f>IF(V554=1,SUM($V$2:V554),0)</f>
        <v>0</v>
      </c>
    </row>
    <row r="555" spans="22:23" x14ac:dyDescent="0.35">
      <c r="V555">
        <f>IF(AND(SUM(IF('Consulta de contratos'!$K$1="",0,1),IF('Consulta de contratos'!$K$2="",0,1),IF('Consulta de contratos'!$K$3="",0,1),IF('Consulta de contratos'!$K$4="",0,1),IF('Consulta de contratos'!$K$5="",0,1))&gt;0,OR('Consulta de contratos'!$K$1="",A555='Consulta de contratos'!$K$1),OR('Consulta de contratos'!$K$2="",I555='Consulta de contratos'!$K$2,AND(LEFT('Consulta de contratos'!$K$2,7)="Grupo: ",ISNUMBER(SEARCH("|"&amp;MID('Consulta de contratos'!$K$2,8,120)&amp;"|",AF555)))),OR('Consulta de contratos'!$K$3="",C555='Consulta de contratos'!$K$3),OR('Consulta de contratos'!$K$4="",D555='Consulta de contratos'!$K$4),OR('Consulta de contratos'!$K$5="",E555='Consulta de contratos'!$K$5)),1,0)</f>
        <v>0</v>
      </c>
      <c r="W555">
        <f>IF(V555=1,SUM($V$2:V555),0)</f>
        <v>0</v>
      </c>
    </row>
    <row r="556" spans="22:23" x14ac:dyDescent="0.35">
      <c r="V556">
        <f>IF(AND(SUM(IF('Consulta de contratos'!$K$1="",0,1),IF('Consulta de contratos'!$K$2="",0,1),IF('Consulta de contratos'!$K$3="",0,1),IF('Consulta de contratos'!$K$4="",0,1),IF('Consulta de contratos'!$K$5="",0,1))&gt;0,OR('Consulta de contratos'!$K$1="",A556='Consulta de contratos'!$K$1),OR('Consulta de contratos'!$K$2="",I556='Consulta de contratos'!$K$2,AND(LEFT('Consulta de contratos'!$K$2,7)="Grupo: ",ISNUMBER(SEARCH("|"&amp;MID('Consulta de contratos'!$K$2,8,120)&amp;"|",AF556)))),OR('Consulta de contratos'!$K$3="",C556='Consulta de contratos'!$K$3),OR('Consulta de contratos'!$K$4="",D556='Consulta de contratos'!$K$4),OR('Consulta de contratos'!$K$5="",E556='Consulta de contratos'!$K$5)),1,0)</f>
        <v>0</v>
      </c>
      <c r="W556">
        <f>IF(V556=1,SUM($V$2:V556),0)</f>
        <v>0</v>
      </c>
    </row>
    <row r="557" spans="22:23" x14ac:dyDescent="0.35">
      <c r="V557">
        <f>IF(AND(SUM(IF('Consulta de contratos'!$K$1="",0,1),IF('Consulta de contratos'!$K$2="",0,1),IF('Consulta de contratos'!$K$3="",0,1),IF('Consulta de contratos'!$K$4="",0,1),IF('Consulta de contratos'!$K$5="",0,1))&gt;0,OR('Consulta de contratos'!$K$1="",A557='Consulta de contratos'!$K$1),OR('Consulta de contratos'!$K$2="",I557='Consulta de contratos'!$K$2,AND(LEFT('Consulta de contratos'!$K$2,7)="Grupo: ",ISNUMBER(SEARCH("|"&amp;MID('Consulta de contratos'!$K$2,8,120)&amp;"|",AF557)))),OR('Consulta de contratos'!$K$3="",C557='Consulta de contratos'!$K$3),OR('Consulta de contratos'!$K$4="",D557='Consulta de contratos'!$K$4),OR('Consulta de contratos'!$K$5="",E557='Consulta de contratos'!$K$5)),1,0)</f>
        <v>0</v>
      </c>
      <c r="W557">
        <f>IF(V557=1,SUM($V$2:V557),0)</f>
        <v>0</v>
      </c>
    </row>
    <row r="558" spans="22:23" x14ac:dyDescent="0.35">
      <c r="V558">
        <f>IF(AND(SUM(IF('Consulta de contratos'!$K$1="",0,1),IF('Consulta de contratos'!$K$2="",0,1),IF('Consulta de contratos'!$K$3="",0,1),IF('Consulta de contratos'!$K$4="",0,1),IF('Consulta de contratos'!$K$5="",0,1))&gt;0,OR('Consulta de contratos'!$K$1="",A558='Consulta de contratos'!$K$1),OR('Consulta de contratos'!$K$2="",I558='Consulta de contratos'!$K$2,AND(LEFT('Consulta de contratos'!$K$2,7)="Grupo: ",ISNUMBER(SEARCH("|"&amp;MID('Consulta de contratos'!$K$2,8,120)&amp;"|",AF558)))),OR('Consulta de contratos'!$K$3="",C558='Consulta de contratos'!$K$3),OR('Consulta de contratos'!$K$4="",D558='Consulta de contratos'!$K$4),OR('Consulta de contratos'!$K$5="",E558='Consulta de contratos'!$K$5)),1,0)</f>
        <v>0</v>
      </c>
      <c r="W558">
        <f>IF(V558=1,SUM($V$2:V558),0)</f>
        <v>0</v>
      </c>
    </row>
    <row r="559" spans="22:23" x14ac:dyDescent="0.35">
      <c r="V559">
        <f>IF(AND(SUM(IF('Consulta de contratos'!$K$1="",0,1),IF('Consulta de contratos'!$K$2="",0,1),IF('Consulta de contratos'!$K$3="",0,1),IF('Consulta de contratos'!$K$4="",0,1),IF('Consulta de contratos'!$K$5="",0,1))&gt;0,OR('Consulta de contratos'!$K$1="",A559='Consulta de contratos'!$K$1),OR('Consulta de contratos'!$K$2="",I559='Consulta de contratos'!$K$2,AND(LEFT('Consulta de contratos'!$K$2,7)="Grupo: ",ISNUMBER(SEARCH("|"&amp;MID('Consulta de contratos'!$K$2,8,120)&amp;"|",AF559)))),OR('Consulta de contratos'!$K$3="",C559='Consulta de contratos'!$K$3),OR('Consulta de contratos'!$K$4="",D559='Consulta de contratos'!$K$4),OR('Consulta de contratos'!$K$5="",E559='Consulta de contratos'!$K$5)),1,0)</f>
        <v>0</v>
      </c>
      <c r="W559">
        <f>IF(V559=1,SUM($V$2:V559),0)</f>
        <v>0</v>
      </c>
    </row>
    <row r="560" spans="22:23" x14ac:dyDescent="0.35">
      <c r="V560">
        <f>IF(AND(SUM(IF('Consulta de contratos'!$K$1="",0,1),IF('Consulta de contratos'!$K$2="",0,1),IF('Consulta de contratos'!$K$3="",0,1),IF('Consulta de contratos'!$K$4="",0,1),IF('Consulta de contratos'!$K$5="",0,1))&gt;0,OR('Consulta de contratos'!$K$1="",A560='Consulta de contratos'!$K$1),OR('Consulta de contratos'!$K$2="",I560='Consulta de contratos'!$K$2,AND(LEFT('Consulta de contratos'!$K$2,7)="Grupo: ",ISNUMBER(SEARCH("|"&amp;MID('Consulta de contratos'!$K$2,8,120)&amp;"|",AF560)))),OR('Consulta de contratos'!$K$3="",C560='Consulta de contratos'!$K$3),OR('Consulta de contratos'!$K$4="",D560='Consulta de contratos'!$K$4),OR('Consulta de contratos'!$K$5="",E560='Consulta de contratos'!$K$5)),1,0)</f>
        <v>0</v>
      </c>
      <c r="W560">
        <f>IF(V560=1,SUM($V$2:V560),0)</f>
        <v>0</v>
      </c>
    </row>
    <row r="561" spans="22:23" x14ac:dyDescent="0.35">
      <c r="V561">
        <f>IF(AND(SUM(IF('Consulta de contratos'!$K$1="",0,1),IF('Consulta de contratos'!$K$2="",0,1),IF('Consulta de contratos'!$K$3="",0,1),IF('Consulta de contratos'!$K$4="",0,1),IF('Consulta de contratos'!$K$5="",0,1))&gt;0,OR('Consulta de contratos'!$K$1="",A561='Consulta de contratos'!$K$1),OR('Consulta de contratos'!$K$2="",I561='Consulta de contratos'!$K$2,AND(LEFT('Consulta de contratos'!$K$2,7)="Grupo: ",ISNUMBER(SEARCH("|"&amp;MID('Consulta de contratos'!$K$2,8,120)&amp;"|",AF561)))),OR('Consulta de contratos'!$K$3="",C561='Consulta de contratos'!$K$3),OR('Consulta de contratos'!$K$4="",D561='Consulta de contratos'!$K$4),OR('Consulta de contratos'!$K$5="",E561='Consulta de contratos'!$K$5)),1,0)</f>
        <v>0</v>
      </c>
      <c r="W561">
        <f>IF(V561=1,SUM($V$2:V561),0)</f>
        <v>0</v>
      </c>
    </row>
    <row r="562" spans="22:23" x14ac:dyDescent="0.35">
      <c r="V562">
        <f>IF(AND(SUM(IF('Consulta de contratos'!$K$1="",0,1),IF('Consulta de contratos'!$K$2="",0,1),IF('Consulta de contratos'!$K$3="",0,1),IF('Consulta de contratos'!$K$4="",0,1),IF('Consulta de contratos'!$K$5="",0,1))&gt;0,OR('Consulta de contratos'!$K$1="",A562='Consulta de contratos'!$K$1),OR('Consulta de contratos'!$K$2="",I562='Consulta de contratos'!$K$2,AND(LEFT('Consulta de contratos'!$K$2,7)="Grupo: ",ISNUMBER(SEARCH("|"&amp;MID('Consulta de contratos'!$K$2,8,120)&amp;"|",AF562)))),OR('Consulta de contratos'!$K$3="",C562='Consulta de contratos'!$K$3),OR('Consulta de contratos'!$K$4="",D562='Consulta de contratos'!$K$4),OR('Consulta de contratos'!$K$5="",E562='Consulta de contratos'!$K$5)),1,0)</f>
        <v>0</v>
      </c>
      <c r="W562">
        <f>IF(V562=1,SUM($V$2:V562),0)</f>
        <v>0</v>
      </c>
    </row>
    <row r="563" spans="22:23" x14ac:dyDescent="0.35">
      <c r="V563">
        <f>IF(AND(SUM(IF('Consulta de contratos'!$K$1="",0,1),IF('Consulta de contratos'!$K$2="",0,1),IF('Consulta de contratos'!$K$3="",0,1),IF('Consulta de contratos'!$K$4="",0,1),IF('Consulta de contratos'!$K$5="",0,1))&gt;0,OR('Consulta de contratos'!$K$1="",A563='Consulta de contratos'!$K$1),OR('Consulta de contratos'!$K$2="",I563='Consulta de contratos'!$K$2,AND(LEFT('Consulta de contratos'!$K$2,7)="Grupo: ",ISNUMBER(SEARCH("|"&amp;MID('Consulta de contratos'!$K$2,8,120)&amp;"|",AF563)))),OR('Consulta de contratos'!$K$3="",C563='Consulta de contratos'!$K$3),OR('Consulta de contratos'!$K$4="",D563='Consulta de contratos'!$K$4),OR('Consulta de contratos'!$K$5="",E563='Consulta de contratos'!$K$5)),1,0)</f>
        <v>0</v>
      </c>
      <c r="W563">
        <f>IF(V563=1,SUM($V$2:V563),0)</f>
        <v>0</v>
      </c>
    </row>
    <row r="564" spans="22:23" x14ac:dyDescent="0.35">
      <c r="V564">
        <f>IF(AND(SUM(IF('Consulta de contratos'!$K$1="",0,1),IF('Consulta de contratos'!$K$2="",0,1),IF('Consulta de contratos'!$K$3="",0,1),IF('Consulta de contratos'!$K$4="",0,1),IF('Consulta de contratos'!$K$5="",0,1))&gt;0,OR('Consulta de contratos'!$K$1="",A564='Consulta de contratos'!$K$1),OR('Consulta de contratos'!$K$2="",I564='Consulta de contratos'!$K$2,AND(LEFT('Consulta de contratos'!$K$2,7)="Grupo: ",ISNUMBER(SEARCH("|"&amp;MID('Consulta de contratos'!$K$2,8,120)&amp;"|",AF564)))),OR('Consulta de contratos'!$K$3="",C564='Consulta de contratos'!$K$3),OR('Consulta de contratos'!$K$4="",D564='Consulta de contratos'!$K$4),OR('Consulta de contratos'!$K$5="",E564='Consulta de contratos'!$K$5)),1,0)</f>
        <v>0</v>
      </c>
      <c r="W564">
        <f>IF(V564=1,SUM($V$2:V564),0)</f>
        <v>0</v>
      </c>
    </row>
    <row r="565" spans="22:23" x14ac:dyDescent="0.35">
      <c r="V565">
        <f>IF(AND(SUM(IF('Consulta de contratos'!$K$1="",0,1),IF('Consulta de contratos'!$K$2="",0,1),IF('Consulta de contratos'!$K$3="",0,1),IF('Consulta de contratos'!$K$4="",0,1),IF('Consulta de contratos'!$K$5="",0,1))&gt;0,OR('Consulta de contratos'!$K$1="",A565='Consulta de contratos'!$K$1),OR('Consulta de contratos'!$K$2="",I565='Consulta de contratos'!$K$2,AND(LEFT('Consulta de contratos'!$K$2,7)="Grupo: ",ISNUMBER(SEARCH("|"&amp;MID('Consulta de contratos'!$K$2,8,120)&amp;"|",AF565)))),OR('Consulta de contratos'!$K$3="",C565='Consulta de contratos'!$K$3),OR('Consulta de contratos'!$K$4="",D565='Consulta de contratos'!$K$4),OR('Consulta de contratos'!$K$5="",E565='Consulta de contratos'!$K$5)),1,0)</f>
        <v>0</v>
      </c>
      <c r="W565">
        <f>IF(V565=1,SUM($V$2:V565),0)</f>
        <v>0</v>
      </c>
    </row>
    <row r="566" spans="22:23" x14ac:dyDescent="0.35">
      <c r="V566">
        <f>IF(AND(SUM(IF('Consulta de contratos'!$K$1="",0,1),IF('Consulta de contratos'!$K$2="",0,1),IF('Consulta de contratos'!$K$3="",0,1),IF('Consulta de contratos'!$K$4="",0,1),IF('Consulta de contratos'!$K$5="",0,1))&gt;0,OR('Consulta de contratos'!$K$1="",A566='Consulta de contratos'!$K$1),OR('Consulta de contratos'!$K$2="",I566='Consulta de contratos'!$K$2,AND(LEFT('Consulta de contratos'!$K$2,7)="Grupo: ",ISNUMBER(SEARCH("|"&amp;MID('Consulta de contratos'!$K$2,8,120)&amp;"|",AF566)))),OR('Consulta de contratos'!$K$3="",C566='Consulta de contratos'!$K$3),OR('Consulta de contratos'!$K$4="",D566='Consulta de contratos'!$K$4),OR('Consulta de contratos'!$K$5="",E566='Consulta de contratos'!$K$5)),1,0)</f>
        <v>0</v>
      </c>
      <c r="W566">
        <f>IF(V566=1,SUM($V$2:V566),0)</f>
        <v>0</v>
      </c>
    </row>
    <row r="567" spans="22:23" x14ac:dyDescent="0.35">
      <c r="V567">
        <f>IF(AND(SUM(IF('Consulta de contratos'!$K$1="",0,1),IF('Consulta de contratos'!$K$2="",0,1),IF('Consulta de contratos'!$K$3="",0,1),IF('Consulta de contratos'!$K$4="",0,1),IF('Consulta de contratos'!$K$5="",0,1))&gt;0,OR('Consulta de contratos'!$K$1="",A567='Consulta de contratos'!$K$1),OR('Consulta de contratos'!$K$2="",I567='Consulta de contratos'!$K$2,AND(LEFT('Consulta de contratos'!$K$2,7)="Grupo: ",ISNUMBER(SEARCH("|"&amp;MID('Consulta de contratos'!$K$2,8,120)&amp;"|",AF567)))),OR('Consulta de contratos'!$K$3="",C567='Consulta de contratos'!$K$3),OR('Consulta de contratos'!$K$4="",D567='Consulta de contratos'!$K$4),OR('Consulta de contratos'!$K$5="",E567='Consulta de contratos'!$K$5)),1,0)</f>
        <v>0</v>
      </c>
      <c r="W567">
        <f>IF(V567=1,SUM($V$2:V567),0)</f>
        <v>0</v>
      </c>
    </row>
    <row r="568" spans="22:23" x14ac:dyDescent="0.35">
      <c r="V568">
        <f>IF(AND(SUM(IF('Consulta de contratos'!$K$1="",0,1),IF('Consulta de contratos'!$K$2="",0,1),IF('Consulta de contratos'!$K$3="",0,1),IF('Consulta de contratos'!$K$4="",0,1),IF('Consulta de contratos'!$K$5="",0,1))&gt;0,OR('Consulta de contratos'!$K$1="",A568='Consulta de contratos'!$K$1),OR('Consulta de contratos'!$K$2="",I568='Consulta de contratos'!$K$2,AND(LEFT('Consulta de contratos'!$K$2,7)="Grupo: ",ISNUMBER(SEARCH("|"&amp;MID('Consulta de contratos'!$K$2,8,120)&amp;"|",AF568)))),OR('Consulta de contratos'!$K$3="",C568='Consulta de contratos'!$K$3),OR('Consulta de contratos'!$K$4="",D568='Consulta de contratos'!$K$4),OR('Consulta de contratos'!$K$5="",E568='Consulta de contratos'!$K$5)),1,0)</f>
        <v>0</v>
      </c>
      <c r="W568">
        <f>IF(V568=1,SUM($V$2:V568),0)</f>
        <v>0</v>
      </c>
    </row>
    <row r="569" spans="22:23" x14ac:dyDescent="0.35">
      <c r="V569">
        <f>IF(AND(SUM(IF('Consulta de contratos'!$K$1="",0,1),IF('Consulta de contratos'!$K$2="",0,1),IF('Consulta de contratos'!$K$3="",0,1),IF('Consulta de contratos'!$K$4="",0,1),IF('Consulta de contratos'!$K$5="",0,1))&gt;0,OR('Consulta de contratos'!$K$1="",A569='Consulta de contratos'!$K$1),OR('Consulta de contratos'!$K$2="",I569='Consulta de contratos'!$K$2,AND(LEFT('Consulta de contratos'!$K$2,7)="Grupo: ",ISNUMBER(SEARCH("|"&amp;MID('Consulta de contratos'!$K$2,8,120)&amp;"|",AF569)))),OR('Consulta de contratos'!$K$3="",C569='Consulta de contratos'!$K$3),OR('Consulta de contratos'!$K$4="",D569='Consulta de contratos'!$K$4),OR('Consulta de contratos'!$K$5="",E569='Consulta de contratos'!$K$5)),1,0)</f>
        <v>0</v>
      </c>
      <c r="W569">
        <f>IF(V569=1,SUM($V$2:V569),0)</f>
        <v>0</v>
      </c>
    </row>
    <row r="570" spans="22:23" x14ac:dyDescent="0.35">
      <c r="V570">
        <f>IF(AND(SUM(IF('Consulta de contratos'!$K$1="",0,1),IF('Consulta de contratos'!$K$2="",0,1),IF('Consulta de contratos'!$K$3="",0,1),IF('Consulta de contratos'!$K$4="",0,1),IF('Consulta de contratos'!$K$5="",0,1))&gt;0,OR('Consulta de contratos'!$K$1="",A570='Consulta de contratos'!$K$1),OR('Consulta de contratos'!$K$2="",I570='Consulta de contratos'!$K$2,AND(LEFT('Consulta de contratos'!$K$2,7)="Grupo: ",ISNUMBER(SEARCH("|"&amp;MID('Consulta de contratos'!$K$2,8,120)&amp;"|",AF570)))),OR('Consulta de contratos'!$K$3="",C570='Consulta de contratos'!$K$3),OR('Consulta de contratos'!$K$4="",D570='Consulta de contratos'!$K$4),OR('Consulta de contratos'!$K$5="",E570='Consulta de contratos'!$K$5)),1,0)</f>
        <v>0</v>
      </c>
      <c r="W570">
        <f>IF(V570=1,SUM($V$2:V570),0)</f>
        <v>0</v>
      </c>
    </row>
    <row r="571" spans="22:23" x14ac:dyDescent="0.35">
      <c r="V571">
        <f>IF(AND(SUM(IF('Consulta de contratos'!$K$1="",0,1),IF('Consulta de contratos'!$K$2="",0,1),IF('Consulta de contratos'!$K$3="",0,1),IF('Consulta de contratos'!$K$4="",0,1),IF('Consulta de contratos'!$K$5="",0,1))&gt;0,OR('Consulta de contratos'!$K$1="",A571='Consulta de contratos'!$K$1),OR('Consulta de contratos'!$K$2="",I571='Consulta de contratos'!$K$2,AND(LEFT('Consulta de contratos'!$K$2,7)="Grupo: ",ISNUMBER(SEARCH("|"&amp;MID('Consulta de contratos'!$K$2,8,120)&amp;"|",AF571)))),OR('Consulta de contratos'!$K$3="",C571='Consulta de contratos'!$K$3),OR('Consulta de contratos'!$K$4="",D571='Consulta de contratos'!$K$4),OR('Consulta de contratos'!$K$5="",E571='Consulta de contratos'!$K$5)),1,0)</f>
        <v>0</v>
      </c>
      <c r="W571">
        <f>IF(V571=1,SUM($V$2:V571),0)</f>
        <v>0</v>
      </c>
    </row>
    <row r="572" spans="22:23" x14ac:dyDescent="0.35">
      <c r="V572">
        <f>IF(AND(SUM(IF('Consulta de contratos'!$K$1="",0,1),IF('Consulta de contratos'!$K$2="",0,1),IF('Consulta de contratos'!$K$3="",0,1),IF('Consulta de contratos'!$K$4="",0,1),IF('Consulta de contratos'!$K$5="",0,1))&gt;0,OR('Consulta de contratos'!$K$1="",A572='Consulta de contratos'!$K$1),OR('Consulta de contratos'!$K$2="",I572='Consulta de contratos'!$K$2,AND(LEFT('Consulta de contratos'!$K$2,7)="Grupo: ",ISNUMBER(SEARCH("|"&amp;MID('Consulta de contratos'!$K$2,8,120)&amp;"|",AF572)))),OR('Consulta de contratos'!$K$3="",C572='Consulta de contratos'!$K$3),OR('Consulta de contratos'!$K$4="",D572='Consulta de contratos'!$K$4),OR('Consulta de contratos'!$K$5="",E572='Consulta de contratos'!$K$5)),1,0)</f>
        <v>0</v>
      </c>
      <c r="W572">
        <f>IF(V572=1,SUM($V$2:V572),0)</f>
        <v>0</v>
      </c>
    </row>
    <row r="573" spans="22:23" x14ac:dyDescent="0.35">
      <c r="V573">
        <f>IF(AND(SUM(IF('Consulta de contratos'!$K$1="",0,1),IF('Consulta de contratos'!$K$2="",0,1),IF('Consulta de contratos'!$K$3="",0,1),IF('Consulta de contratos'!$K$4="",0,1),IF('Consulta de contratos'!$K$5="",0,1))&gt;0,OR('Consulta de contratos'!$K$1="",A573='Consulta de contratos'!$K$1),OR('Consulta de contratos'!$K$2="",I573='Consulta de contratos'!$K$2,AND(LEFT('Consulta de contratos'!$K$2,7)="Grupo: ",ISNUMBER(SEARCH("|"&amp;MID('Consulta de contratos'!$K$2,8,120)&amp;"|",AF573)))),OR('Consulta de contratos'!$K$3="",C573='Consulta de contratos'!$K$3),OR('Consulta de contratos'!$K$4="",D573='Consulta de contratos'!$K$4),OR('Consulta de contratos'!$K$5="",E573='Consulta de contratos'!$K$5)),1,0)</f>
        <v>0</v>
      </c>
      <c r="W573">
        <f>IF(V573=1,SUM($V$2:V573),0)</f>
        <v>0</v>
      </c>
    </row>
    <row r="574" spans="22:23" x14ac:dyDescent="0.35">
      <c r="V574">
        <f>IF(AND(SUM(IF('Consulta de contratos'!$K$1="",0,1),IF('Consulta de contratos'!$K$2="",0,1),IF('Consulta de contratos'!$K$3="",0,1),IF('Consulta de contratos'!$K$4="",0,1),IF('Consulta de contratos'!$K$5="",0,1))&gt;0,OR('Consulta de contratos'!$K$1="",A574='Consulta de contratos'!$K$1),OR('Consulta de contratos'!$K$2="",I574='Consulta de contratos'!$K$2,AND(LEFT('Consulta de contratos'!$K$2,7)="Grupo: ",ISNUMBER(SEARCH("|"&amp;MID('Consulta de contratos'!$K$2,8,120)&amp;"|",AF574)))),OR('Consulta de contratos'!$K$3="",C574='Consulta de contratos'!$K$3),OR('Consulta de contratos'!$K$4="",D574='Consulta de contratos'!$K$4),OR('Consulta de contratos'!$K$5="",E574='Consulta de contratos'!$K$5)),1,0)</f>
        <v>0</v>
      </c>
      <c r="W574">
        <f>IF(V574=1,SUM($V$2:V574),0)</f>
        <v>0</v>
      </c>
    </row>
    <row r="575" spans="22:23" x14ac:dyDescent="0.35">
      <c r="V575">
        <f>IF(AND(SUM(IF('Consulta de contratos'!$K$1="",0,1),IF('Consulta de contratos'!$K$2="",0,1),IF('Consulta de contratos'!$K$3="",0,1),IF('Consulta de contratos'!$K$4="",0,1),IF('Consulta de contratos'!$K$5="",0,1))&gt;0,OR('Consulta de contratos'!$K$1="",A575='Consulta de contratos'!$K$1),OR('Consulta de contratos'!$K$2="",I575='Consulta de contratos'!$K$2,AND(LEFT('Consulta de contratos'!$K$2,7)="Grupo: ",ISNUMBER(SEARCH("|"&amp;MID('Consulta de contratos'!$K$2,8,120)&amp;"|",AF575)))),OR('Consulta de contratos'!$K$3="",C575='Consulta de contratos'!$K$3),OR('Consulta de contratos'!$K$4="",D575='Consulta de contratos'!$K$4),OR('Consulta de contratos'!$K$5="",E575='Consulta de contratos'!$K$5)),1,0)</f>
        <v>0</v>
      </c>
      <c r="W575">
        <f>IF(V575=1,SUM($V$2:V575),0)</f>
        <v>0</v>
      </c>
    </row>
    <row r="576" spans="22:23" x14ac:dyDescent="0.35">
      <c r="V576">
        <f>IF(AND(SUM(IF('Consulta de contratos'!$K$1="",0,1),IF('Consulta de contratos'!$K$2="",0,1),IF('Consulta de contratos'!$K$3="",0,1),IF('Consulta de contratos'!$K$4="",0,1),IF('Consulta de contratos'!$K$5="",0,1))&gt;0,OR('Consulta de contratos'!$K$1="",A576='Consulta de contratos'!$K$1),OR('Consulta de contratos'!$K$2="",I576='Consulta de contratos'!$K$2,AND(LEFT('Consulta de contratos'!$K$2,7)="Grupo: ",ISNUMBER(SEARCH("|"&amp;MID('Consulta de contratos'!$K$2,8,120)&amp;"|",AF576)))),OR('Consulta de contratos'!$K$3="",C576='Consulta de contratos'!$K$3),OR('Consulta de contratos'!$K$4="",D576='Consulta de contratos'!$K$4),OR('Consulta de contratos'!$K$5="",E576='Consulta de contratos'!$K$5)),1,0)</f>
        <v>0</v>
      </c>
      <c r="W576">
        <f>IF(V576=1,SUM($V$2:V576),0)</f>
        <v>0</v>
      </c>
    </row>
    <row r="577" spans="22:23" x14ac:dyDescent="0.35">
      <c r="V577">
        <f>IF(AND(SUM(IF('Consulta de contratos'!$K$1="",0,1),IF('Consulta de contratos'!$K$2="",0,1),IF('Consulta de contratos'!$K$3="",0,1),IF('Consulta de contratos'!$K$4="",0,1),IF('Consulta de contratos'!$K$5="",0,1))&gt;0,OR('Consulta de contratos'!$K$1="",A577='Consulta de contratos'!$K$1),OR('Consulta de contratos'!$K$2="",I577='Consulta de contratos'!$K$2,AND(LEFT('Consulta de contratos'!$K$2,7)="Grupo: ",ISNUMBER(SEARCH("|"&amp;MID('Consulta de contratos'!$K$2,8,120)&amp;"|",AF577)))),OR('Consulta de contratos'!$K$3="",C577='Consulta de contratos'!$K$3),OR('Consulta de contratos'!$K$4="",D577='Consulta de contratos'!$K$4),OR('Consulta de contratos'!$K$5="",E577='Consulta de contratos'!$K$5)),1,0)</f>
        <v>0</v>
      </c>
      <c r="W577">
        <f>IF(V577=1,SUM($V$2:V577),0)</f>
        <v>0</v>
      </c>
    </row>
    <row r="578" spans="22:23" x14ac:dyDescent="0.35">
      <c r="V578">
        <f>IF(AND(SUM(IF('Consulta de contratos'!$K$1="",0,1),IF('Consulta de contratos'!$K$2="",0,1),IF('Consulta de contratos'!$K$3="",0,1),IF('Consulta de contratos'!$K$4="",0,1),IF('Consulta de contratos'!$K$5="",0,1))&gt;0,OR('Consulta de contratos'!$K$1="",A578='Consulta de contratos'!$K$1),OR('Consulta de contratos'!$K$2="",I578='Consulta de contratos'!$K$2,AND(LEFT('Consulta de contratos'!$K$2,7)="Grupo: ",ISNUMBER(SEARCH("|"&amp;MID('Consulta de contratos'!$K$2,8,120)&amp;"|",AF578)))),OR('Consulta de contratos'!$K$3="",C578='Consulta de contratos'!$K$3),OR('Consulta de contratos'!$K$4="",D578='Consulta de contratos'!$K$4),OR('Consulta de contratos'!$K$5="",E578='Consulta de contratos'!$K$5)),1,0)</f>
        <v>0</v>
      </c>
      <c r="W578">
        <f>IF(V578=1,SUM($V$2:V578),0)</f>
        <v>0</v>
      </c>
    </row>
    <row r="579" spans="22:23" x14ac:dyDescent="0.35">
      <c r="V579">
        <f>IF(AND(SUM(IF('Consulta de contratos'!$K$1="",0,1),IF('Consulta de contratos'!$K$2="",0,1),IF('Consulta de contratos'!$K$3="",0,1),IF('Consulta de contratos'!$K$4="",0,1),IF('Consulta de contratos'!$K$5="",0,1))&gt;0,OR('Consulta de contratos'!$K$1="",A579='Consulta de contratos'!$K$1),OR('Consulta de contratos'!$K$2="",I579='Consulta de contratos'!$K$2,AND(LEFT('Consulta de contratos'!$K$2,7)="Grupo: ",ISNUMBER(SEARCH("|"&amp;MID('Consulta de contratos'!$K$2,8,120)&amp;"|",AF579)))),OR('Consulta de contratos'!$K$3="",C579='Consulta de contratos'!$K$3),OR('Consulta de contratos'!$K$4="",D579='Consulta de contratos'!$K$4),OR('Consulta de contratos'!$K$5="",E579='Consulta de contratos'!$K$5)),1,0)</f>
        <v>0</v>
      </c>
      <c r="W579">
        <f>IF(V579=1,SUM($V$2:V579),0)</f>
        <v>0</v>
      </c>
    </row>
    <row r="580" spans="22:23" x14ac:dyDescent="0.35">
      <c r="V580">
        <f>IF(AND(SUM(IF('Consulta de contratos'!$K$1="",0,1),IF('Consulta de contratos'!$K$2="",0,1),IF('Consulta de contratos'!$K$3="",0,1),IF('Consulta de contratos'!$K$4="",0,1),IF('Consulta de contratos'!$K$5="",0,1))&gt;0,OR('Consulta de contratos'!$K$1="",A580='Consulta de contratos'!$K$1),OR('Consulta de contratos'!$K$2="",I580='Consulta de contratos'!$K$2,AND(LEFT('Consulta de contratos'!$K$2,7)="Grupo: ",ISNUMBER(SEARCH("|"&amp;MID('Consulta de contratos'!$K$2,8,120)&amp;"|",AF580)))),OR('Consulta de contratos'!$K$3="",C580='Consulta de contratos'!$K$3),OR('Consulta de contratos'!$K$4="",D580='Consulta de contratos'!$K$4),OR('Consulta de contratos'!$K$5="",E580='Consulta de contratos'!$K$5)),1,0)</f>
        <v>0</v>
      </c>
      <c r="W580">
        <f>IF(V580=1,SUM($V$2:V580),0)</f>
        <v>0</v>
      </c>
    </row>
    <row r="581" spans="22:23" x14ac:dyDescent="0.35">
      <c r="V581">
        <f>IF(AND(SUM(IF('Consulta de contratos'!$K$1="",0,1),IF('Consulta de contratos'!$K$2="",0,1),IF('Consulta de contratos'!$K$3="",0,1),IF('Consulta de contratos'!$K$4="",0,1),IF('Consulta de contratos'!$K$5="",0,1))&gt;0,OR('Consulta de contratos'!$K$1="",A581='Consulta de contratos'!$K$1),OR('Consulta de contratos'!$K$2="",I581='Consulta de contratos'!$K$2,AND(LEFT('Consulta de contratos'!$K$2,7)="Grupo: ",ISNUMBER(SEARCH("|"&amp;MID('Consulta de contratos'!$K$2,8,120)&amp;"|",AF581)))),OR('Consulta de contratos'!$K$3="",C581='Consulta de contratos'!$K$3),OR('Consulta de contratos'!$K$4="",D581='Consulta de contratos'!$K$4),OR('Consulta de contratos'!$K$5="",E581='Consulta de contratos'!$K$5)),1,0)</f>
        <v>0</v>
      </c>
      <c r="W581">
        <f>IF(V581=1,SUM($V$2:V581),0)</f>
        <v>0</v>
      </c>
    </row>
    <row r="582" spans="22:23" x14ac:dyDescent="0.35">
      <c r="V582">
        <f>IF(AND(SUM(IF('Consulta de contratos'!$K$1="",0,1),IF('Consulta de contratos'!$K$2="",0,1),IF('Consulta de contratos'!$K$3="",0,1),IF('Consulta de contratos'!$K$4="",0,1),IF('Consulta de contratos'!$K$5="",0,1))&gt;0,OR('Consulta de contratos'!$K$1="",A582='Consulta de contratos'!$K$1),OR('Consulta de contratos'!$K$2="",I582='Consulta de contratos'!$K$2,AND(LEFT('Consulta de contratos'!$K$2,7)="Grupo: ",ISNUMBER(SEARCH("|"&amp;MID('Consulta de contratos'!$K$2,8,120)&amp;"|",AF582)))),OR('Consulta de contratos'!$K$3="",C582='Consulta de contratos'!$K$3),OR('Consulta de contratos'!$K$4="",D582='Consulta de contratos'!$K$4),OR('Consulta de contratos'!$K$5="",E582='Consulta de contratos'!$K$5)),1,0)</f>
        <v>0</v>
      </c>
      <c r="W582">
        <f>IF(V582=1,SUM($V$2:V582),0)</f>
        <v>0</v>
      </c>
    </row>
    <row r="583" spans="22:23" x14ac:dyDescent="0.35">
      <c r="V583">
        <f>IF(AND(SUM(IF('Consulta de contratos'!$K$1="",0,1),IF('Consulta de contratos'!$K$2="",0,1),IF('Consulta de contratos'!$K$3="",0,1),IF('Consulta de contratos'!$K$4="",0,1),IF('Consulta de contratos'!$K$5="",0,1))&gt;0,OR('Consulta de contratos'!$K$1="",A583='Consulta de contratos'!$K$1),OR('Consulta de contratos'!$K$2="",I583='Consulta de contratos'!$K$2,AND(LEFT('Consulta de contratos'!$K$2,7)="Grupo: ",ISNUMBER(SEARCH("|"&amp;MID('Consulta de contratos'!$K$2,8,120)&amp;"|",AF583)))),OR('Consulta de contratos'!$K$3="",C583='Consulta de contratos'!$K$3),OR('Consulta de contratos'!$K$4="",D583='Consulta de contratos'!$K$4),OR('Consulta de contratos'!$K$5="",E583='Consulta de contratos'!$K$5)),1,0)</f>
        <v>0</v>
      </c>
      <c r="W583">
        <f>IF(V583=1,SUM($V$2:V583),0)</f>
        <v>0</v>
      </c>
    </row>
    <row r="584" spans="22:23" x14ac:dyDescent="0.35">
      <c r="V584">
        <f>IF(AND(SUM(IF('Consulta de contratos'!$K$1="",0,1),IF('Consulta de contratos'!$K$2="",0,1),IF('Consulta de contratos'!$K$3="",0,1),IF('Consulta de contratos'!$K$4="",0,1),IF('Consulta de contratos'!$K$5="",0,1))&gt;0,OR('Consulta de contratos'!$K$1="",A584='Consulta de contratos'!$K$1),OR('Consulta de contratos'!$K$2="",I584='Consulta de contratos'!$K$2,AND(LEFT('Consulta de contratos'!$K$2,7)="Grupo: ",ISNUMBER(SEARCH("|"&amp;MID('Consulta de contratos'!$K$2,8,120)&amp;"|",AF584)))),OR('Consulta de contratos'!$K$3="",C584='Consulta de contratos'!$K$3),OR('Consulta de contratos'!$K$4="",D584='Consulta de contratos'!$K$4),OR('Consulta de contratos'!$K$5="",E584='Consulta de contratos'!$K$5)),1,0)</f>
        <v>0</v>
      </c>
      <c r="W584">
        <f>IF(V584=1,SUM($V$2:V584),0)</f>
        <v>0</v>
      </c>
    </row>
    <row r="585" spans="22:23" x14ac:dyDescent="0.35">
      <c r="V585">
        <f>IF(AND(SUM(IF('Consulta de contratos'!$K$1="",0,1),IF('Consulta de contratos'!$K$2="",0,1),IF('Consulta de contratos'!$K$3="",0,1),IF('Consulta de contratos'!$K$4="",0,1),IF('Consulta de contratos'!$K$5="",0,1))&gt;0,OR('Consulta de contratos'!$K$1="",A585='Consulta de contratos'!$K$1),OR('Consulta de contratos'!$K$2="",I585='Consulta de contratos'!$K$2,AND(LEFT('Consulta de contratos'!$K$2,7)="Grupo: ",ISNUMBER(SEARCH("|"&amp;MID('Consulta de contratos'!$K$2,8,120)&amp;"|",AF585)))),OR('Consulta de contratos'!$K$3="",C585='Consulta de contratos'!$K$3),OR('Consulta de contratos'!$K$4="",D585='Consulta de contratos'!$K$4),OR('Consulta de contratos'!$K$5="",E585='Consulta de contratos'!$K$5)),1,0)</f>
        <v>0</v>
      </c>
      <c r="W585">
        <f>IF(V585=1,SUM($V$2:V585),0)</f>
        <v>0</v>
      </c>
    </row>
    <row r="586" spans="22:23" x14ac:dyDescent="0.35">
      <c r="V586">
        <f>IF(AND(SUM(IF('Consulta de contratos'!$K$1="",0,1),IF('Consulta de contratos'!$K$2="",0,1),IF('Consulta de contratos'!$K$3="",0,1),IF('Consulta de contratos'!$K$4="",0,1),IF('Consulta de contratos'!$K$5="",0,1))&gt;0,OR('Consulta de contratos'!$K$1="",A586='Consulta de contratos'!$K$1),OR('Consulta de contratos'!$K$2="",I586='Consulta de contratos'!$K$2,AND(LEFT('Consulta de contratos'!$K$2,7)="Grupo: ",ISNUMBER(SEARCH("|"&amp;MID('Consulta de contratos'!$K$2,8,120)&amp;"|",AF586)))),OR('Consulta de contratos'!$K$3="",C586='Consulta de contratos'!$K$3),OR('Consulta de contratos'!$K$4="",D586='Consulta de contratos'!$K$4),OR('Consulta de contratos'!$K$5="",E586='Consulta de contratos'!$K$5)),1,0)</f>
        <v>0</v>
      </c>
      <c r="W586">
        <f>IF(V586=1,SUM($V$2:V586),0)</f>
        <v>0</v>
      </c>
    </row>
    <row r="587" spans="22:23" x14ac:dyDescent="0.35">
      <c r="V587">
        <f>IF(AND(SUM(IF('Consulta de contratos'!$K$1="",0,1),IF('Consulta de contratos'!$K$2="",0,1),IF('Consulta de contratos'!$K$3="",0,1),IF('Consulta de contratos'!$K$4="",0,1),IF('Consulta de contratos'!$K$5="",0,1))&gt;0,OR('Consulta de contratos'!$K$1="",A587='Consulta de contratos'!$K$1),OR('Consulta de contratos'!$K$2="",I587='Consulta de contratos'!$K$2,AND(LEFT('Consulta de contratos'!$K$2,7)="Grupo: ",ISNUMBER(SEARCH("|"&amp;MID('Consulta de contratos'!$K$2,8,120)&amp;"|",AF587)))),OR('Consulta de contratos'!$K$3="",C587='Consulta de contratos'!$K$3),OR('Consulta de contratos'!$K$4="",D587='Consulta de contratos'!$K$4),OR('Consulta de contratos'!$K$5="",E587='Consulta de contratos'!$K$5)),1,0)</f>
        <v>0</v>
      </c>
      <c r="W587">
        <f>IF(V587=1,SUM($V$2:V587),0)</f>
        <v>0</v>
      </c>
    </row>
    <row r="588" spans="22:23" x14ac:dyDescent="0.35">
      <c r="V588">
        <f>IF(AND(SUM(IF('Consulta de contratos'!$K$1="",0,1),IF('Consulta de contratos'!$K$2="",0,1),IF('Consulta de contratos'!$K$3="",0,1),IF('Consulta de contratos'!$K$4="",0,1),IF('Consulta de contratos'!$K$5="",0,1))&gt;0,OR('Consulta de contratos'!$K$1="",A588='Consulta de contratos'!$K$1),OR('Consulta de contratos'!$K$2="",I588='Consulta de contratos'!$K$2,AND(LEFT('Consulta de contratos'!$K$2,7)="Grupo: ",ISNUMBER(SEARCH("|"&amp;MID('Consulta de contratos'!$K$2,8,120)&amp;"|",AF588)))),OR('Consulta de contratos'!$K$3="",C588='Consulta de contratos'!$K$3),OR('Consulta de contratos'!$K$4="",D588='Consulta de contratos'!$K$4),OR('Consulta de contratos'!$K$5="",E588='Consulta de contratos'!$K$5)),1,0)</f>
        <v>0</v>
      </c>
      <c r="W588">
        <f>IF(V588=1,SUM($V$2:V588),0)</f>
        <v>0</v>
      </c>
    </row>
    <row r="589" spans="22:23" x14ac:dyDescent="0.35">
      <c r="V589">
        <f>IF(AND(SUM(IF('Consulta de contratos'!$K$1="",0,1),IF('Consulta de contratos'!$K$2="",0,1),IF('Consulta de contratos'!$K$3="",0,1),IF('Consulta de contratos'!$K$4="",0,1),IF('Consulta de contratos'!$K$5="",0,1))&gt;0,OR('Consulta de contratos'!$K$1="",A589='Consulta de contratos'!$K$1),OR('Consulta de contratos'!$K$2="",I589='Consulta de contratos'!$K$2,AND(LEFT('Consulta de contratos'!$K$2,7)="Grupo: ",ISNUMBER(SEARCH("|"&amp;MID('Consulta de contratos'!$K$2,8,120)&amp;"|",AF589)))),OR('Consulta de contratos'!$K$3="",C589='Consulta de contratos'!$K$3),OR('Consulta de contratos'!$K$4="",D589='Consulta de contratos'!$K$4),OR('Consulta de contratos'!$K$5="",E589='Consulta de contratos'!$K$5)),1,0)</f>
        <v>0</v>
      </c>
      <c r="W589">
        <f>IF(V589=1,SUM($V$2:V589),0)</f>
        <v>0</v>
      </c>
    </row>
    <row r="590" spans="22:23" x14ac:dyDescent="0.35">
      <c r="V590">
        <f>IF(AND(SUM(IF('Consulta de contratos'!$K$1="",0,1),IF('Consulta de contratos'!$K$2="",0,1),IF('Consulta de contratos'!$K$3="",0,1),IF('Consulta de contratos'!$K$4="",0,1),IF('Consulta de contratos'!$K$5="",0,1))&gt;0,OR('Consulta de contratos'!$K$1="",A590='Consulta de contratos'!$K$1),OR('Consulta de contratos'!$K$2="",I590='Consulta de contratos'!$K$2,AND(LEFT('Consulta de contratos'!$K$2,7)="Grupo: ",ISNUMBER(SEARCH("|"&amp;MID('Consulta de contratos'!$K$2,8,120)&amp;"|",AF590)))),OR('Consulta de contratos'!$K$3="",C590='Consulta de contratos'!$K$3),OR('Consulta de contratos'!$K$4="",D590='Consulta de contratos'!$K$4),OR('Consulta de contratos'!$K$5="",E590='Consulta de contratos'!$K$5)),1,0)</f>
        <v>0</v>
      </c>
      <c r="W590">
        <f>IF(V590=1,SUM($V$2:V590),0)</f>
        <v>0</v>
      </c>
    </row>
    <row r="591" spans="22:23" x14ac:dyDescent="0.35">
      <c r="V591">
        <f>IF(AND(SUM(IF('Consulta de contratos'!$K$1="",0,1),IF('Consulta de contratos'!$K$2="",0,1),IF('Consulta de contratos'!$K$3="",0,1),IF('Consulta de contratos'!$K$4="",0,1),IF('Consulta de contratos'!$K$5="",0,1))&gt;0,OR('Consulta de contratos'!$K$1="",A591='Consulta de contratos'!$K$1),OR('Consulta de contratos'!$K$2="",I591='Consulta de contratos'!$K$2,AND(LEFT('Consulta de contratos'!$K$2,7)="Grupo: ",ISNUMBER(SEARCH("|"&amp;MID('Consulta de contratos'!$K$2,8,120)&amp;"|",AF591)))),OR('Consulta de contratos'!$K$3="",C591='Consulta de contratos'!$K$3),OR('Consulta de contratos'!$K$4="",D591='Consulta de contratos'!$K$4),OR('Consulta de contratos'!$K$5="",E591='Consulta de contratos'!$K$5)),1,0)</f>
        <v>0</v>
      </c>
      <c r="W591">
        <f>IF(V591=1,SUM($V$2:V591),0)</f>
        <v>0</v>
      </c>
    </row>
    <row r="592" spans="22:23" x14ac:dyDescent="0.35">
      <c r="V592">
        <f>IF(AND(SUM(IF('Consulta de contratos'!$K$1="",0,1),IF('Consulta de contratos'!$K$2="",0,1),IF('Consulta de contratos'!$K$3="",0,1),IF('Consulta de contratos'!$K$4="",0,1),IF('Consulta de contratos'!$K$5="",0,1))&gt;0,OR('Consulta de contratos'!$K$1="",A592='Consulta de contratos'!$K$1),OR('Consulta de contratos'!$K$2="",I592='Consulta de contratos'!$K$2,AND(LEFT('Consulta de contratos'!$K$2,7)="Grupo: ",ISNUMBER(SEARCH("|"&amp;MID('Consulta de contratos'!$K$2,8,120)&amp;"|",AF592)))),OR('Consulta de contratos'!$K$3="",C592='Consulta de contratos'!$K$3),OR('Consulta de contratos'!$K$4="",D592='Consulta de contratos'!$K$4),OR('Consulta de contratos'!$K$5="",E592='Consulta de contratos'!$K$5)),1,0)</f>
        <v>0</v>
      </c>
      <c r="W592">
        <f>IF(V592=1,SUM($V$2:V592),0)</f>
        <v>0</v>
      </c>
    </row>
    <row r="593" spans="22:23" x14ac:dyDescent="0.35">
      <c r="V593">
        <f>IF(AND(SUM(IF('Consulta de contratos'!$K$1="",0,1),IF('Consulta de contratos'!$K$2="",0,1),IF('Consulta de contratos'!$K$3="",0,1),IF('Consulta de contratos'!$K$4="",0,1),IF('Consulta de contratos'!$K$5="",0,1))&gt;0,OR('Consulta de contratos'!$K$1="",A593='Consulta de contratos'!$K$1),OR('Consulta de contratos'!$K$2="",I593='Consulta de contratos'!$K$2,AND(LEFT('Consulta de contratos'!$K$2,7)="Grupo: ",ISNUMBER(SEARCH("|"&amp;MID('Consulta de contratos'!$K$2,8,120)&amp;"|",AF593)))),OR('Consulta de contratos'!$K$3="",C593='Consulta de contratos'!$K$3),OR('Consulta de contratos'!$K$4="",D593='Consulta de contratos'!$K$4),OR('Consulta de contratos'!$K$5="",E593='Consulta de contratos'!$K$5)),1,0)</f>
        <v>0</v>
      </c>
      <c r="W593">
        <f>IF(V593=1,SUM($V$2:V593),0)</f>
        <v>0</v>
      </c>
    </row>
    <row r="594" spans="22:23" x14ac:dyDescent="0.35">
      <c r="V594">
        <f>IF(AND(SUM(IF('Consulta de contratos'!$K$1="",0,1),IF('Consulta de contratos'!$K$2="",0,1),IF('Consulta de contratos'!$K$3="",0,1),IF('Consulta de contratos'!$K$4="",0,1),IF('Consulta de contratos'!$K$5="",0,1))&gt;0,OR('Consulta de contratos'!$K$1="",A594='Consulta de contratos'!$K$1),OR('Consulta de contratos'!$K$2="",I594='Consulta de contratos'!$K$2,AND(LEFT('Consulta de contratos'!$K$2,7)="Grupo: ",ISNUMBER(SEARCH("|"&amp;MID('Consulta de contratos'!$K$2,8,120)&amp;"|",AF594)))),OR('Consulta de contratos'!$K$3="",C594='Consulta de contratos'!$K$3),OR('Consulta de contratos'!$K$4="",D594='Consulta de contratos'!$K$4),OR('Consulta de contratos'!$K$5="",E594='Consulta de contratos'!$K$5)),1,0)</f>
        <v>0</v>
      </c>
      <c r="W594">
        <f>IF(V594=1,SUM($V$2:V594),0)</f>
        <v>0</v>
      </c>
    </row>
    <row r="595" spans="22:23" x14ac:dyDescent="0.35">
      <c r="V595">
        <f>IF(AND(SUM(IF('Consulta de contratos'!$K$1="",0,1),IF('Consulta de contratos'!$K$2="",0,1),IF('Consulta de contratos'!$K$3="",0,1),IF('Consulta de contratos'!$K$4="",0,1),IF('Consulta de contratos'!$K$5="",0,1))&gt;0,OR('Consulta de contratos'!$K$1="",A595='Consulta de contratos'!$K$1),OR('Consulta de contratos'!$K$2="",I595='Consulta de contratos'!$K$2,AND(LEFT('Consulta de contratos'!$K$2,7)="Grupo: ",ISNUMBER(SEARCH("|"&amp;MID('Consulta de contratos'!$K$2,8,120)&amp;"|",AF595)))),OR('Consulta de contratos'!$K$3="",C595='Consulta de contratos'!$K$3),OR('Consulta de contratos'!$K$4="",D595='Consulta de contratos'!$K$4),OR('Consulta de contratos'!$K$5="",E595='Consulta de contratos'!$K$5)),1,0)</f>
        <v>0</v>
      </c>
      <c r="W595">
        <f>IF(V595=1,SUM($V$2:V595),0)</f>
        <v>0</v>
      </c>
    </row>
    <row r="596" spans="22:23" x14ac:dyDescent="0.35">
      <c r="V596">
        <f>IF(AND(SUM(IF('Consulta de contratos'!$K$1="",0,1),IF('Consulta de contratos'!$K$2="",0,1),IF('Consulta de contratos'!$K$3="",0,1),IF('Consulta de contratos'!$K$4="",0,1),IF('Consulta de contratos'!$K$5="",0,1))&gt;0,OR('Consulta de contratos'!$K$1="",A596='Consulta de contratos'!$K$1),OR('Consulta de contratos'!$K$2="",I596='Consulta de contratos'!$K$2,AND(LEFT('Consulta de contratos'!$K$2,7)="Grupo: ",ISNUMBER(SEARCH("|"&amp;MID('Consulta de contratos'!$K$2,8,120)&amp;"|",AF596)))),OR('Consulta de contratos'!$K$3="",C596='Consulta de contratos'!$K$3),OR('Consulta de contratos'!$K$4="",D596='Consulta de contratos'!$K$4),OR('Consulta de contratos'!$K$5="",E596='Consulta de contratos'!$K$5)),1,0)</f>
        <v>0</v>
      </c>
      <c r="W596">
        <f>IF(V596=1,SUM($V$2:V596),0)</f>
        <v>0</v>
      </c>
    </row>
    <row r="597" spans="22:23" x14ac:dyDescent="0.35">
      <c r="V597">
        <f>IF(AND(SUM(IF('Consulta de contratos'!$K$1="",0,1),IF('Consulta de contratos'!$K$2="",0,1),IF('Consulta de contratos'!$K$3="",0,1),IF('Consulta de contratos'!$K$4="",0,1),IF('Consulta de contratos'!$K$5="",0,1))&gt;0,OR('Consulta de contratos'!$K$1="",A597='Consulta de contratos'!$K$1),OR('Consulta de contratos'!$K$2="",I597='Consulta de contratos'!$K$2,AND(LEFT('Consulta de contratos'!$K$2,7)="Grupo: ",ISNUMBER(SEARCH("|"&amp;MID('Consulta de contratos'!$K$2,8,120)&amp;"|",AF597)))),OR('Consulta de contratos'!$K$3="",C597='Consulta de contratos'!$K$3),OR('Consulta de contratos'!$K$4="",D597='Consulta de contratos'!$K$4),OR('Consulta de contratos'!$K$5="",E597='Consulta de contratos'!$K$5)),1,0)</f>
        <v>0</v>
      </c>
      <c r="W597">
        <f>IF(V597=1,SUM($V$2:V597),0)</f>
        <v>0</v>
      </c>
    </row>
    <row r="598" spans="22:23" x14ac:dyDescent="0.35">
      <c r="V598">
        <f>IF(AND(SUM(IF('Consulta de contratos'!$K$1="",0,1),IF('Consulta de contratos'!$K$2="",0,1),IF('Consulta de contratos'!$K$3="",0,1),IF('Consulta de contratos'!$K$4="",0,1),IF('Consulta de contratos'!$K$5="",0,1))&gt;0,OR('Consulta de contratos'!$K$1="",A598='Consulta de contratos'!$K$1),OR('Consulta de contratos'!$K$2="",I598='Consulta de contratos'!$K$2,AND(LEFT('Consulta de contratos'!$K$2,7)="Grupo: ",ISNUMBER(SEARCH("|"&amp;MID('Consulta de contratos'!$K$2,8,120)&amp;"|",AF598)))),OR('Consulta de contratos'!$K$3="",C598='Consulta de contratos'!$K$3),OR('Consulta de contratos'!$K$4="",D598='Consulta de contratos'!$K$4),OR('Consulta de contratos'!$K$5="",E598='Consulta de contratos'!$K$5)),1,0)</f>
        <v>0</v>
      </c>
      <c r="W598">
        <f>IF(V598=1,SUM($V$2:V598),0)</f>
        <v>0</v>
      </c>
    </row>
    <row r="599" spans="22:23" x14ac:dyDescent="0.35">
      <c r="V599">
        <f>IF(AND(SUM(IF('Consulta de contratos'!$K$1="",0,1),IF('Consulta de contratos'!$K$2="",0,1),IF('Consulta de contratos'!$K$3="",0,1),IF('Consulta de contratos'!$K$4="",0,1),IF('Consulta de contratos'!$K$5="",0,1))&gt;0,OR('Consulta de contratos'!$K$1="",A599='Consulta de contratos'!$K$1),OR('Consulta de contratos'!$K$2="",I599='Consulta de contratos'!$K$2,AND(LEFT('Consulta de contratos'!$K$2,7)="Grupo: ",ISNUMBER(SEARCH("|"&amp;MID('Consulta de contratos'!$K$2,8,120)&amp;"|",AF599)))),OR('Consulta de contratos'!$K$3="",C599='Consulta de contratos'!$K$3),OR('Consulta de contratos'!$K$4="",D599='Consulta de contratos'!$K$4),OR('Consulta de contratos'!$K$5="",E599='Consulta de contratos'!$K$5)),1,0)</f>
        <v>0</v>
      </c>
      <c r="W599">
        <f>IF(V599=1,SUM($V$2:V599),0)</f>
        <v>0</v>
      </c>
    </row>
    <row r="600" spans="22:23" x14ac:dyDescent="0.35">
      <c r="V600">
        <f>IF(AND(SUM(IF('Consulta de contratos'!$K$1="",0,1),IF('Consulta de contratos'!$K$2="",0,1),IF('Consulta de contratos'!$K$3="",0,1),IF('Consulta de contratos'!$K$4="",0,1),IF('Consulta de contratos'!$K$5="",0,1))&gt;0,OR('Consulta de contratos'!$K$1="",A600='Consulta de contratos'!$K$1),OR('Consulta de contratos'!$K$2="",I600='Consulta de contratos'!$K$2,AND(LEFT('Consulta de contratos'!$K$2,7)="Grupo: ",ISNUMBER(SEARCH("|"&amp;MID('Consulta de contratos'!$K$2,8,120)&amp;"|",AF600)))),OR('Consulta de contratos'!$K$3="",C600='Consulta de contratos'!$K$3),OR('Consulta de contratos'!$K$4="",D600='Consulta de contratos'!$K$4),OR('Consulta de contratos'!$K$5="",E600='Consulta de contratos'!$K$5)),1,0)</f>
        <v>0</v>
      </c>
      <c r="W600">
        <f>IF(V600=1,SUM($V$2:V600),0)</f>
        <v>0</v>
      </c>
    </row>
    <row r="601" spans="22:23" x14ac:dyDescent="0.35">
      <c r="V601">
        <f>IF(AND(SUM(IF('Consulta de contratos'!$K$1="",0,1),IF('Consulta de contratos'!$K$2="",0,1),IF('Consulta de contratos'!$K$3="",0,1),IF('Consulta de contratos'!$K$4="",0,1),IF('Consulta de contratos'!$K$5="",0,1))&gt;0,OR('Consulta de contratos'!$K$1="",A601='Consulta de contratos'!$K$1),OR('Consulta de contratos'!$K$2="",I601='Consulta de contratos'!$K$2,AND(LEFT('Consulta de contratos'!$K$2,7)="Grupo: ",ISNUMBER(SEARCH("|"&amp;MID('Consulta de contratos'!$K$2,8,120)&amp;"|",AF601)))),OR('Consulta de contratos'!$K$3="",C601='Consulta de contratos'!$K$3),OR('Consulta de contratos'!$K$4="",D601='Consulta de contratos'!$K$4),OR('Consulta de contratos'!$K$5="",E601='Consulta de contratos'!$K$5)),1,0)</f>
        <v>0</v>
      </c>
      <c r="W601">
        <f>IF(V601=1,SUM($V$2:V601),0)</f>
        <v>0</v>
      </c>
    </row>
    <row r="602" spans="22:23" x14ac:dyDescent="0.35">
      <c r="V602">
        <f>IF(AND(SUM(IF('Consulta de contratos'!$K$1="",0,1),IF('Consulta de contratos'!$K$2="",0,1),IF('Consulta de contratos'!$K$3="",0,1),IF('Consulta de contratos'!$K$4="",0,1),IF('Consulta de contratos'!$K$5="",0,1))&gt;0,OR('Consulta de contratos'!$K$1="",A602='Consulta de contratos'!$K$1),OR('Consulta de contratos'!$K$2="",I602='Consulta de contratos'!$K$2,AND(LEFT('Consulta de contratos'!$K$2,7)="Grupo: ",ISNUMBER(SEARCH("|"&amp;MID('Consulta de contratos'!$K$2,8,120)&amp;"|",AF602)))),OR('Consulta de contratos'!$K$3="",C602='Consulta de contratos'!$K$3),OR('Consulta de contratos'!$K$4="",D602='Consulta de contratos'!$K$4),OR('Consulta de contratos'!$K$5="",E602='Consulta de contratos'!$K$5)),1,0)</f>
        <v>0</v>
      </c>
      <c r="W602">
        <f>IF(V602=1,SUM($V$2:V602),0)</f>
        <v>0</v>
      </c>
    </row>
    <row r="603" spans="22:23" x14ac:dyDescent="0.35">
      <c r="V603">
        <f>IF(AND(SUM(IF('Consulta de contratos'!$K$1="",0,1),IF('Consulta de contratos'!$K$2="",0,1),IF('Consulta de contratos'!$K$3="",0,1),IF('Consulta de contratos'!$K$4="",0,1),IF('Consulta de contratos'!$K$5="",0,1))&gt;0,OR('Consulta de contratos'!$K$1="",A603='Consulta de contratos'!$K$1),OR('Consulta de contratos'!$K$2="",I603='Consulta de contratos'!$K$2,AND(LEFT('Consulta de contratos'!$K$2,7)="Grupo: ",ISNUMBER(SEARCH("|"&amp;MID('Consulta de contratos'!$K$2,8,120)&amp;"|",AF603)))),OR('Consulta de contratos'!$K$3="",C603='Consulta de contratos'!$K$3),OR('Consulta de contratos'!$K$4="",D603='Consulta de contratos'!$K$4),OR('Consulta de contratos'!$K$5="",E603='Consulta de contratos'!$K$5)),1,0)</f>
        <v>0</v>
      </c>
      <c r="W603">
        <f>IF(V603=1,SUM($V$2:V603),0)</f>
        <v>0</v>
      </c>
    </row>
    <row r="604" spans="22:23" x14ac:dyDescent="0.35">
      <c r="V604">
        <f>IF(AND(SUM(IF('Consulta de contratos'!$K$1="",0,1),IF('Consulta de contratos'!$K$2="",0,1),IF('Consulta de contratos'!$K$3="",0,1),IF('Consulta de contratos'!$K$4="",0,1),IF('Consulta de contratos'!$K$5="",0,1))&gt;0,OR('Consulta de contratos'!$K$1="",A604='Consulta de contratos'!$K$1),OR('Consulta de contratos'!$K$2="",I604='Consulta de contratos'!$K$2,AND(LEFT('Consulta de contratos'!$K$2,7)="Grupo: ",ISNUMBER(SEARCH("|"&amp;MID('Consulta de contratos'!$K$2,8,120)&amp;"|",AF604)))),OR('Consulta de contratos'!$K$3="",C604='Consulta de contratos'!$K$3),OR('Consulta de contratos'!$K$4="",D604='Consulta de contratos'!$K$4),OR('Consulta de contratos'!$K$5="",E604='Consulta de contratos'!$K$5)),1,0)</f>
        <v>0</v>
      </c>
      <c r="W604">
        <f>IF(V604=1,SUM($V$2:V604),0)</f>
        <v>0</v>
      </c>
    </row>
    <row r="605" spans="22:23" x14ac:dyDescent="0.35">
      <c r="V605">
        <f>IF(AND(SUM(IF('Consulta de contratos'!$K$1="",0,1),IF('Consulta de contratos'!$K$2="",0,1),IF('Consulta de contratos'!$K$3="",0,1),IF('Consulta de contratos'!$K$4="",0,1),IF('Consulta de contratos'!$K$5="",0,1))&gt;0,OR('Consulta de contratos'!$K$1="",A605='Consulta de contratos'!$K$1),OR('Consulta de contratos'!$K$2="",I605='Consulta de contratos'!$K$2,AND(LEFT('Consulta de contratos'!$K$2,7)="Grupo: ",ISNUMBER(SEARCH("|"&amp;MID('Consulta de contratos'!$K$2,8,120)&amp;"|",AF605)))),OR('Consulta de contratos'!$K$3="",C605='Consulta de contratos'!$K$3),OR('Consulta de contratos'!$K$4="",D605='Consulta de contratos'!$K$4),OR('Consulta de contratos'!$K$5="",E605='Consulta de contratos'!$K$5)),1,0)</f>
        <v>0</v>
      </c>
      <c r="W605">
        <f>IF(V605=1,SUM($V$2:V605),0)</f>
        <v>0</v>
      </c>
    </row>
    <row r="606" spans="22:23" x14ac:dyDescent="0.35">
      <c r="V606">
        <f>IF(AND(SUM(IF('Consulta de contratos'!$K$1="",0,1),IF('Consulta de contratos'!$K$2="",0,1),IF('Consulta de contratos'!$K$3="",0,1),IF('Consulta de contratos'!$K$4="",0,1),IF('Consulta de contratos'!$K$5="",0,1))&gt;0,OR('Consulta de contratos'!$K$1="",A606='Consulta de contratos'!$K$1),OR('Consulta de contratos'!$K$2="",I606='Consulta de contratos'!$K$2,AND(LEFT('Consulta de contratos'!$K$2,7)="Grupo: ",ISNUMBER(SEARCH("|"&amp;MID('Consulta de contratos'!$K$2,8,120)&amp;"|",AF606)))),OR('Consulta de contratos'!$K$3="",C606='Consulta de contratos'!$K$3),OR('Consulta de contratos'!$K$4="",D606='Consulta de contratos'!$K$4),OR('Consulta de contratos'!$K$5="",E606='Consulta de contratos'!$K$5)),1,0)</f>
        <v>0</v>
      </c>
      <c r="W606">
        <f>IF(V606=1,SUM($V$2:V606),0)</f>
        <v>0</v>
      </c>
    </row>
    <row r="607" spans="22:23" x14ac:dyDescent="0.35">
      <c r="V607">
        <f>IF(AND(SUM(IF('Consulta de contratos'!$K$1="",0,1),IF('Consulta de contratos'!$K$2="",0,1),IF('Consulta de contratos'!$K$3="",0,1),IF('Consulta de contratos'!$K$4="",0,1),IF('Consulta de contratos'!$K$5="",0,1))&gt;0,OR('Consulta de contratos'!$K$1="",A607='Consulta de contratos'!$K$1),OR('Consulta de contratos'!$K$2="",I607='Consulta de contratos'!$K$2,AND(LEFT('Consulta de contratos'!$K$2,7)="Grupo: ",ISNUMBER(SEARCH("|"&amp;MID('Consulta de contratos'!$K$2,8,120)&amp;"|",AF607)))),OR('Consulta de contratos'!$K$3="",C607='Consulta de contratos'!$K$3),OR('Consulta de contratos'!$K$4="",D607='Consulta de contratos'!$K$4),OR('Consulta de contratos'!$K$5="",E607='Consulta de contratos'!$K$5)),1,0)</f>
        <v>0</v>
      </c>
      <c r="W607">
        <f>IF(V607=1,SUM($V$2:V607),0)</f>
        <v>0</v>
      </c>
    </row>
    <row r="608" spans="22:23" x14ac:dyDescent="0.35">
      <c r="V608">
        <f>IF(AND(SUM(IF('Consulta de contratos'!$K$1="",0,1),IF('Consulta de contratos'!$K$2="",0,1),IF('Consulta de contratos'!$K$3="",0,1),IF('Consulta de contratos'!$K$4="",0,1),IF('Consulta de contratos'!$K$5="",0,1))&gt;0,OR('Consulta de contratos'!$K$1="",A608='Consulta de contratos'!$K$1),OR('Consulta de contratos'!$K$2="",I608='Consulta de contratos'!$K$2,AND(LEFT('Consulta de contratos'!$K$2,7)="Grupo: ",ISNUMBER(SEARCH("|"&amp;MID('Consulta de contratos'!$K$2,8,120)&amp;"|",AF608)))),OR('Consulta de contratos'!$K$3="",C608='Consulta de contratos'!$K$3),OR('Consulta de contratos'!$K$4="",D608='Consulta de contratos'!$K$4),OR('Consulta de contratos'!$K$5="",E608='Consulta de contratos'!$K$5)),1,0)</f>
        <v>0</v>
      </c>
      <c r="W608">
        <f>IF(V608=1,SUM($V$2:V608),0)</f>
        <v>0</v>
      </c>
    </row>
    <row r="609" spans="22:23" x14ac:dyDescent="0.35">
      <c r="V609">
        <f>IF(AND(SUM(IF('Consulta de contratos'!$K$1="",0,1),IF('Consulta de contratos'!$K$2="",0,1),IF('Consulta de contratos'!$K$3="",0,1),IF('Consulta de contratos'!$K$4="",0,1),IF('Consulta de contratos'!$K$5="",0,1))&gt;0,OR('Consulta de contratos'!$K$1="",A609='Consulta de contratos'!$K$1),OR('Consulta de contratos'!$K$2="",I609='Consulta de contratos'!$K$2,AND(LEFT('Consulta de contratos'!$K$2,7)="Grupo: ",ISNUMBER(SEARCH("|"&amp;MID('Consulta de contratos'!$K$2,8,120)&amp;"|",AF609)))),OR('Consulta de contratos'!$K$3="",C609='Consulta de contratos'!$K$3),OR('Consulta de contratos'!$K$4="",D609='Consulta de contratos'!$K$4),OR('Consulta de contratos'!$K$5="",E609='Consulta de contratos'!$K$5)),1,0)</f>
        <v>0</v>
      </c>
      <c r="W609">
        <f>IF(V609=1,SUM($V$2:V609),0)</f>
        <v>0</v>
      </c>
    </row>
    <row r="610" spans="22:23" x14ac:dyDescent="0.35">
      <c r="V610">
        <f>IF(AND(SUM(IF('Consulta de contratos'!$K$1="",0,1),IF('Consulta de contratos'!$K$2="",0,1),IF('Consulta de contratos'!$K$3="",0,1),IF('Consulta de contratos'!$K$4="",0,1),IF('Consulta de contratos'!$K$5="",0,1))&gt;0,OR('Consulta de contratos'!$K$1="",A610='Consulta de contratos'!$K$1),OR('Consulta de contratos'!$K$2="",I610='Consulta de contratos'!$K$2,AND(LEFT('Consulta de contratos'!$K$2,7)="Grupo: ",ISNUMBER(SEARCH("|"&amp;MID('Consulta de contratos'!$K$2,8,120)&amp;"|",AF610)))),OR('Consulta de contratos'!$K$3="",C610='Consulta de contratos'!$K$3),OR('Consulta de contratos'!$K$4="",D610='Consulta de contratos'!$K$4),OR('Consulta de contratos'!$K$5="",E610='Consulta de contratos'!$K$5)),1,0)</f>
        <v>0</v>
      </c>
      <c r="W610">
        <f>IF(V610=1,SUM($V$2:V610),0)</f>
        <v>0</v>
      </c>
    </row>
    <row r="611" spans="22:23" x14ac:dyDescent="0.35">
      <c r="V611">
        <f>IF(AND(SUM(IF('Consulta de contratos'!$K$1="",0,1),IF('Consulta de contratos'!$K$2="",0,1),IF('Consulta de contratos'!$K$3="",0,1),IF('Consulta de contratos'!$K$4="",0,1),IF('Consulta de contratos'!$K$5="",0,1))&gt;0,OR('Consulta de contratos'!$K$1="",A611='Consulta de contratos'!$K$1),OR('Consulta de contratos'!$K$2="",I611='Consulta de contratos'!$K$2,AND(LEFT('Consulta de contratos'!$K$2,7)="Grupo: ",ISNUMBER(SEARCH("|"&amp;MID('Consulta de contratos'!$K$2,8,120)&amp;"|",AF611)))),OR('Consulta de contratos'!$K$3="",C611='Consulta de contratos'!$K$3),OR('Consulta de contratos'!$K$4="",D611='Consulta de contratos'!$K$4),OR('Consulta de contratos'!$K$5="",E611='Consulta de contratos'!$K$5)),1,0)</f>
        <v>0</v>
      </c>
      <c r="W611">
        <f>IF(V611=1,SUM($V$2:V611),0)</f>
        <v>0</v>
      </c>
    </row>
    <row r="612" spans="22:23" x14ac:dyDescent="0.35">
      <c r="V612">
        <f>IF(AND(SUM(IF('Consulta de contratos'!$K$1="",0,1),IF('Consulta de contratos'!$K$2="",0,1),IF('Consulta de contratos'!$K$3="",0,1),IF('Consulta de contratos'!$K$4="",0,1),IF('Consulta de contratos'!$K$5="",0,1))&gt;0,OR('Consulta de contratos'!$K$1="",A612='Consulta de contratos'!$K$1),OR('Consulta de contratos'!$K$2="",I612='Consulta de contratos'!$K$2,AND(LEFT('Consulta de contratos'!$K$2,7)="Grupo: ",ISNUMBER(SEARCH("|"&amp;MID('Consulta de contratos'!$K$2,8,120)&amp;"|",AF612)))),OR('Consulta de contratos'!$K$3="",C612='Consulta de contratos'!$K$3),OR('Consulta de contratos'!$K$4="",D612='Consulta de contratos'!$K$4),OR('Consulta de contratos'!$K$5="",E612='Consulta de contratos'!$K$5)),1,0)</f>
        <v>0</v>
      </c>
      <c r="W612">
        <f>IF(V612=1,SUM($V$2:V612),0)</f>
        <v>0</v>
      </c>
    </row>
    <row r="613" spans="22:23" x14ac:dyDescent="0.35">
      <c r="V613">
        <f>IF(AND(SUM(IF('Consulta de contratos'!$K$1="",0,1),IF('Consulta de contratos'!$K$2="",0,1),IF('Consulta de contratos'!$K$3="",0,1),IF('Consulta de contratos'!$K$4="",0,1),IF('Consulta de contratos'!$K$5="",0,1))&gt;0,OR('Consulta de contratos'!$K$1="",A613='Consulta de contratos'!$K$1),OR('Consulta de contratos'!$K$2="",I613='Consulta de contratos'!$K$2,AND(LEFT('Consulta de contratos'!$K$2,7)="Grupo: ",ISNUMBER(SEARCH("|"&amp;MID('Consulta de contratos'!$K$2,8,120)&amp;"|",AF613)))),OR('Consulta de contratos'!$K$3="",C613='Consulta de contratos'!$K$3),OR('Consulta de contratos'!$K$4="",D613='Consulta de contratos'!$K$4),OR('Consulta de contratos'!$K$5="",E613='Consulta de contratos'!$K$5)),1,0)</f>
        <v>0</v>
      </c>
      <c r="W613">
        <f>IF(V613=1,SUM($V$2:V613),0)</f>
        <v>0</v>
      </c>
    </row>
    <row r="614" spans="22:23" x14ac:dyDescent="0.35">
      <c r="V614">
        <f>IF(AND(SUM(IF('Consulta de contratos'!$K$1="",0,1),IF('Consulta de contratos'!$K$2="",0,1),IF('Consulta de contratos'!$K$3="",0,1),IF('Consulta de contratos'!$K$4="",0,1),IF('Consulta de contratos'!$K$5="",0,1))&gt;0,OR('Consulta de contratos'!$K$1="",A614='Consulta de contratos'!$K$1),OR('Consulta de contratos'!$K$2="",I614='Consulta de contratos'!$K$2,AND(LEFT('Consulta de contratos'!$K$2,7)="Grupo: ",ISNUMBER(SEARCH("|"&amp;MID('Consulta de contratos'!$K$2,8,120)&amp;"|",AF614)))),OR('Consulta de contratos'!$K$3="",C614='Consulta de contratos'!$K$3),OR('Consulta de contratos'!$K$4="",D614='Consulta de contratos'!$K$4),OR('Consulta de contratos'!$K$5="",E614='Consulta de contratos'!$K$5)),1,0)</f>
        <v>0</v>
      </c>
      <c r="W614">
        <f>IF(V614=1,SUM($V$2:V614),0)</f>
        <v>0</v>
      </c>
    </row>
    <row r="615" spans="22:23" x14ac:dyDescent="0.35">
      <c r="V615">
        <f>IF(AND(SUM(IF('Consulta de contratos'!$K$1="",0,1),IF('Consulta de contratos'!$K$2="",0,1),IF('Consulta de contratos'!$K$3="",0,1),IF('Consulta de contratos'!$K$4="",0,1),IF('Consulta de contratos'!$K$5="",0,1))&gt;0,OR('Consulta de contratos'!$K$1="",A615='Consulta de contratos'!$K$1),OR('Consulta de contratos'!$K$2="",I615='Consulta de contratos'!$K$2,AND(LEFT('Consulta de contratos'!$K$2,7)="Grupo: ",ISNUMBER(SEARCH("|"&amp;MID('Consulta de contratos'!$K$2,8,120)&amp;"|",AF615)))),OR('Consulta de contratos'!$K$3="",C615='Consulta de contratos'!$K$3),OR('Consulta de contratos'!$K$4="",D615='Consulta de contratos'!$K$4),OR('Consulta de contratos'!$K$5="",E615='Consulta de contratos'!$K$5)),1,0)</f>
        <v>0</v>
      </c>
      <c r="W615">
        <f>IF(V615=1,SUM($V$2:V615),0)</f>
        <v>0</v>
      </c>
    </row>
    <row r="616" spans="22:23" x14ac:dyDescent="0.35">
      <c r="V616">
        <f>IF(AND(SUM(IF('Consulta de contratos'!$K$1="",0,1),IF('Consulta de contratos'!$K$2="",0,1),IF('Consulta de contratos'!$K$3="",0,1),IF('Consulta de contratos'!$K$4="",0,1),IF('Consulta de contratos'!$K$5="",0,1))&gt;0,OR('Consulta de contratos'!$K$1="",A616='Consulta de contratos'!$K$1),OR('Consulta de contratos'!$K$2="",I616='Consulta de contratos'!$K$2,AND(LEFT('Consulta de contratos'!$K$2,7)="Grupo: ",ISNUMBER(SEARCH("|"&amp;MID('Consulta de contratos'!$K$2,8,120)&amp;"|",AF616)))),OR('Consulta de contratos'!$K$3="",C616='Consulta de contratos'!$K$3),OR('Consulta de contratos'!$K$4="",D616='Consulta de contratos'!$K$4),OR('Consulta de contratos'!$K$5="",E616='Consulta de contratos'!$K$5)),1,0)</f>
        <v>0</v>
      </c>
      <c r="W616">
        <f>IF(V616=1,SUM($V$2:V616),0)</f>
        <v>0</v>
      </c>
    </row>
    <row r="617" spans="22:23" x14ac:dyDescent="0.35">
      <c r="V617">
        <f>IF(AND(SUM(IF('Consulta de contratos'!$K$1="",0,1),IF('Consulta de contratos'!$K$2="",0,1),IF('Consulta de contratos'!$K$3="",0,1),IF('Consulta de contratos'!$K$4="",0,1),IF('Consulta de contratos'!$K$5="",0,1))&gt;0,OR('Consulta de contratos'!$K$1="",A617='Consulta de contratos'!$K$1),OR('Consulta de contratos'!$K$2="",I617='Consulta de contratos'!$K$2,AND(LEFT('Consulta de contratos'!$K$2,7)="Grupo: ",ISNUMBER(SEARCH("|"&amp;MID('Consulta de contratos'!$K$2,8,120)&amp;"|",AF617)))),OR('Consulta de contratos'!$K$3="",C617='Consulta de contratos'!$K$3),OR('Consulta de contratos'!$K$4="",D617='Consulta de contratos'!$K$4),OR('Consulta de contratos'!$K$5="",E617='Consulta de contratos'!$K$5)),1,0)</f>
        <v>0</v>
      </c>
      <c r="W617">
        <f>IF(V617=1,SUM($V$2:V617),0)</f>
        <v>0</v>
      </c>
    </row>
    <row r="618" spans="22:23" x14ac:dyDescent="0.35">
      <c r="V618">
        <f>IF(AND(SUM(IF('Consulta de contratos'!$K$1="",0,1),IF('Consulta de contratos'!$K$2="",0,1),IF('Consulta de contratos'!$K$3="",0,1),IF('Consulta de contratos'!$K$4="",0,1),IF('Consulta de contratos'!$K$5="",0,1))&gt;0,OR('Consulta de contratos'!$K$1="",A618='Consulta de contratos'!$K$1),OR('Consulta de contratos'!$K$2="",I618='Consulta de contratos'!$K$2,AND(LEFT('Consulta de contratos'!$K$2,7)="Grupo: ",ISNUMBER(SEARCH("|"&amp;MID('Consulta de contratos'!$K$2,8,120)&amp;"|",AF618)))),OR('Consulta de contratos'!$K$3="",C618='Consulta de contratos'!$K$3),OR('Consulta de contratos'!$K$4="",D618='Consulta de contratos'!$K$4),OR('Consulta de contratos'!$K$5="",E618='Consulta de contratos'!$K$5)),1,0)</f>
        <v>0</v>
      </c>
      <c r="W618">
        <f>IF(V618=1,SUM($V$2:V618),0)</f>
        <v>0</v>
      </c>
    </row>
    <row r="619" spans="22:23" x14ac:dyDescent="0.35">
      <c r="V619">
        <f>IF(AND(SUM(IF('Consulta de contratos'!$K$1="",0,1),IF('Consulta de contratos'!$K$2="",0,1),IF('Consulta de contratos'!$K$3="",0,1),IF('Consulta de contratos'!$K$4="",0,1),IF('Consulta de contratos'!$K$5="",0,1))&gt;0,OR('Consulta de contratos'!$K$1="",A619='Consulta de contratos'!$K$1),OR('Consulta de contratos'!$K$2="",I619='Consulta de contratos'!$K$2,AND(LEFT('Consulta de contratos'!$K$2,7)="Grupo: ",ISNUMBER(SEARCH("|"&amp;MID('Consulta de contratos'!$K$2,8,120)&amp;"|",AF619)))),OR('Consulta de contratos'!$K$3="",C619='Consulta de contratos'!$K$3),OR('Consulta de contratos'!$K$4="",D619='Consulta de contratos'!$K$4),OR('Consulta de contratos'!$K$5="",E619='Consulta de contratos'!$K$5)),1,0)</f>
        <v>0</v>
      </c>
      <c r="W619">
        <f>IF(V619=1,SUM($V$2:V619),0)</f>
        <v>0</v>
      </c>
    </row>
    <row r="620" spans="22:23" x14ac:dyDescent="0.35">
      <c r="V620">
        <f>IF(AND(SUM(IF('Consulta de contratos'!$K$1="",0,1),IF('Consulta de contratos'!$K$2="",0,1),IF('Consulta de contratos'!$K$3="",0,1),IF('Consulta de contratos'!$K$4="",0,1),IF('Consulta de contratos'!$K$5="",0,1))&gt;0,OR('Consulta de contratos'!$K$1="",A620='Consulta de contratos'!$K$1),OR('Consulta de contratos'!$K$2="",I620='Consulta de contratos'!$K$2,AND(LEFT('Consulta de contratos'!$K$2,7)="Grupo: ",ISNUMBER(SEARCH("|"&amp;MID('Consulta de contratos'!$K$2,8,120)&amp;"|",AF620)))),OR('Consulta de contratos'!$K$3="",C620='Consulta de contratos'!$K$3),OR('Consulta de contratos'!$K$4="",D620='Consulta de contratos'!$K$4),OR('Consulta de contratos'!$K$5="",E620='Consulta de contratos'!$K$5)),1,0)</f>
        <v>0</v>
      </c>
      <c r="W620">
        <f>IF(V620=1,SUM($V$2:V620),0)</f>
        <v>0</v>
      </c>
    </row>
    <row r="621" spans="22:23" x14ac:dyDescent="0.35">
      <c r="V621">
        <f>IF(AND(SUM(IF('Consulta de contratos'!$K$1="",0,1),IF('Consulta de contratos'!$K$2="",0,1),IF('Consulta de contratos'!$K$3="",0,1),IF('Consulta de contratos'!$K$4="",0,1),IF('Consulta de contratos'!$K$5="",0,1))&gt;0,OR('Consulta de contratos'!$K$1="",A621='Consulta de contratos'!$K$1),OR('Consulta de contratos'!$K$2="",I621='Consulta de contratos'!$K$2,AND(LEFT('Consulta de contratos'!$K$2,7)="Grupo: ",ISNUMBER(SEARCH("|"&amp;MID('Consulta de contratos'!$K$2,8,120)&amp;"|",AF621)))),OR('Consulta de contratos'!$K$3="",C621='Consulta de contratos'!$K$3),OR('Consulta de contratos'!$K$4="",D621='Consulta de contratos'!$K$4),OR('Consulta de contratos'!$K$5="",E621='Consulta de contratos'!$K$5)),1,0)</f>
        <v>0</v>
      </c>
      <c r="W621">
        <f>IF(V621=1,SUM($V$2:V621),0)</f>
        <v>0</v>
      </c>
    </row>
    <row r="622" spans="22:23" x14ac:dyDescent="0.35">
      <c r="V622">
        <f>IF(AND(SUM(IF('Consulta de contratos'!$K$1="",0,1),IF('Consulta de contratos'!$K$2="",0,1),IF('Consulta de contratos'!$K$3="",0,1),IF('Consulta de contratos'!$K$4="",0,1),IF('Consulta de contratos'!$K$5="",0,1))&gt;0,OR('Consulta de contratos'!$K$1="",A622='Consulta de contratos'!$K$1),OR('Consulta de contratos'!$K$2="",I622='Consulta de contratos'!$K$2,AND(LEFT('Consulta de contratos'!$K$2,7)="Grupo: ",ISNUMBER(SEARCH("|"&amp;MID('Consulta de contratos'!$K$2,8,120)&amp;"|",AF622)))),OR('Consulta de contratos'!$K$3="",C622='Consulta de contratos'!$K$3),OR('Consulta de contratos'!$K$4="",D622='Consulta de contratos'!$K$4),OR('Consulta de contratos'!$K$5="",E622='Consulta de contratos'!$K$5)),1,0)</f>
        <v>0</v>
      </c>
      <c r="W622">
        <f>IF(V622=1,SUM($V$2:V622),0)</f>
        <v>0</v>
      </c>
    </row>
    <row r="623" spans="22:23" x14ac:dyDescent="0.35">
      <c r="V623">
        <f>IF(AND(SUM(IF('Consulta de contratos'!$K$1="",0,1),IF('Consulta de contratos'!$K$2="",0,1),IF('Consulta de contratos'!$K$3="",0,1),IF('Consulta de contratos'!$K$4="",0,1),IF('Consulta de contratos'!$K$5="",0,1))&gt;0,OR('Consulta de contratos'!$K$1="",A623='Consulta de contratos'!$K$1),OR('Consulta de contratos'!$K$2="",I623='Consulta de contratos'!$K$2,AND(LEFT('Consulta de contratos'!$K$2,7)="Grupo: ",ISNUMBER(SEARCH("|"&amp;MID('Consulta de contratos'!$K$2,8,120)&amp;"|",AF623)))),OR('Consulta de contratos'!$K$3="",C623='Consulta de contratos'!$K$3),OR('Consulta de contratos'!$K$4="",D623='Consulta de contratos'!$K$4),OR('Consulta de contratos'!$K$5="",E623='Consulta de contratos'!$K$5)),1,0)</f>
        <v>0</v>
      </c>
      <c r="W623">
        <f>IF(V623=1,SUM($V$2:V623),0)</f>
        <v>0</v>
      </c>
    </row>
    <row r="624" spans="22:23" x14ac:dyDescent="0.35">
      <c r="V624">
        <f>IF(AND(SUM(IF('Consulta de contratos'!$K$1="",0,1),IF('Consulta de contratos'!$K$2="",0,1),IF('Consulta de contratos'!$K$3="",0,1),IF('Consulta de contratos'!$K$4="",0,1),IF('Consulta de contratos'!$K$5="",0,1))&gt;0,OR('Consulta de contratos'!$K$1="",A624='Consulta de contratos'!$K$1),OR('Consulta de contratos'!$K$2="",I624='Consulta de contratos'!$K$2,AND(LEFT('Consulta de contratos'!$K$2,7)="Grupo: ",ISNUMBER(SEARCH("|"&amp;MID('Consulta de contratos'!$K$2,8,120)&amp;"|",AF624)))),OR('Consulta de contratos'!$K$3="",C624='Consulta de contratos'!$K$3),OR('Consulta de contratos'!$K$4="",D624='Consulta de contratos'!$K$4),OR('Consulta de contratos'!$K$5="",E624='Consulta de contratos'!$K$5)),1,0)</f>
        <v>0</v>
      </c>
      <c r="W624">
        <f>IF(V624=1,SUM($V$2:V624),0)</f>
        <v>0</v>
      </c>
    </row>
    <row r="625" spans="22:23" x14ac:dyDescent="0.35">
      <c r="V625">
        <f>IF(AND(SUM(IF('Consulta de contratos'!$K$1="",0,1),IF('Consulta de contratos'!$K$2="",0,1),IF('Consulta de contratos'!$K$3="",0,1),IF('Consulta de contratos'!$K$4="",0,1),IF('Consulta de contratos'!$K$5="",0,1))&gt;0,OR('Consulta de contratos'!$K$1="",A625='Consulta de contratos'!$K$1),OR('Consulta de contratos'!$K$2="",I625='Consulta de contratos'!$K$2,AND(LEFT('Consulta de contratos'!$K$2,7)="Grupo: ",ISNUMBER(SEARCH("|"&amp;MID('Consulta de contratos'!$K$2,8,120)&amp;"|",AF625)))),OR('Consulta de contratos'!$K$3="",C625='Consulta de contratos'!$K$3),OR('Consulta de contratos'!$K$4="",D625='Consulta de contratos'!$K$4),OR('Consulta de contratos'!$K$5="",E625='Consulta de contratos'!$K$5)),1,0)</f>
        <v>0</v>
      </c>
      <c r="W625">
        <f>IF(V625=1,SUM($V$2:V625),0)</f>
        <v>0</v>
      </c>
    </row>
    <row r="626" spans="22:23" x14ac:dyDescent="0.35">
      <c r="V626">
        <f>IF(AND(SUM(IF('Consulta de contratos'!$K$1="",0,1),IF('Consulta de contratos'!$K$2="",0,1),IF('Consulta de contratos'!$K$3="",0,1),IF('Consulta de contratos'!$K$4="",0,1),IF('Consulta de contratos'!$K$5="",0,1))&gt;0,OR('Consulta de contratos'!$K$1="",A626='Consulta de contratos'!$K$1),OR('Consulta de contratos'!$K$2="",I626='Consulta de contratos'!$K$2,AND(LEFT('Consulta de contratos'!$K$2,7)="Grupo: ",ISNUMBER(SEARCH("|"&amp;MID('Consulta de contratos'!$K$2,8,120)&amp;"|",AF626)))),OR('Consulta de contratos'!$K$3="",C626='Consulta de contratos'!$K$3),OR('Consulta de contratos'!$K$4="",D626='Consulta de contratos'!$K$4),OR('Consulta de contratos'!$K$5="",E626='Consulta de contratos'!$K$5)),1,0)</f>
        <v>0</v>
      </c>
      <c r="W626">
        <f>IF(V626=1,SUM($V$2:V626),0)</f>
        <v>0</v>
      </c>
    </row>
    <row r="627" spans="22:23" x14ac:dyDescent="0.35">
      <c r="V627">
        <f>IF(AND(SUM(IF('Consulta de contratos'!$K$1="",0,1),IF('Consulta de contratos'!$K$2="",0,1),IF('Consulta de contratos'!$K$3="",0,1),IF('Consulta de contratos'!$K$4="",0,1),IF('Consulta de contratos'!$K$5="",0,1))&gt;0,OR('Consulta de contratos'!$K$1="",A627='Consulta de contratos'!$K$1),OR('Consulta de contratos'!$K$2="",I627='Consulta de contratos'!$K$2,AND(LEFT('Consulta de contratos'!$K$2,7)="Grupo: ",ISNUMBER(SEARCH("|"&amp;MID('Consulta de contratos'!$K$2,8,120)&amp;"|",AF627)))),OR('Consulta de contratos'!$K$3="",C627='Consulta de contratos'!$K$3),OR('Consulta de contratos'!$K$4="",D627='Consulta de contratos'!$K$4),OR('Consulta de contratos'!$K$5="",E627='Consulta de contratos'!$K$5)),1,0)</f>
        <v>0</v>
      </c>
      <c r="W627">
        <f>IF(V627=1,SUM($V$2:V627),0)</f>
        <v>0</v>
      </c>
    </row>
    <row r="628" spans="22:23" x14ac:dyDescent="0.35">
      <c r="V628">
        <f>IF(AND(SUM(IF('Consulta de contratos'!$K$1="",0,1),IF('Consulta de contratos'!$K$2="",0,1),IF('Consulta de contratos'!$K$3="",0,1),IF('Consulta de contratos'!$K$4="",0,1),IF('Consulta de contratos'!$K$5="",0,1))&gt;0,OR('Consulta de contratos'!$K$1="",A628='Consulta de contratos'!$K$1),OR('Consulta de contratos'!$K$2="",I628='Consulta de contratos'!$K$2,AND(LEFT('Consulta de contratos'!$K$2,7)="Grupo: ",ISNUMBER(SEARCH("|"&amp;MID('Consulta de contratos'!$K$2,8,120)&amp;"|",AF628)))),OR('Consulta de contratos'!$K$3="",C628='Consulta de contratos'!$K$3),OR('Consulta de contratos'!$K$4="",D628='Consulta de contratos'!$K$4),OR('Consulta de contratos'!$K$5="",E628='Consulta de contratos'!$K$5)),1,0)</f>
        <v>0</v>
      </c>
      <c r="W628">
        <f>IF(V628=1,SUM($V$2:V628),0)</f>
        <v>0</v>
      </c>
    </row>
    <row r="629" spans="22:23" x14ac:dyDescent="0.35">
      <c r="V629">
        <f>IF(AND(SUM(IF('Consulta de contratos'!$K$1="",0,1),IF('Consulta de contratos'!$K$2="",0,1),IF('Consulta de contratos'!$K$3="",0,1),IF('Consulta de contratos'!$K$4="",0,1),IF('Consulta de contratos'!$K$5="",0,1))&gt;0,OR('Consulta de contratos'!$K$1="",A629='Consulta de contratos'!$K$1),OR('Consulta de contratos'!$K$2="",I629='Consulta de contratos'!$K$2,AND(LEFT('Consulta de contratos'!$K$2,7)="Grupo: ",ISNUMBER(SEARCH("|"&amp;MID('Consulta de contratos'!$K$2,8,120)&amp;"|",AF629)))),OR('Consulta de contratos'!$K$3="",C629='Consulta de contratos'!$K$3),OR('Consulta de contratos'!$K$4="",D629='Consulta de contratos'!$K$4),OR('Consulta de contratos'!$K$5="",E629='Consulta de contratos'!$K$5)),1,0)</f>
        <v>0</v>
      </c>
      <c r="W629">
        <f>IF(V629=1,SUM($V$2:V629),0)</f>
        <v>0</v>
      </c>
    </row>
    <row r="630" spans="22:23" x14ac:dyDescent="0.35">
      <c r="V630">
        <f>IF(AND(SUM(IF('Consulta de contratos'!$K$1="",0,1),IF('Consulta de contratos'!$K$2="",0,1),IF('Consulta de contratos'!$K$3="",0,1),IF('Consulta de contratos'!$K$4="",0,1),IF('Consulta de contratos'!$K$5="",0,1))&gt;0,OR('Consulta de contratos'!$K$1="",A630='Consulta de contratos'!$K$1),OR('Consulta de contratos'!$K$2="",I630='Consulta de contratos'!$K$2,AND(LEFT('Consulta de contratos'!$K$2,7)="Grupo: ",ISNUMBER(SEARCH("|"&amp;MID('Consulta de contratos'!$K$2,8,120)&amp;"|",AF630)))),OR('Consulta de contratos'!$K$3="",C630='Consulta de contratos'!$K$3),OR('Consulta de contratos'!$K$4="",D630='Consulta de contratos'!$K$4),OR('Consulta de contratos'!$K$5="",E630='Consulta de contratos'!$K$5)),1,0)</f>
        <v>0</v>
      </c>
      <c r="W630">
        <f>IF(V630=1,SUM($V$2:V630),0)</f>
        <v>0</v>
      </c>
    </row>
    <row r="631" spans="22:23" x14ac:dyDescent="0.35">
      <c r="V631">
        <f>IF(AND(SUM(IF('Consulta de contratos'!$K$1="",0,1),IF('Consulta de contratos'!$K$2="",0,1),IF('Consulta de contratos'!$K$3="",0,1),IF('Consulta de contratos'!$K$4="",0,1),IF('Consulta de contratos'!$K$5="",0,1))&gt;0,OR('Consulta de contratos'!$K$1="",A631='Consulta de contratos'!$K$1),OR('Consulta de contratos'!$K$2="",I631='Consulta de contratos'!$K$2,AND(LEFT('Consulta de contratos'!$K$2,7)="Grupo: ",ISNUMBER(SEARCH("|"&amp;MID('Consulta de contratos'!$K$2,8,120)&amp;"|",AF631)))),OR('Consulta de contratos'!$K$3="",C631='Consulta de contratos'!$K$3),OR('Consulta de contratos'!$K$4="",D631='Consulta de contratos'!$K$4),OR('Consulta de contratos'!$K$5="",E631='Consulta de contratos'!$K$5)),1,0)</f>
        <v>0</v>
      </c>
      <c r="W631">
        <f>IF(V631=1,SUM($V$2:V631),0)</f>
        <v>0</v>
      </c>
    </row>
    <row r="632" spans="22:23" x14ac:dyDescent="0.35">
      <c r="V632">
        <f>IF(AND(SUM(IF('Consulta de contratos'!$K$1="",0,1),IF('Consulta de contratos'!$K$2="",0,1),IF('Consulta de contratos'!$K$3="",0,1),IF('Consulta de contratos'!$K$4="",0,1),IF('Consulta de contratos'!$K$5="",0,1))&gt;0,OR('Consulta de contratos'!$K$1="",A632='Consulta de contratos'!$K$1),OR('Consulta de contratos'!$K$2="",I632='Consulta de contratos'!$K$2,AND(LEFT('Consulta de contratos'!$K$2,7)="Grupo: ",ISNUMBER(SEARCH("|"&amp;MID('Consulta de contratos'!$K$2,8,120)&amp;"|",AF632)))),OR('Consulta de contratos'!$K$3="",C632='Consulta de contratos'!$K$3),OR('Consulta de contratos'!$K$4="",D632='Consulta de contratos'!$K$4),OR('Consulta de contratos'!$K$5="",E632='Consulta de contratos'!$K$5)),1,0)</f>
        <v>0</v>
      </c>
      <c r="W632">
        <f>IF(V632=1,SUM($V$2:V632),0)</f>
        <v>0</v>
      </c>
    </row>
    <row r="633" spans="22:23" x14ac:dyDescent="0.35">
      <c r="V633">
        <f>IF(AND(SUM(IF('Consulta de contratos'!$K$1="",0,1),IF('Consulta de contratos'!$K$2="",0,1),IF('Consulta de contratos'!$K$3="",0,1),IF('Consulta de contratos'!$K$4="",0,1),IF('Consulta de contratos'!$K$5="",0,1))&gt;0,OR('Consulta de contratos'!$K$1="",A633='Consulta de contratos'!$K$1),OR('Consulta de contratos'!$K$2="",I633='Consulta de contratos'!$K$2,AND(LEFT('Consulta de contratos'!$K$2,7)="Grupo: ",ISNUMBER(SEARCH("|"&amp;MID('Consulta de contratos'!$K$2,8,120)&amp;"|",AF633)))),OR('Consulta de contratos'!$K$3="",C633='Consulta de contratos'!$K$3),OR('Consulta de contratos'!$K$4="",D633='Consulta de contratos'!$K$4),OR('Consulta de contratos'!$K$5="",E633='Consulta de contratos'!$K$5)),1,0)</f>
        <v>0</v>
      </c>
      <c r="W633">
        <f>IF(V633=1,SUM($V$2:V633),0)</f>
        <v>0</v>
      </c>
    </row>
    <row r="634" spans="22:23" x14ac:dyDescent="0.35">
      <c r="V634">
        <f>IF(AND(SUM(IF('Consulta de contratos'!$K$1="",0,1),IF('Consulta de contratos'!$K$2="",0,1),IF('Consulta de contratos'!$K$3="",0,1),IF('Consulta de contratos'!$K$4="",0,1),IF('Consulta de contratos'!$K$5="",0,1))&gt;0,OR('Consulta de contratos'!$K$1="",A634='Consulta de contratos'!$K$1),OR('Consulta de contratos'!$K$2="",I634='Consulta de contratos'!$K$2,AND(LEFT('Consulta de contratos'!$K$2,7)="Grupo: ",ISNUMBER(SEARCH("|"&amp;MID('Consulta de contratos'!$K$2,8,120)&amp;"|",AF634)))),OR('Consulta de contratos'!$K$3="",C634='Consulta de contratos'!$K$3),OR('Consulta de contratos'!$K$4="",D634='Consulta de contratos'!$K$4),OR('Consulta de contratos'!$K$5="",E634='Consulta de contratos'!$K$5)),1,0)</f>
        <v>0</v>
      </c>
      <c r="W634">
        <f>IF(V634=1,SUM($V$2:V634),0)</f>
        <v>0</v>
      </c>
    </row>
    <row r="635" spans="22:23" x14ac:dyDescent="0.35">
      <c r="V635">
        <f>IF(AND(SUM(IF('Consulta de contratos'!$K$1="",0,1),IF('Consulta de contratos'!$K$2="",0,1),IF('Consulta de contratos'!$K$3="",0,1),IF('Consulta de contratos'!$K$4="",0,1),IF('Consulta de contratos'!$K$5="",0,1))&gt;0,OR('Consulta de contratos'!$K$1="",A635='Consulta de contratos'!$K$1),OR('Consulta de contratos'!$K$2="",I635='Consulta de contratos'!$K$2,AND(LEFT('Consulta de contratos'!$K$2,7)="Grupo: ",ISNUMBER(SEARCH("|"&amp;MID('Consulta de contratos'!$K$2,8,120)&amp;"|",AF635)))),OR('Consulta de contratos'!$K$3="",C635='Consulta de contratos'!$K$3),OR('Consulta de contratos'!$K$4="",D635='Consulta de contratos'!$K$4),OR('Consulta de contratos'!$K$5="",E635='Consulta de contratos'!$K$5)),1,0)</f>
        <v>0</v>
      </c>
      <c r="W635">
        <f>IF(V635=1,SUM($V$2:V635),0)</f>
        <v>0</v>
      </c>
    </row>
    <row r="636" spans="22:23" x14ac:dyDescent="0.35">
      <c r="V636">
        <f>IF(AND(SUM(IF('Consulta de contratos'!$K$1="",0,1),IF('Consulta de contratos'!$K$2="",0,1),IF('Consulta de contratos'!$K$3="",0,1),IF('Consulta de contratos'!$K$4="",0,1),IF('Consulta de contratos'!$K$5="",0,1))&gt;0,OR('Consulta de contratos'!$K$1="",A636='Consulta de contratos'!$K$1),OR('Consulta de contratos'!$K$2="",I636='Consulta de contratos'!$K$2,AND(LEFT('Consulta de contratos'!$K$2,7)="Grupo: ",ISNUMBER(SEARCH("|"&amp;MID('Consulta de contratos'!$K$2,8,120)&amp;"|",AF636)))),OR('Consulta de contratos'!$K$3="",C636='Consulta de contratos'!$K$3),OR('Consulta de contratos'!$K$4="",D636='Consulta de contratos'!$K$4),OR('Consulta de contratos'!$K$5="",E636='Consulta de contratos'!$K$5)),1,0)</f>
        <v>0</v>
      </c>
      <c r="W636">
        <f>IF(V636=1,SUM($V$2:V636),0)</f>
        <v>0</v>
      </c>
    </row>
    <row r="637" spans="22:23" x14ac:dyDescent="0.35">
      <c r="V637">
        <f>IF(AND(SUM(IF('Consulta de contratos'!$K$1="",0,1),IF('Consulta de contratos'!$K$2="",0,1),IF('Consulta de contratos'!$K$3="",0,1),IF('Consulta de contratos'!$K$4="",0,1),IF('Consulta de contratos'!$K$5="",0,1))&gt;0,OR('Consulta de contratos'!$K$1="",A637='Consulta de contratos'!$K$1),OR('Consulta de contratos'!$K$2="",I637='Consulta de contratos'!$K$2,AND(LEFT('Consulta de contratos'!$K$2,7)="Grupo: ",ISNUMBER(SEARCH("|"&amp;MID('Consulta de contratos'!$K$2,8,120)&amp;"|",AF637)))),OR('Consulta de contratos'!$K$3="",C637='Consulta de contratos'!$K$3),OR('Consulta de contratos'!$K$4="",D637='Consulta de contratos'!$K$4),OR('Consulta de contratos'!$K$5="",E637='Consulta de contratos'!$K$5)),1,0)</f>
        <v>0</v>
      </c>
      <c r="W637">
        <f>IF(V637=1,SUM($V$2:V637),0)</f>
        <v>0</v>
      </c>
    </row>
    <row r="638" spans="22:23" x14ac:dyDescent="0.35">
      <c r="V638">
        <f>IF(AND(SUM(IF('Consulta de contratos'!$K$1="",0,1),IF('Consulta de contratos'!$K$2="",0,1),IF('Consulta de contratos'!$K$3="",0,1),IF('Consulta de contratos'!$K$4="",0,1),IF('Consulta de contratos'!$K$5="",0,1))&gt;0,OR('Consulta de contratos'!$K$1="",A638='Consulta de contratos'!$K$1),OR('Consulta de contratos'!$K$2="",I638='Consulta de contratos'!$K$2,AND(LEFT('Consulta de contratos'!$K$2,7)="Grupo: ",ISNUMBER(SEARCH("|"&amp;MID('Consulta de contratos'!$K$2,8,120)&amp;"|",AF638)))),OR('Consulta de contratos'!$K$3="",C638='Consulta de contratos'!$K$3),OR('Consulta de contratos'!$K$4="",D638='Consulta de contratos'!$K$4),OR('Consulta de contratos'!$K$5="",E638='Consulta de contratos'!$K$5)),1,0)</f>
        <v>0</v>
      </c>
      <c r="W638">
        <f>IF(V638=1,SUM($V$2:V638),0)</f>
        <v>0</v>
      </c>
    </row>
    <row r="639" spans="22:23" x14ac:dyDescent="0.35">
      <c r="V639">
        <f>IF(AND(SUM(IF('Consulta de contratos'!$K$1="",0,1),IF('Consulta de contratos'!$K$2="",0,1),IF('Consulta de contratos'!$K$3="",0,1),IF('Consulta de contratos'!$K$4="",0,1),IF('Consulta de contratos'!$K$5="",0,1))&gt;0,OR('Consulta de contratos'!$K$1="",A639='Consulta de contratos'!$K$1),OR('Consulta de contratos'!$K$2="",I639='Consulta de contratos'!$K$2,AND(LEFT('Consulta de contratos'!$K$2,7)="Grupo: ",ISNUMBER(SEARCH("|"&amp;MID('Consulta de contratos'!$K$2,8,120)&amp;"|",AF639)))),OR('Consulta de contratos'!$K$3="",C639='Consulta de contratos'!$K$3),OR('Consulta de contratos'!$K$4="",D639='Consulta de contratos'!$K$4),OR('Consulta de contratos'!$K$5="",E639='Consulta de contratos'!$K$5)),1,0)</f>
        <v>0</v>
      </c>
      <c r="W639">
        <f>IF(V639=1,SUM($V$2:V639),0)</f>
        <v>0</v>
      </c>
    </row>
    <row r="640" spans="22:23" x14ac:dyDescent="0.35">
      <c r="V640">
        <f>IF(AND(SUM(IF('Consulta de contratos'!$K$1="",0,1),IF('Consulta de contratos'!$K$2="",0,1),IF('Consulta de contratos'!$K$3="",0,1),IF('Consulta de contratos'!$K$4="",0,1),IF('Consulta de contratos'!$K$5="",0,1))&gt;0,OR('Consulta de contratos'!$K$1="",A640='Consulta de contratos'!$K$1),OR('Consulta de contratos'!$K$2="",I640='Consulta de contratos'!$K$2,AND(LEFT('Consulta de contratos'!$K$2,7)="Grupo: ",ISNUMBER(SEARCH("|"&amp;MID('Consulta de contratos'!$K$2,8,120)&amp;"|",AF640)))),OR('Consulta de contratos'!$K$3="",C640='Consulta de contratos'!$K$3),OR('Consulta de contratos'!$K$4="",D640='Consulta de contratos'!$K$4),OR('Consulta de contratos'!$K$5="",E640='Consulta de contratos'!$K$5)),1,0)</f>
        <v>0</v>
      </c>
      <c r="W640">
        <f>IF(V640=1,SUM($V$2:V640),0)</f>
        <v>0</v>
      </c>
    </row>
    <row r="641" spans="22:23" x14ac:dyDescent="0.35">
      <c r="V641">
        <f>IF(AND(SUM(IF('Consulta de contratos'!$K$1="",0,1),IF('Consulta de contratos'!$K$2="",0,1),IF('Consulta de contratos'!$K$3="",0,1),IF('Consulta de contratos'!$K$4="",0,1),IF('Consulta de contratos'!$K$5="",0,1))&gt;0,OR('Consulta de contratos'!$K$1="",A641='Consulta de contratos'!$K$1),OR('Consulta de contratos'!$K$2="",I641='Consulta de contratos'!$K$2,AND(LEFT('Consulta de contratos'!$K$2,7)="Grupo: ",ISNUMBER(SEARCH("|"&amp;MID('Consulta de contratos'!$K$2,8,120)&amp;"|",AF641)))),OR('Consulta de contratos'!$K$3="",C641='Consulta de contratos'!$K$3),OR('Consulta de contratos'!$K$4="",D641='Consulta de contratos'!$K$4),OR('Consulta de contratos'!$K$5="",E641='Consulta de contratos'!$K$5)),1,0)</f>
        <v>0</v>
      </c>
      <c r="W641">
        <f>IF(V641=1,SUM($V$2:V641),0)</f>
        <v>0</v>
      </c>
    </row>
    <row r="642" spans="22:23" x14ac:dyDescent="0.35">
      <c r="V642">
        <f>IF(AND(SUM(IF('Consulta de contratos'!$K$1="",0,1),IF('Consulta de contratos'!$K$2="",0,1),IF('Consulta de contratos'!$K$3="",0,1),IF('Consulta de contratos'!$K$4="",0,1),IF('Consulta de contratos'!$K$5="",0,1))&gt;0,OR('Consulta de contratos'!$K$1="",A642='Consulta de contratos'!$K$1),OR('Consulta de contratos'!$K$2="",I642='Consulta de contratos'!$K$2,AND(LEFT('Consulta de contratos'!$K$2,7)="Grupo: ",ISNUMBER(SEARCH("|"&amp;MID('Consulta de contratos'!$K$2,8,120)&amp;"|",AF642)))),OR('Consulta de contratos'!$K$3="",C642='Consulta de contratos'!$K$3),OR('Consulta de contratos'!$K$4="",D642='Consulta de contratos'!$K$4),OR('Consulta de contratos'!$K$5="",E642='Consulta de contratos'!$K$5)),1,0)</f>
        <v>0</v>
      </c>
      <c r="W642">
        <f>IF(V642=1,SUM($V$2:V642),0)</f>
        <v>0</v>
      </c>
    </row>
    <row r="643" spans="22:23" x14ac:dyDescent="0.35">
      <c r="V643">
        <f>IF(AND(SUM(IF('Consulta de contratos'!$K$1="",0,1),IF('Consulta de contratos'!$K$2="",0,1),IF('Consulta de contratos'!$K$3="",0,1),IF('Consulta de contratos'!$K$4="",0,1),IF('Consulta de contratos'!$K$5="",0,1))&gt;0,OR('Consulta de contratos'!$K$1="",A643='Consulta de contratos'!$K$1),OR('Consulta de contratos'!$K$2="",I643='Consulta de contratos'!$K$2,AND(LEFT('Consulta de contratos'!$K$2,7)="Grupo: ",ISNUMBER(SEARCH("|"&amp;MID('Consulta de contratos'!$K$2,8,120)&amp;"|",AF643)))),OR('Consulta de contratos'!$K$3="",C643='Consulta de contratos'!$K$3),OR('Consulta de contratos'!$K$4="",D643='Consulta de contratos'!$K$4),OR('Consulta de contratos'!$K$5="",E643='Consulta de contratos'!$K$5)),1,0)</f>
        <v>0</v>
      </c>
      <c r="W643">
        <f>IF(V643=1,SUM($V$2:V643),0)</f>
        <v>0</v>
      </c>
    </row>
    <row r="644" spans="22:23" x14ac:dyDescent="0.35">
      <c r="V644">
        <f>IF(AND(SUM(IF('Consulta de contratos'!$K$1="",0,1),IF('Consulta de contratos'!$K$2="",0,1),IF('Consulta de contratos'!$K$3="",0,1),IF('Consulta de contratos'!$K$4="",0,1),IF('Consulta de contratos'!$K$5="",0,1))&gt;0,OR('Consulta de contratos'!$K$1="",A644='Consulta de contratos'!$K$1),OR('Consulta de contratos'!$K$2="",I644='Consulta de contratos'!$K$2,AND(LEFT('Consulta de contratos'!$K$2,7)="Grupo: ",ISNUMBER(SEARCH("|"&amp;MID('Consulta de contratos'!$K$2,8,120)&amp;"|",AF644)))),OR('Consulta de contratos'!$K$3="",C644='Consulta de contratos'!$K$3),OR('Consulta de contratos'!$K$4="",D644='Consulta de contratos'!$K$4),OR('Consulta de contratos'!$K$5="",E644='Consulta de contratos'!$K$5)),1,0)</f>
        <v>0</v>
      </c>
      <c r="W644">
        <f>IF(V644=1,SUM($V$2:V644),0)</f>
        <v>0</v>
      </c>
    </row>
    <row r="645" spans="22:23" x14ac:dyDescent="0.35">
      <c r="V645">
        <f>IF(AND(SUM(IF('Consulta de contratos'!$K$1="",0,1),IF('Consulta de contratos'!$K$2="",0,1),IF('Consulta de contratos'!$K$3="",0,1),IF('Consulta de contratos'!$K$4="",0,1),IF('Consulta de contratos'!$K$5="",0,1))&gt;0,OR('Consulta de contratos'!$K$1="",A645='Consulta de contratos'!$K$1),OR('Consulta de contratos'!$K$2="",I645='Consulta de contratos'!$K$2,AND(LEFT('Consulta de contratos'!$K$2,7)="Grupo: ",ISNUMBER(SEARCH("|"&amp;MID('Consulta de contratos'!$K$2,8,120)&amp;"|",AF645)))),OR('Consulta de contratos'!$K$3="",C645='Consulta de contratos'!$K$3),OR('Consulta de contratos'!$K$4="",D645='Consulta de contratos'!$K$4),OR('Consulta de contratos'!$K$5="",E645='Consulta de contratos'!$K$5)),1,0)</f>
        <v>0</v>
      </c>
      <c r="W645">
        <f>IF(V645=1,SUM($V$2:V645),0)</f>
        <v>0</v>
      </c>
    </row>
    <row r="646" spans="22:23" x14ac:dyDescent="0.35">
      <c r="V646">
        <f>IF(AND(SUM(IF('Consulta de contratos'!$K$1="",0,1),IF('Consulta de contratos'!$K$2="",0,1),IF('Consulta de contratos'!$K$3="",0,1),IF('Consulta de contratos'!$K$4="",0,1),IF('Consulta de contratos'!$K$5="",0,1))&gt;0,OR('Consulta de contratos'!$K$1="",A646='Consulta de contratos'!$K$1),OR('Consulta de contratos'!$K$2="",I646='Consulta de contratos'!$K$2,AND(LEFT('Consulta de contratos'!$K$2,7)="Grupo: ",ISNUMBER(SEARCH("|"&amp;MID('Consulta de contratos'!$K$2,8,120)&amp;"|",AF646)))),OR('Consulta de contratos'!$K$3="",C646='Consulta de contratos'!$K$3),OR('Consulta de contratos'!$K$4="",D646='Consulta de contratos'!$K$4),OR('Consulta de contratos'!$K$5="",E646='Consulta de contratos'!$K$5)),1,0)</f>
        <v>0</v>
      </c>
      <c r="W646">
        <f>IF(V646=1,SUM($V$2:V646),0)</f>
        <v>0</v>
      </c>
    </row>
    <row r="647" spans="22:23" x14ac:dyDescent="0.35">
      <c r="V647">
        <f>IF(AND(SUM(IF('Consulta de contratos'!$K$1="",0,1),IF('Consulta de contratos'!$K$2="",0,1),IF('Consulta de contratos'!$K$3="",0,1),IF('Consulta de contratos'!$K$4="",0,1),IF('Consulta de contratos'!$K$5="",0,1))&gt;0,OR('Consulta de contratos'!$K$1="",A647='Consulta de contratos'!$K$1),OR('Consulta de contratos'!$K$2="",I647='Consulta de contratos'!$K$2,AND(LEFT('Consulta de contratos'!$K$2,7)="Grupo: ",ISNUMBER(SEARCH("|"&amp;MID('Consulta de contratos'!$K$2,8,120)&amp;"|",AF647)))),OR('Consulta de contratos'!$K$3="",C647='Consulta de contratos'!$K$3),OR('Consulta de contratos'!$K$4="",D647='Consulta de contratos'!$K$4),OR('Consulta de contratos'!$K$5="",E647='Consulta de contratos'!$K$5)),1,0)</f>
        <v>0</v>
      </c>
      <c r="W647">
        <f>IF(V647=1,SUM($V$2:V647),0)</f>
        <v>0</v>
      </c>
    </row>
    <row r="648" spans="22:23" x14ac:dyDescent="0.35">
      <c r="V648">
        <f>IF(AND(SUM(IF('Consulta de contratos'!$K$1="",0,1),IF('Consulta de contratos'!$K$2="",0,1),IF('Consulta de contratos'!$K$3="",0,1),IF('Consulta de contratos'!$K$4="",0,1),IF('Consulta de contratos'!$K$5="",0,1))&gt;0,OR('Consulta de contratos'!$K$1="",A648='Consulta de contratos'!$K$1),OR('Consulta de contratos'!$K$2="",I648='Consulta de contratos'!$K$2,AND(LEFT('Consulta de contratos'!$K$2,7)="Grupo: ",ISNUMBER(SEARCH("|"&amp;MID('Consulta de contratos'!$K$2,8,120)&amp;"|",AF648)))),OR('Consulta de contratos'!$K$3="",C648='Consulta de contratos'!$K$3),OR('Consulta de contratos'!$K$4="",D648='Consulta de contratos'!$K$4),OR('Consulta de contratos'!$K$5="",E648='Consulta de contratos'!$K$5)),1,0)</f>
        <v>0</v>
      </c>
      <c r="W648">
        <f>IF(V648=1,SUM($V$2:V648),0)</f>
        <v>0</v>
      </c>
    </row>
    <row r="649" spans="22:23" x14ac:dyDescent="0.35">
      <c r="V649">
        <f>IF(AND(SUM(IF('Consulta de contratos'!$K$1="",0,1),IF('Consulta de contratos'!$K$2="",0,1),IF('Consulta de contratos'!$K$3="",0,1),IF('Consulta de contratos'!$K$4="",0,1),IF('Consulta de contratos'!$K$5="",0,1))&gt;0,OR('Consulta de contratos'!$K$1="",A649='Consulta de contratos'!$K$1),OR('Consulta de contratos'!$K$2="",I649='Consulta de contratos'!$K$2,AND(LEFT('Consulta de contratos'!$K$2,7)="Grupo: ",ISNUMBER(SEARCH("|"&amp;MID('Consulta de contratos'!$K$2,8,120)&amp;"|",AF649)))),OR('Consulta de contratos'!$K$3="",C649='Consulta de contratos'!$K$3),OR('Consulta de contratos'!$K$4="",D649='Consulta de contratos'!$K$4),OR('Consulta de contratos'!$K$5="",E649='Consulta de contratos'!$K$5)),1,0)</f>
        <v>0</v>
      </c>
      <c r="W649">
        <f>IF(V649=1,SUM($V$2:V649),0)</f>
        <v>0</v>
      </c>
    </row>
    <row r="650" spans="22:23" x14ac:dyDescent="0.35">
      <c r="V650">
        <f>IF(AND(SUM(IF('Consulta de contratos'!$K$1="",0,1),IF('Consulta de contratos'!$K$2="",0,1),IF('Consulta de contratos'!$K$3="",0,1),IF('Consulta de contratos'!$K$4="",0,1),IF('Consulta de contratos'!$K$5="",0,1))&gt;0,OR('Consulta de contratos'!$K$1="",A650='Consulta de contratos'!$K$1),OR('Consulta de contratos'!$K$2="",I650='Consulta de contratos'!$K$2,AND(LEFT('Consulta de contratos'!$K$2,7)="Grupo: ",ISNUMBER(SEARCH("|"&amp;MID('Consulta de contratos'!$K$2,8,120)&amp;"|",AF650)))),OR('Consulta de contratos'!$K$3="",C650='Consulta de contratos'!$K$3),OR('Consulta de contratos'!$K$4="",D650='Consulta de contratos'!$K$4),OR('Consulta de contratos'!$K$5="",E650='Consulta de contratos'!$K$5)),1,0)</f>
        <v>0</v>
      </c>
      <c r="W650">
        <f>IF(V650=1,SUM($V$2:V650),0)</f>
        <v>0</v>
      </c>
    </row>
    <row r="651" spans="22:23" x14ac:dyDescent="0.35">
      <c r="V651">
        <f>IF(AND(SUM(IF('Consulta de contratos'!$K$1="",0,1),IF('Consulta de contratos'!$K$2="",0,1),IF('Consulta de contratos'!$K$3="",0,1),IF('Consulta de contratos'!$K$4="",0,1),IF('Consulta de contratos'!$K$5="",0,1))&gt;0,OR('Consulta de contratos'!$K$1="",A651='Consulta de contratos'!$K$1),OR('Consulta de contratos'!$K$2="",I651='Consulta de contratos'!$K$2,AND(LEFT('Consulta de contratos'!$K$2,7)="Grupo: ",ISNUMBER(SEARCH("|"&amp;MID('Consulta de contratos'!$K$2,8,120)&amp;"|",AF651)))),OR('Consulta de contratos'!$K$3="",C651='Consulta de contratos'!$K$3),OR('Consulta de contratos'!$K$4="",D651='Consulta de contratos'!$K$4),OR('Consulta de contratos'!$K$5="",E651='Consulta de contratos'!$K$5)),1,0)</f>
        <v>0</v>
      </c>
      <c r="W651">
        <f>IF(V651=1,SUM($V$2:V651),0)</f>
        <v>0</v>
      </c>
    </row>
    <row r="652" spans="22:23" x14ac:dyDescent="0.35">
      <c r="V652">
        <f>IF(AND(SUM(IF('Consulta de contratos'!$K$1="",0,1),IF('Consulta de contratos'!$K$2="",0,1),IF('Consulta de contratos'!$K$3="",0,1),IF('Consulta de contratos'!$K$4="",0,1),IF('Consulta de contratos'!$K$5="",0,1))&gt;0,OR('Consulta de contratos'!$K$1="",A652='Consulta de contratos'!$K$1),OR('Consulta de contratos'!$K$2="",I652='Consulta de contratos'!$K$2,AND(LEFT('Consulta de contratos'!$K$2,7)="Grupo: ",ISNUMBER(SEARCH("|"&amp;MID('Consulta de contratos'!$K$2,8,120)&amp;"|",AF652)))),OR('Consulta de contratos'!$K$3="",C652='Consulta de contratos'!$K$3),OR('Consulta de contratos'!$K$4="",D652='Consulta de contratos'!$K$4),OR('Consulta de contratos'!$K$5="",E652='Consulta de contratos'!$K$5)),1,0)</f>
        <v>0</v>
      </c>
      <c r="W652">
        <f>IF(V652=1,SUM($V$2:V652),0)</f>
        <v>0</v>
      </c>
    </row>
    <row r="653" spans="22:23" x14ac:dyDescent="0.35">
      <c r="V653">
        <f>IF(AND(SUM(IF('Consulta de contratos'!$K$1="",0,1),IF('Consulta de contratos'!$K$2="",0,1),IF('Consulta de contratos'!$K$3="",0,1),IF('Consulta de contratos'!$K$4="",0,1),IF('Consulta de contratos'!$K$5="",0,1))&gt;0,OR('Consulta de contratos'!$K$1="",A653='Consulta de contratos'!$K$1),OR('Consulta de contratos'!$K$2="",I653='Consulta de contratos'!$K$2,AND(LEFT('Consulta de contratos'!$K$2,7)="Grupo: ",ISNUMBER(SEARCH("|"&amp;MID('Consulta de contratos'!$K$2,8,120)&amp;"|",AF653)))),OR('Consulta de contratos'!$K$3="",C653='Consulta de contratos'!$K$3),OR('Consulta de contratos'!$K$4="",D653='Consulta de contratos'!$K$4),OR('Consulta de contratos'!$K$5="",E653='Consulta de contratos'!$K$5)),1,0)</f>
        <v>0</v>
      </c>
      <c r="W653">
        <f>IF(V653=1,SUM($V$2:V653),0)</f>
        <v>0</v>
      </c>
    </row>
    <row r="654" spans="22:23" x14ac:dyDescent="0.35">
      <c r="V654">
        <f>IF(AND(SUM(IF('Consulta de contratos'!$K$1="",0,1),IF('Consulta de contratos'!$K$2="",0,1),IF('Consulta de contratos'!$K$3="",0,1),IF('Consulta de contratos'!$K$4="",0,1),IF('Consulta de contratos'!$K$5="",0,1))&gt;0,OR('Consulta de contratos'!$K$1="",A654='Consulta de contratos'!$K$1),OR('Consulta de contratos'!$K$2="",I654='Consulta de contratos'!$K$2,AND(LEFT('Consulta de contratos'!$K$2,7)="Grupo: ",ISNUMBER(SEARCH("|"&amp;MID('Consulta de contratos'!$K$2,8,120)&amp;"|",AF654)))),OR('Consulta de contratos'!$K$3="",C654='Consulta de contratos'!$K$3),OR('Consulta de contratos'!$K$4="",D654='Consulta de contratos'!$K$4),OR('Consulta de contratos'!$K$5="",E654='Consulta de contratos'!$K$5)),1,0)</f>
        <v>0</v>
      </c>
      <c r="W654">
        <f>IF(V654=1,SUM($V$2:V654),0)</f>
        <v>0</v>
      </c>
    </row>
    <row r="655" spans="22:23" x14ac:dyDescent="0.35">
      <c r="V655">
        <f>IF(AND(SUM(IF('Consulta de contratos'!$K$1="",0,1),IF('Consulta de contratos'!$K$2="",0,1),IF('Consulta de contratos'!$K$3="",0,1),IF('Consulta de contratos'!$K$4="",0,1),IF('Consulta de contratos'!$K$5="",0,1))&gt;0,OR('Consulta de contratos'!$K$1="",A655='Consulta de contratos'!$K$1),OR('Consulta de contratos'!$K$2="",I655='Consulta de contratos'!$K$2,AND(LEFT('Consulta de contratos'!$K$2,7)="Grupo: ",ISNUMBER(SEARCH("|"&amp;MID('Consulta de contratos'!$K$2,8,120)&amp;"|",AF655)))),OR('Consulta de contratos'!$K$3="",C655='Consulta de contratos'!$K$3),OR('Consulta de contratos'!$K$4="",D655='Consulta de contratos'!$K$4),OR('Consulta de contratos'!$K$5="",E655='Consulta de contratos'!$K$5)),1,0)</f>
        <v>0</v>
      </c>
      <c r="W655">
        <f>IF(V655=1,SUM($V$2:V655),0)</f>
        <v>0</v>
      </c>
    </row>
    <row r="656" spans="22:23" x14ac:dyDescent="0.35">
      <c r="V656">
        <f>IF(AND(SUM(IF('Consulta de contratos'!$K$1="",0,1),IF('Consulta de contratos'!$K$2="",0,1),IF('Consulta de contratos'!$K$3="",0,1),IF('Consulta de contratos'!$K$4="",0,1),IF('Consulta de contratos'!$K$5="",0,1))&gt;0,OR('Consulta de contratos'!$K$1="",A656='Consulta de contratos'!$K$1),OR('Consulta de contratos'!$K$2="",I656='Consulta de contratos'!$K$2,AND(LEFT('Consulta de contratos'!$K$2,7)="Grupo: ",ISNUMBER(SEARCH("|"&amp;MID('Consulta de contratos'!$K$2,8,120)&amp;"|",AF656)))),OR('Consulta de contratos'!$K$3="",C656='Consulta de contratos'!$K$3),OR('Consulta de contratos'!$K$4="",D656='Consulta de contratos'!$K$4),OR('Consulta de contratos'!$K$5="",E656='Consulta de contratos'!$K$5)),1,0)</f>
        <v>0</v>
      </c>
      <c r="W656">
        <f>IF(V656=1,SUM($V$2:V656),0)</f>
        <v>0</v>
      </c>
    </row>
    <row r="657" spans="22:23" x14ac:dyDescent="0.35">
      <c r="V657">
        <f>IF(AND(SUM(IF('Consulta de contratos'!$K$1="",0,1),IF('Consulta de contratos'!$K$2="",0,1),IF('Consulta de contratos'!$K$3="",0,1),IF('Consulta de contratos'!$K$4="",0,1),IF('Consulta de contratos'!$K$5="",0,1))&gt;0,OR('Consulta de contratos'!$K$1="",A657='Consulta de contratos'!$K$1),OR('Consulta de contratos'!$K$2="",I657='Consulta de contratos'!$K$2,AND(LEFT('Consulta de contratos'!$K$2,7)="Grupo: ",ISNUMBER(SEARCH("|"&amp;MID('Consulta de contratos'!$K$2,8,120)&amp;"|",AF657)))),OR('Consulta de contratos'!$K$3="",C657='Consulta de contratos'!$K$3),OR('Consulta de contratos'!$K$4="",D657='Consulta de contratos'!$K$4),OR('Consulta de contratos'!$K$5="",E657='Consulta de contratos'!$K$5)),1,0)</f>
        <v>0</v>
      </c>
      <c r="W657">
        <f>IF(V657=1,SUM($V$2:V657),0)</f>
        <v>0</v>
      </c>
    </row>
    <row r="658" spans="22:23" x14ac:dyDescent="0.35">
      <c r="V658">
        <f>IF(AND(SUM(IF('Consulta de contratos'!$K$1="",0,1),IF('Consulta de contratos'!$K$2="",0,1),IF('Consulta de contratos'!$K$3="",0,1),IF('Consulta de contratos'!$K$4="",0,1),IF('Consulta de contratos'!$K$5="",0,1))&gt;0,OR('Consulta de contratos'!$K$1="",A658='Consulta de contratos'!$K$1),OR('Consulta de contratos'!$K$2="",I658='Consulta de contratos'!$K$2,AND(LEFT('Consulta de contratos'!$K$2,7)="Grupo: ",ISNUMBER(SEARCH("|"&amp;MID('Consulta de contratos'!$K$2,8,120)&amp;"|",AF658)))),OR('Consulta de contratos'!$K$3="",C658='Consulta de contratos'!$K$3),OR('Consulta de contratos'!$K$4="",D658='Consulta de contratos'!$K$4),OR('Consulta de contratos'!$K$5="",E658='Consulta de contratos'!$K$5)),1,0)</f>
        <v>0</v>
      </c>
      <c r="W658">
        <f>IF(V658=1,SUM($V$2:V658),0)</f>
        <v>0</v>
      </c>
    </row>
    <row r="659" spans="22:23" x14ac:dyDescent="0.35">
      <c r="V659">
        <f>IF(AND(SUM(IF('Consulta de contratos'!$K$1="",0,1),IF('Consulta de contratos'!$K$2="",0,1),IF('Consulta de contratos'!$K$3="",0,1),IF('Consulta de contratos'!$K$4="",0,1),IF('Consulta de contratos'!$K$5="",0,1))&gt;0,OR('Consulta de contratos'!$K$1="",A659='Consulta de contratos'!$K$1),OR('Consulta de contratos'!$K$2="",I659='Consulta de contratos'!$K$2,AND(LEFT('Consulta de contratos'!$K$2,7)="Grupo: ",ISNUMBER(SEARCH("|"&amp;MID('Consulta de contratos'!$K$2,8,120)&amp;"|",AF659)))),OR('Consulta de contratos'!$K$3="",C659='Consulta de contratos'!$K$3),OR('Consulta de contratos'!$K$4="",D659='Consulta de contratos'!$K$4),OR('Consulta de contratos'!$K$5="",E659='Consulta de contratos'!$K$5)),1,0)</f>
        <v>0</v>
      </c>
      <c r="W659">
        <f>IF(V659=1,SUM($V$2:V659),0)</f>
        <v>0</v>
      </c>
    </row>
    <row r="660" spans="22:23" x14ac:dyDescent="0.35">
      <c r="V660">
        <f>IF(AND(SUM(IF('Consulta de contratos'!$K$1="",0,1),IF('Consulta de contratos'!$K$2="",0,1),IF('Consulta de contratos'!$K$3="",0,1),IF('Consulta de contratos'!$K$4="",0,1),IF('Consulta de contratos'!$K$5="",0,1))&gt;0,OR('Consulta de contratos'!$K$1="",A660='Consulta de contratos'!$K$1),OR('Consulta de contratos'!$K$2="",I660='Consulta de contratos'!$K$2,AND(LEFT('Consulta de contratos'!$K$2,7)="Grupo: ",ISNUMBER(SEARCH("|"&amp;MID('Consulta de contratos'!$K$2,8,120)&amp;"|",AF660)))),OR('Consulta de contratos'!$K$3="",C660='Consulta de contratos'!$K$3),OR('Consulta de contratos'!$K$4="",D660='Consulta de contratos'!$K$4),OR('Consulta de contratos'!$K$5="",E660='Consulta de contratos'!$K$5)),1,0)</f>
        <v>0</v>
      </c>
      <c r="W660">
        <f>IF(V660=1,SUM($V$2:V660),0)</f>
        <v>0</v>
      </c>
    </row>
    <row r="661" spans="22:23" x14ac:dyDescent="0.35">
      <c r="V661">
        <f>IF(AND(SUM(IF('Consulta de contratos'!$K$1="",0,1),IF('Consulta de contratos'!$K$2="",0,1),IF('Consulta de contratos'!$K$3="",0,1),IF('Consulta de contratos'!$K$4="",0,1),IF('Consulta de contratos'!$K$5="",0,1))&gt;0,OR('Consulta de contratos'!$K$1="",A661='Consulta de contratos'!$K$1),OR('Consulta de contratos'!$K$2="",I661='Consulta de contratos'!$K$2,AND(LEFT('Consulta de contratos'!$K$2,7)="Grupo: ",ISNUMBER(SEARCH("|"&amp;MID('Consulta de contratos'!$K$2,8,120)&amp;"|",AF661)))),OR('Consulta de contratos'!$K$3="",C661='Consulta de contratos'!$K$3),OR('Consulta de contratos'!$K$4="",D661='Consulta de contratos'!$K$4),OR('Consulta de contratos'!$K$5="",E661='Consulta de contratos'!$K$5)),1,0)</f>
        <v>0</v>
      </c>
      <c r="W661">
        <f>IF(V661=1,SUM($V$2:V661),0)</f>
        <v>0</v>
      </c>
    </row>
    <row r="662" spans="22:23" x14ac:dyDescent="0.35">
      <c r="V662">
        <f>IF(AND(SUM(IF('Consulta de contratos'!$K$1="",0,1),IF('Consulta de contratos'!$K$2="",0,1),IF('Consulta de contratos'!$K$3="",0,1),IF('Consulta de contratos'!$K$4="",0,1),IF('Consulta de contratos'!$K$5="",0,1))&gt;0,OR('Consulta de contratos'!$K$1="",A662='Consulta de contratos'!$K$1),OR('Consulta de contratos'!$K$2="",I662='Consulta de contratos'!$K$2,AND(LEFT('Consulta de contratos'!$K$2,7)="Grupo: ",ISNUMBER(SEARCH("|"&amp;MID('Consulta de contratos'!$K$2,8,120)&amp;"|",AF662)))),OR('Consulta de contratos'!$K$3="",C662='Consulta de contratos'!$K$3),OR('Consulta de contratos'!$K$4="",D662='Consulta de contratos'!$K$4),OR('Consulta de contratos'!$K$5="",E662='Consulta de contratos'!$K$5)),1,0)</f>
        <v>0</v>
      </c>
      <c r="W662">
        <f>IF(V662=1,SUM($V$2:V662),0)</f>
        <v>0</v>
      </c>
    </row>
    <row r="663" spans="22:23" x14ac:dyDescent="0.35">
      <c r="V663">
        <f>IF(AND(SUM(IF('Consulta de contratos'!$K$1="",0,1),IF('Consulta de contratos'!$K$2="",0,1),IF('Consulta de contratos'!$K$3="",0,1),IF('Consulta de contratos'!$K$4="",0,1),IF('Consulta de contratos'!$K$5="",0,1))&gt;0,OR('Consulta de contratos'!$K$1="",A663='Consulta de contratos'!$K$1),OR('Consulta de contratos'!$K$2="",I663='Consulta de contratos'!$K$2,AND(LEFT('Consulta de contratos'!$K$2,7)="Grupo: ",ISNUMBER(SEARCH("|"&amp;MID('Consulta de contratos'!$K$2,8,120)&amp;"|",AF663)))),OR('Consulta de contratos'!$K$3="",C663='Consulta de contratos'!$K$3),OR('Consulta de contratos'!$K$4="",D663='Consulta de contratos'!$K$4),OR('Consulta de contratos'!$K$5="",E663='Consulta de contratos'!$K$5)),1,0)</f>
        <v>0</v>
      </c>
      <c r="W663">
        <f>IF(V663=1,SUM($V$2:V663),0)</f>
        <v>0</v>
      </c>
    </row>
    <row r="664" spans="22:23" x14ac:dyDescent="0.35">
      <c r="V664">
        <f>IF(AND(SUM(IF('Consulta de contratos'!$K$1="",0,1),IF('Consulta de contratos'!$K$2="",0,1),IF('Consulta de contratos'!$K$3="",0,1),IF('Consulta de contratos'!$K$4="",0,1),IF('Consulta de contratos'!$K$5="",0,1))&gt;0,OR('Consulta de contratos'!$K$1="",A664='Consulta de contratos'!$K$1),OR('Consulta de contratos'!$K$2="",I664='Consulta de contratos'!$K$2,AND(LEFT('Consulta de contratos'!$K$2,7)="Grupo: ",ISNUMBER(SEARCH("|"&amp;MID('Consulta de contratos'!$K$2,8,120)&amp;"|",AF664)))),OR('Consulta de contratos'!$K$3="",C664='Consulta de contratos'!$K$3),OR('Consulta de contratos'!$K$4="",D664='Consulta de contratos'!$K$4),OR('Consulta de contratos'!$K$5="",E664='Consulta de contratos'!$K$5)),1,0)</f>
        <v>0</v>
      </c>
      <c r="W664">
        <f>IF(V664=1,SUM($V$2:V664),0)</f>
        <v>0</v>
      </c>
    </row>
    <row r="665" spans="22:23" x14ac:dyDescent="0.35">
      <c r="V665">
        <f>IF(AND(SUM(IF('Consulta de contratos'!$K$1="",0,1),IF('Consulta de contratos'!$K$2="",0,1),IF('Consulta de contratos'!$K$3="",0,1),IF('Consulta de contratos'!$K$4="",0,1),IF('Consulta de contratos'!$K$5="",0,1))&gt;0,OR('Consulta de contratos'!$K$1="",A665='Consulta de contratos'!$K$1),OR('Consulta de contratos'!$K$2="",I665='Consulta de contratos'!$K$2,AND(LEFT('Consulta de contratos'!$K$2,7)="Grupo: ",ISNUMBER(SEARCH("|"&amp;MID('Consulta de contratos'!$K$2,8,120)&amp;"|",AF665)))),OR('Consulta de contratos'!$K$3="",C665='Consulta de contratos'!$K$3),OR('Consulta de contratos'!$K$4="",D665='Consulta de contratos'!$K$4),OR('Consulta de contratos'!$K$5="",E665='Consulta de contratos'!$K$5)),1,0)</f>
        <v>0</v>
      </c>
      <c r="W665">
        <f>IF(V665=1,SUM($V$2:V665),0)</f>
        <v>0</v>
      </c>
    </row>
    <row r="666" spans="22:23" x14ac:dyDescent="0.35">
      <c r="V666">
        <f>IF(AND(SUM(IF('Consulta de contratos'!$K$1="",0,1),IF('Consulta de contratos'!$K$2="",0,1),IF('Consulta de contratos'!$K$3="",0,1),IF('Consulta de contratos'!$K$4="",0,1),IF('Consulta de contratos'!$K$5="",0,1))&gt;0,OR('Consulta de contratos'!$K$1="",A666='Consulta de contratos'!$K$1),OR('Consulta de contratos'!$K$2="",I666='Consulta de contratos'!$K$2,AND(LEFT('Consulta de contratos'!$K$2,7)="Grupo: ",ISNUMBER(SEARCH("|"&amp;MID('Consulta de contratos'!$K$2,8,120)&amp;"|",AF666)))),OR('Consulta de contratos'!$K$3="",C666='Consulta de contratos'!$K$3),OR('Consulta de contratos'!$K$4="",D666='Consulta de contratos'!$K$4),OR('Consulta de contratos'!$K$5="",E666='Consulta de contratos'!$K$5)),1,0)</f>
        <v>0</v>
      </c>
      <c r="W666">
        <f>IF(V666=1,SUM($V$2:V666),0)</f>
        <v>0</v>
      </c>
    </row>
    <row r="667" spans="22:23" x14ac:dyDescent="0.35">
      <c r="V667">
        <f>IF(AND(SUM(IF('Consulta de contratos'!$K$1="",0,1),IF('Consulta de contratos'!$K$2="",0,1),IF('Consulta de contratos'!$K$3="",0,1),IF('Consulta de contratos'!$K$4="",0,1),IF('Consulta de contratos'!$K$5="",0,1))&gt;0,OR('Consulta de contratos'!$K$1="",A667='Consulta de contratos'!$K$1),OR('Consulta de contratos'!$K$2="",I667='Consulta de contratos'!$K$2,AND(LEFT('Consulta de contratos'!$K$2,7)="Grupo: ",ISNUMBER(SEARCH("|"&amp;MID('Consulta de contratos'!$K$2,8,120)&amp;"|",AF667)))),OR('Consulta de contratos'!$K$3="",C667='Consulta de contratos'!$K$3),OR('Consulta de contratos'!$K$4="",D667='Consulta de contratos'!$K$4),OR('Consulta de contratos'!$K$5="",E667='Consulta de contratos'!$K$5)),1,0)</f>
        <v>0</v>
      </c>
      <c r="W667">
        <f>IF(V667=1,SUM($V$2:V667),0)</f>
        <v>0</v>
      </c>
    </row>
    <row r="668" spans="22:23" x14ac:dyDescent="0.35">
      <c r="V668">
        <f>IF(AND(SUM(IF('Consulta de contratos'!$K$1="",0,1),IF('Consulta de contratos'!$K$2="",0,1),IF('Consulta de contratos'!$K$3="",0,1),IF('Consulta de contratos'!$K$4="",0,1),IF('Consulta de contratos'!$K$5="",0,1))&gt;0,OR('Consulta de contratos'!$K$1="",A668='Consulta de contratos'!$K$1),OR('Consulta de contratos'!$K$2="",I668='Consulta de contratos'!$K$2,AND(LEFT('Consulta de contratos'!$K$2,7)="Grupo: ",ISNUMBER(SEARCH("|"&amp;MID('Consulta de contratos'!$K$2,8,120)&amp;"|",AF668)))),OR('Consulta de contratos'!$K$3="",C668='Consulta de contratos'!$K$3),OR('Consulta de contratos'!$K$4="",D668='Consulta de contratos'!$K$4),OR('Consulta de contratos'!$K$5="",E668='Consulta de contratos'!$K$5)),1,0)</f>
        <v>0</v>
      </c>
      <c r="W668">
        <f>IF(V668=1,SUM($V$2:V668),0)</f>
        <v>0</v>
      </c>
    </row>
    <row r="669" spans="22:23" x14ac:dyDescent="0.35">
      <c r="V669">
        <f>IF(AND(SUM(IF('Consulta de contratos'!$K$1="",0,1),IF('Consulta de contratos'!$K$2="",0,1),IF('Consulta de contratos'!$K$3="",0,1),IF('Consulta de contratos'!$K$4="",0,1),IF('Consulta de contratos'!$K$5="",0,1))&gt;0,OR('Consulta de contratos'!$K$1="",A669='Consulta de contratos'!$K$1),OR('Consulta de contratos'!$K$2="",I669='Consulta de contratos'!$K$2,AND(LEFT('Consulta de contratos'!$K$2,7)="Grupo: ",ISNUMBER(SEARCH("|"&amp;MID('Consulta de contratos'!$K$2,8,120)&amp;"|",AF669)))),OR('Consulta de contratos'!$K$3="",C669='Consulta de contratos'!$K$3),OR('Consulta de contratos'!$K$4="",D669='Consulta de contratos'!$K$4),OR('Consulta de contratos'!$K$5="",E669='Consulta de contratos'!$K$5)),1,0)</f>
        <v>0</v>
      </c>
      <c r="W669">
        <f>IF(V669=1,SUM($V$2:V669),0)</f>
        <v>0</v>
      </c>
    </row>
    <row r="670" spans="22:23" x14ac:dyDescent="0.35">
      <c r="V670">
        <f>IF(AND(SUM(IF('Consulta de contratos'!$K$1="",0,1),IF('Consulta de contratos'!$K$2="",0,1),IF('Consulta de contratos'!$K$3="",0,1),IF('Consulta de contratos'!$K$4="",0,1),IF('Consulta de contratos'!$K$5="",0,1))&gt;0,OR('Consulta de contratos'!$K$1="",A670='Consulta de contratos'!$K$1),OR('Consulta de contratos'!$K$2="",I670='Consulta de contratos'!$K$2,AND(LEFT('Consulta de contratos'!$K$2,7)="Grupo: ",ISNUMBER(SEARCH("|"&amp;MID('Consulta de contratos'!$K$2,8,120)&amp;"|",AF670)))),OR('Consulta de contratos'!$K$3="",C670='Consulta de contratos'!$K$3),OR('Consulta de contratos'!$K$4="",D670='Consulta de contratos'!$K$4),OR('Consulta de contratos'!$K$5="",E670='Consulta de contratos'!$K$5)),1,0)</f>
        <v>0</v>
      </c>
      <c r="W670">
        <f>IF(V670=1,SUM($V$2:V670),0)</f>
        <v>0</v>
      </c>
    </row>
    <row r="671" spans="22:23" x14ac:dyDescent="0.35">
      <c r="V671">
        <f>IF(AND(SUM(IF('Consulta de contratos'!$K$1="",0,1),IF('Consulta de contratos'!$K$2="",0,1),IF('Consulta de contratos'!$K$3="",0,1),IF('Consulta de contratos'!$K$4="",0,1),IF('Consulta de contratos'!$K$5="",0,1))&gt;0,OR('Consulta de contratos'!$K$1="",A671='Consulta de contratos'!$K$1),OR('Consulta de contratos'!$K$2="",I671='Consulta de contratos'!$K$2,AND(LEFT('Consulta de contratos'!$K$2,7)="Grupo: ",ISNUMBER(SEARCH("|"&amp;MID('Consulta de contratos'!$K$2,8,120)&amp;"|",AF671)))),OR('Consulta de contratos'!$K$3="",C671='Consulta de contratos'!$K$3),OR('Consulta de contratos'!$K$4="",D671='Consulta de contratos'!$K$4),OR('Consulta de contratos'!$K$5="",E671='Consulta de contratos'!$K$5)),1,0)</f>
        <v>0</v>
      </c>
      <c r="W671">
        <f>IF(V671=1,SUM($V$2:V671),0)</f>
        <v>0</v>
      </c>
    </row>
    <row r="672" spans="22:23" x14ac:dyDescent="0.35">
      <c r="V672">
        <f>IF(AND(SUM(IF('Consulta de contratos'!$K$1="",0,1),IF('Consulta de contratos'!$K$2="",0,1),IF('Consulta de contratos'!$K$3="",0,1),IF('Consulta de contratos'!$K$4="",0,1),IF('Consulta de contratos'!$K$5="",0,1))&gt;0,OR('Consulta de contratos'!$K$1="",A672='Consulta de contratos'!$K$1),OR('Consulta de contratos'!$K$2="",I672='Consulta de contratos'!$K$2,AND(LEFT('Consulta de contratos'!$K$2,7)="Grupo: ",ISNUMBER(SEARCH("|"&amp;MID('Consulta de contratos'!$K$2,8,120)&amp;"|",AF672)))),OR('Consulta de contratos'!$K$3="",C672='Consulta de contratos'!$K$3),OR('Consulta de contratos'!$K$4="",D672='Consulta de contratos'!$K$4),OR('Consulta de contratos'!$K$5="",E672='Consulta de contratos'!$K$5)),1,0)</f>
        <v>0</v>
      </c>
      <c r="W672">
        <f>IF(V672=1,SUM($V$2:V672),0)</f>
        <v>0</v>
      </c>
    </row>
    <row r="673" spans="22:23" x14ac:dyDescent="0.35">
      <c r="V673">
        <f>IF(AND(SUM(IF('Consulta de contratos'!$K$1="",0,1),IF('Consulta de contratos'!$K$2="",0,1),IF('Consulta de contratos'!$K$3="",0,1),IF('Consulta de contratos'!$K$4="",0,1),IF('Consulta de contratos'!$K$5="",0,1))&gt;0,OR('Consulta de contratos'!$K$1="",A673='Consulta de contratos'!$K$1),OR('Consulta de contratos'!$K$2="",I673='Consulta de contratos'!$K$2,AND(LEFT('Consulta de contratos'!$K$2,7)="Grupo: ",ISNUMBER(SEARCH("|"&amp;MID('Consulta de contratos'!$K$2,8,120)&amp;"|",AF673)))),OR('Consulta de contratos'!$K$3="",C673='Consulta de contratos'!$K$3),OR('Consulta de contratos'!$K$4="",D673='Consulta de contratos'!$K$4),OR('Consulta de contratos'!$K$5="",E673='Consulta de contratos'!$K$5)),1,0)</f>
        <v>0</v>
      </c>
      <c r="W673">
        <f>IF(V673=1,SUM($V$2:V673),0)</f>
        <v>0</v>
      </c>
    </row>
    <row r="674" spans="22:23" x14ac:dyDescent="0.35">
      <c r="V674">
        <f>IF(AND(SUM(IF('Consulta de contratos'!$K$1="",0,1),IF('Consulta de contratos'!$K$2="",0,1),IF('Consulta de contratos'!$K$3="",0,1),IF('Consulta de contratos'!$K$4="",0,1),IF('Consulta de contratos'!$K$5="",0,1))&gt;0,OR('Consulta de contratos'!$K$1="",A674='Consulta de contratos'!$K$1),OR('Consulta de contratos'!$K$2="",I674='Consulta de contratos'!$K$2,AND(LEFT('Consulta de contratos'!$K$2,7)="Grupo: ",ISNUMBER(SEARCH("|"&amp;MID('Consulta de contratos'!$K$2,8,120)&amp;"|",AF674)))),OR('Consulta de contratos'!$K$3="",C674='Consulta de contratos'!$K$3),OR('Consulta de contratos'!$K$4="",D674='Consulta de contratos'!$K$4),OR('Consulta de contratos'!$K$5="",E674='Consulta de contratos'!$K$5)),1,0)</f>
        <v>0</v>
      </c>
      <c r="W674">
        <f>IF(V674=1,SUM($V$2:V674),0)</f>
        <v>0</v>
      </c>
    </row>
    <row r="675" spans="22:23" x14ac:dyDescent="0.35">
      <c r="V675">
        <f>IF(AND(SUM(IF('Consulta de contratos'!$K$1="",0,1),IF('Consulta de contratos'!$K$2="",0,1),IF('Consulta de contratos'!$K$3="",0,1),IF('Consulta de contratos'!$K$4="",0,1),IF('Consulta de contratos'!$K$5="",0,1))&gt;0,OR('Consulta de contratos'!$K$1="",A675='Consulta de contratos'!$K$1),OR('Consulta de contratos'!$K$2="",I675='Consulta de contratos'!$K$2,AND(LEFT('Consulta de contratos'!$K$2,7)="Grupo: ",ISNUMBER(SEARCH("|"&amp;MID('Consulta de contratos'!$K$2,8,120)&amp;"|",AF675)))),OR('Consulta de contratos'!$K$3="",C675='Consulta de contratos'!$K$3),OR('Consulta de contratos'!$K$4="",D675='Consulta de contratos'!$K$4),OR('Consulta de contratos'!$K$5="",E675='Consulta de contratos'!$K$5)),1,0)</f>
        <v>0</v>
      </c>
      <c r="W675">
        <f>IF(V675=1,SUM($V$2:V675),0)</f>
        <v>0</v>
      </c>
    </row>
    <row r="676" spans="22:23" x14ac:dyDescent="0.35">
      <c r="V676">
        <f>IF(AND(SUM(IF('Consulta de contratos'!$K$1="",0,1),IF('Consulta de contratos'!$K$2="",0,1),IF('Consulta de contratos'!$K$3="",0,1),IF('Consulta de contratos'!$K$4="",0,1),IF('Consulta de contratos'!$K$5="",0,1))&gt;0,OR('Consulta de contratos'!$K$1="",A676='Consulta de contratos'!$K$1),OR('Consulta de contratos'!$K$2="",I676='Consulta de contratos'!$K$2,AND(LEFT('Consulta de contratos'!$K$2,7)="Grupo: ",ISNUMBER(SEARCH("|"&amp;MID('Consulta de contratos'!$K$2,8,120)&amp;"|",AF676)))),OR('Consulta de contratos'!$K$3="",C676='Consulta de contratos'!$K$3),OR('Consulta de contratos'!$K$4="",D676='Consulta de contratos'!$K$4),OR('Consulta de contratos'!$K$5="",E676='Consulta de contratos'!$K$5)),1,0)</f>
        <v>0</v>
      </c>
      <c r="W676">
        <f>IF(V676=1,SUM($V$2:V676),0)</f>
        <v>0</v>
      </c>
    </row>
    <row r="677" spans="22:23" x14ac:dyDescent="0.35">
      <c r="V677">
        <f>IF(AND(SUM(IF('Consulta de contratos'!$K$1="",0,1),IF('Consulta de contratos'!$K$2="",0,1),IF('Consulta de contratos'!$K$3="",0,1),IF('Consulta de contratos'!$K$4="",0,1),IF('Consulta de contratos'!$K$5="",0,1))&gt;0,OR('Consulta de contratos'!$K$1="",A677='Consulta de contratos'!$K$1),OR('Consulta de contratos'!$K$2="",I677='Consulta de contratos'!$K$2,AND(LEFT('Consulta de contratos'!$K$2,7)="Grupo: ",ISNUMBER(SEARCH("|"&amp;MID('Consulta de contratos'!$K$2,8,120)&amp;"|",AF677)))),OR('Consulta de contratos'!$K$3="",C677='Consulta de contratos'!$K$3),OR('Consulta de contratos'!$K$4="",D677='Consulta de contratos'!$K$4),OR('Consulta de contratos'!$K$5="",E677='Consulta de contratos'!$K$5)),1,0)</f>
        <v>0</v>
      </c>
      <c r="W677">
        <f>IF(V677=1,SUM($V$2:V677),0)</f>
        <v>0</v>
      </c>
    </row>
    <row r="678" spans="22:23" x14ac:dyDescent="0.35">
      <c r="V678">
        <f>IF(AND(SUM(IF('Consulta de contratos'!$K$1="",0,1),IF('Consulta de contratos'!$K$2="",0,1),IF('Consulta de contratos'!$K$3="",0,1),IF('Consulta de contratos'!$K$4="",0,1),IF('Consulta de contratos'!$K$5="",0,1))&gt;0,OR('Consulta de contratos'!$K$1="",A678='Consulta de contratos'!$K$1),OR('Consulta de contratos'!$K$2="",I678='Consulta de contratos'!$K$2,AND(LEFT('Consulta de contratos'!$K$2,7)="Grupo: ",ISNUMBER(SEARCH("|"&amp;MID('Consulta de contratos'!$K$2,8,120)&amp;"|",AF678)))),OR('Consulta de contratos'!$K$3="",C678='Consulta de contratos'!$K$3),OR('Consulta de contratos'!$K$4="",D678='Consulta de contratos'!$K$4),OR('Consulta de contratos'!$K$5="",E678='Consulta de contratos'!$K$5)),1,0)</f>
        <v>0</v>
      </c>
      <c r="W678">
        <f>IF(V678=1,SUM($V$2:V678),0)</f>
        <v>0</v>
      </c>
    </row>
    <row r="679" spans="22:23" x14ac:dyDescent="0.35">
      <c r="V679">
        <f>IF(AND(SUM(IF('Consulta de contratos'!$K$1="",0,1),IF('Consulta de contratos'!$K$2="",0,1),IF('Consulta de contratos'!$K$3="",0,1),IF('Consulta de contratos'!$K$4="",0,1),IF('Consulta de contratos'!$K$5="",0,1))&gt;0,OR('Consulta de contratos'!$K$1="",A679='Consulta de contratos'!$K$1),OR('Consulta de contratos'!$K$2="",I679='Consulta de contratos'!$K$2,AND(LEFT('Consulta de contratos'!$K$2,7)="Grupo: ",ISNUMBER(SEARCH("|"&amp;MID('Consulta de contratos'!$K$2,8,120)&amp;"|",AF679)))),OR('Consulta de contratos'!$K$3="",C679='Consulta de contratos'!$K$3),OR('Consulta de contratos'!$K$4="",D679='Consulta de contratos'!$K$4),OR('Consulta de contratos'!$K$5="",E679='Consulta de contratos'!$K$5)),1,0)</f>
        <v>0</v>
      </c>
      <c r="W679">
        <f>IF(V679=1,SUM($V$2:V679),0)</f>
        <v>0</v>
      </c>
    </row>
    <row r="680" spans="22:23" x14ac:dyDescent="0.35">
      <c r="V680">
        <f>IF(AND(SUM(IF('Consulta de contratos'!$K$1="",0,1),IF('Consulta de contratos'!$K$2="",0,1),IF('Consulta de contratos'!$K$3="",0,1),IF('Consulta de contratos'!$K$4="",0,1),IF('Consulta de contratos'!$K$5="",0,1))&gt;0,OR('Consulta de contratos'!$K$1="",A680='Consulta de contratos'!$K$1),OR('Consulta de contratos'!$K$2="",I680='Consulta de contratos'!$K$2,AND(LEFT('Consulta de contratos'!$K$2,7)="Grupo: ",ISNUMBER(SEARCH("|"&amp;MID('Consulta de contratos'!$K$2,8,120)&amp;"|",AF680)))),OR('Consulta de contratos'!$K$3="",C680='Consulta de contratos'!$K$3),OR('Consulta de contratos'!$K$4="",D680='Consulta de contratos'!$K$4),OR('Consulta de contratos'!$K$5="",E680='Consulta de contratos'!$K$5)),1,0)</f>
        <v>0</v>
      </c>
      <c r="W680">
        <f>IF(V680=1,SUM($V$2:V680),0)</f>
        <v>0</v>
      </c>
    </row>
    <row r="681" spans="22:23" x14ac:dyDescent="0.35">
      <c r="V681">
        <f>IF(AND(SUM(IF('Consulta de contratos'!$K$1="",0,1),IF('Consulta de contratos'!$K$2="",0,1),IF('Consulta de contratos'!$K$3="",0,1),IF('Consulta de contratos'!$K$4="",0,1),IF('Consulta de contratos'!$K$5="",0,1))&gt;0,OR('Consulta de contratos'!$K$1="",A681='Consulta de contratos'!$K$1),OR('Consulta de contratos'!$K$2="",I681='Consulta de contratos'!$K$2,AND(LEFT('Consulta de contratos'!$K$2,7)="Grupo: ",ISNUMBER(SEARCH("|"&amp;MID('Consulta de contratos'!$K$2,8,120)&amp;"|",AF681)))),OR('Consulta de contratos'!$K$3="",C681='Consulta de contratos'!$K$3),OR('Consulta de contratos'!$K$4="",D681='Consulta de contratos'!$K$4),OR('Consulta de contratos'!$K$5="",E681='Consulta de contratos'!$K$5)),1,0)</f>
        <v>0</v>
      </c>
      <c r="W681">
        <f>IF(V681=1,SUM($V$2:V681),0)</f>
        <v>0</v>
      </c>
    </row>
    <row r="682" spans="22:23" x14ac:dyDescent="0.35">
      <c r="V682">
        <f>IF(AND(SUM(IF('Consulta de contratos'!$K$1="",0,1),IF('Consulta de contratos'!$K$2="",0,1),IF('Consulta de contratos'!$K$3="",0,1),IF('Consulta de contratos'!$K$4="",0,1),IF('Consulta de contratos'!$K$5="",0,1))&gt;0,OR('Consulta de contratos'!$K$1="",A682='Consulta de contratos'!$K$1),OR('Consulta de contratos'!$K$2="",I682='Consulta de contratos'!$K$2,AND(LEFT('Consulta de contratos'!$K$2,7)="Grupo: ",ISNUMBER(SEARCH("|"&amp;MID('Consulta de contratos'!$K$2,8,120)&amp;"|",AF682)))),OR('Consulta de contratos'!$K$3="",C682='Consulta de contratos'!$K$3),OR('Consulta de contratos'!$K$4="",D682='Consulta de contratos'!$K$4),OR('Consulta de contratos'!$K$5="",E682='Consulta de contratos'!$K$5)),1,0)</f>
        <v>0</v>
      </c>
      <c r="W682">
        <f>IF(V682=1,SUM($V$2:V682),0)</f>
        <v>0</v>
      </c>
    </row>
    <row r="683" spans="22:23" x14ac:dyDescent="0.35">
      <c r="V683">
        <f>IF(AND(SUM(IF('Consulta de contratos'!$K$1="",0,1),IF('Consulta de contratos'!$K$2="",0,1),IF('Consulta de contratos'!$K$3="",0,1),IF('Consulta de contratos'!$K$4="",0,1),IF('Consulta de contratos'!$K$5="",0,1))&gt;0,OR('Consulta de contratos'!$K$1="",A683='Consulta de contratos'!$K$1),OR('Consulta de contratos'!$K$2="",I683='Consulta de contratos'!$K$2,AND(LEFT('Consulta de contratos'!$K$2,7)="Grupo: ",ISNUMBER(SEARCH("|"&amp;MID('Consulta de contratos'!$K$2,8,120)&amp;"|",AF683)))),OR('Consulta de contratos'!$K$3="",C683='Consulta de contratos'!$K$3),OR('Consulta de contratos'!$K$4="",D683='Consulta de contratos'!$K$4),OR('Consulta de contratos'!$K$5="",E683='Consulta de contratos'!$K$5)),1,0)</f>
        <v>0</v>
      </c>
      <c r="W683">
        <f>IF(V683=1,SUM($V$2:V683),0)</f>
        <v>0</v>
      </c>
    </row>
    <row r="684" spans="22:23" x14ac:dyDescent="0.35">
      <c r="V684">
        <f>IF(AND(SUM(IF('Consulta de contratos'!$K$1="",0,1),IF('Consulta de contratos'!$K$2="",0,1),IF('Consulta de contratos'!$K$3="",0,1),IF('Consulta de contratos'!$K$4="",0,1),IF('Consulta de contratos'!$K$5="",0,1))&gt;0,OR('Consulta de contratos'!$K$1="",A684='Consulta de contratos'!$K$1),OR('Consulta de contratos'!$K$2="",I684='Consulta de contratos'!$K$2,AND(LEFT('Consulta de contratos'!$K$2,7)="Grupo: ",ISNUMBER(SEARCH("|"&amp;MID('Consulta de contratos'!$K$2,8,120)&amp;"|",AF684)))),OR('Consulta de contratos'!$K$3="",C684='Consulta de contratos'!$K$3),OR('Consulta de contratos'!$K$4="",D684='Consulta de contratos'!$K$4),OR('Consulta de contratos'!$K$5="",E684='Consulta de contratos'!$K$5)),1,0)</f>
        <v>0</v>
      </c>
      <c r="W684">
        <f>IF(V684=1,SUM($V$2:V684),0)</f>
        <v>0</v>
      </c>
    </row>
    <row r="685" spans="22:23" x14ac:dyDescent="0.35">
      <c r="V685">
        <f>IF(AND(SUM(IF('Consulta de contratos'!$K$1="",0,1),IF('Consulta de contratos'!$K$2="",0,1),IF('Consulta de contratos'!$K$3="",0,1),IF('Consulta de contratos'!$K$4="",0,1),IF('Consulta de contratos'!$K$5="",0,1))&gt;0,OR('Consulta de contratos'!$K$1="",A685='Consulta de contratos'!$K$1),OR('Consulta de contratos'!$K$2="",I685='Consulta de contratos'!$K$2,AND(LEFT('Consulta de contratos'!$K$2,7)="Grupo: ",ISNUMBER(SEARCH("|"&amp;MID('Consulta de contratos'!$K$2,8,120)&amp;"|",AF685)))),OR('Consulta de contratos'!$K$3="",C685='Consulta de contratos'!$K$3),OR('Consulta de contratos'!$K$4="",D685='Consulta de contratos'!$K$4),OR('Consulta de contratos'!$K$5="",E685='Consulta de contratos'!$K$5)),1,0)</f>
        <v>0</v>
      </c>
      <c r="W685">
        <f>IF(V685=1,SUM($V$2:V685),0)</f>
        <v>0</v>
      </c>
    </row>
    <row r="686" spans="22:23" x14ac:dyDescent="0.35">
      <c r="V686">
        <f>IF(AND(SUM(IF('Consulta de contratos'!$K$1="",0,1),IF('Consulta de contratos'!$K$2="",0,1),IF('Consulta de contratos'!$K$3="",0,1),IF('Consulta de contratos'!$K$4="",0,1),IF('Consulta de contratos'!$K$5="",0,1))&gt;0,OR('Consulta de contratos'!$K$1="",A686='Consulta de contratos'!$K$1),OR('Consulta de contratos'!$K$2="",I686='Consulta de contratos'!$K$2,AND(LEFT('Consulta de contratos'!$K$2,7)="Grupo: ",ISNUMBER(SEARCH("|"&amp;MID('Consulta de contratos'!$K$2,8,120)&amp;"|",AF686)))),OR('Consulta de contratos'!$K$3="",C686='Consulta de contratos'!$K$3),OR('Consulta de contratos'!$K$4="",D686='Consulta de contratos'!$K$4),OR('Consulta de contratos'!$K$5="",E686='Consulta de contratos'!$K$5)),1,0)</f>
        <v>0</v>
      </c>
      <c r="W686">
        <f>IF(V686=1,SUM($V$2:V686),0)</f>
        <v>0</v>
      </c>
    </row>
    <row r="687" spans="22:23" x14ac:dyDescent="0.35">
      <c r="V687">
        <f>IF(AND(SUM(IF('Consulta de contratos'!$K$1="",0,1),IF('Consulta de contratos'!$K$2="",0,1),IF('Consulta de contratos'!$K$3="",0,1),IF('Consulta de contratos'!$K$4="",0,1),IF('Consulta de contratos'!$K$5="",0,1))&gt;0,OR('Consulta de contratos'!$K$1="",A687='Consulta de contratos'!$K$1),OR('Consulta de contratos'!$K$2="",I687='Consulta de contratos'!$K$2,AND(LEFT('Consulta de contratos'!$K$2,7)="Grupo: ",ISNUMBER(SEARCH("|"&amp;MID('Consulta de contratos'!$K$2,8,120)&amp;"|",AF687)))),OR('Consulta de contratos'!$K$3="",C687='Consulta de contratos'!$K$3),OR('Consulta de contratos'!$K$4="",D687='Consulta de contratos'!$K$4),OR('Consulta de contratos'!$K$5="",E687='Consulta de contratos'!$K$5)),1,0)</f>
        <v>0</v>
      </c>
      <c r="W687">
        <f>IF(V687=1,SUM($V$2:V687),0)</f>
        <v>0</v>
      </c>
    </row>
    <row r="688" spans="22:23" x14ac:dyDescent="0.35">
      <c r="V688">
        <f>IF(AND(SUM(IF('Consulta de contratos'!$K$1="",0,1),IF('Consulta de contratos'!$K$2="",0,1),IF('Consulta de contratos'!$K$3="",0,1),IF('Consulta de contratos'!$K$4="",0,1),IF('Consulta de contratos'!$K$5="",0,1))&gt;0,OR('Consulta de contratos'!$K$1="",A688='Consulta de contratos'!$K$1),OR('Consulta de contratos'!$K$2="",I688='Consulta de contratos'!$K$2,AND(LEFT('Consulta de contratos'!$K$2,7)="Grupo: ",ISNUMBER(SEARCH("|"&amp;MID('Consulta de contratos'!$K$2,8,120)&amp;"|",AF688)))),OR('Consulta de contratos'!$K$3="",C688='Consulta de contratos'!$K$3),OR('Consulta de contratos'!$K$4="",D688='Consulta de contratos'!$K$4),OR('Consulta de contratos'!$K$5="",E688='Consulta de contratos'!$K$5)),1,0)</f>
        <v>0</v>
      </c>
      <c r="W688">
        <f>IF(V688=1,SUM($V$2:V688),0)</f>
        <v>0</v>
      </c>
    </row>
    <row r="689" spans="22:23" x14ac:dyDescent="0.35">
      <c r="V689">
        <f>IF(AND(SUM(IF('Consulta de contratos'!$K$1="",0,1),IF('Consulta de contratos'!$K$2="",0,1),IF('Consulta de contratos'!$K$3="",0,1),IF('Consulta de contratos'!$K$4="",0,1),IF('Consulta de contratos'!$K$5="",0,1))&gt;0,OR('Consulta de contratos'!$K$1="",A689='Consulta de contratos'!$K$1),OR('Consulta de contratos'!$K$2="",I689='Consulta de contratos'!$K$2,AND(LEFT('Consulta de contratos'!$K$2,7)="Grupo: ",ISNUMBER(SEARCH("|"&amp;MID('Consulta de contratos'!$K$2,8,120)&amp;"|",AF689)))),OR('Consulta de contratos'!$K$3="",C689='Consulta de contratos'!$K$3),OR('Consulta de contratos'!$K$4="",D689='Consulta de contratos'!$K$4),OR('Consulta de contratos'!$K$5="",E689='Consulta de contratos'!$K$5)),1,0)</f>
        <v>0</v>
      </c>
      <c r="W689">
        <f>IF(V689=1,SUM($V$2:V689),0)</f>
        <v>0</v>
      </c>
    </row>
    <row r="690" spans="22:23" x14ac:dyDescent="0.35">
      <c r="V690">
        <f>IF(AND(SUM(IF('Consulta de contratos'!$K$1="",0,1),IF('Consulta de contratos'!$K$2="",0,1),IF('Consulta de contratos'!$K$3="",0,1),IF('Consulta de contratos'!$K$4="",0,1),IF('Consulta de contratos'!$K$5="",0,1))&gt;0,OR('Consulta de contratos'!$K$1="",A690='Consulta de contratos'!$K$1),OR('Consulta de contratos'!$K$2="",I690='Consulta de contratos'!$K$2,AND(LEFT('Consulta de contratos'!$K$2,7)="Grupo: ",ISNUMBER(SEARCH("|"&amp;MID('Consulta de contratos'!$K$2,8,120)&amp;"|",AF690)))),OR('Consulta de contratos'!$K$3="",C690='Consulta de contratos'!$K$3),OR('Consulta de contratos'!$K$4="",D690='Consulta de contratos'!$K$4),OR('Consulta de contratos'!$K$5="",E690='Consulta de contratos'!$K$5)),1,0)</f>
        <v>0</v>
      </c>
      <c r="W690">
        <f>IF(V690=1,SUM($V$2:V690),0)</f>
        <v>0</v>
      </c>
    </row>
    <row r="691" spans="22:23" x14ac:dyDescent="0.35">
      <c r="V691">
        <f>IF(AND(SUM(IF('Consulta de contratos'!$K$1="",0,1),IF('Consulta de contratos'!$K$2="",0,1),IF('Consulta de contratos'!$K$3="",0,1),IF('Consulta de contratos'!$K$4="",0,1),IF('Consulta de contratos'!$K$5="",0,1))&gt;0,OR('Consulta de contratos'!$K$1="",A691='Consulta de contratos'!$K$1),OR('Consulta de contratos'!$K$2="",I691='Consulta de contratos'!$K$2,AND(LEFT('Consulta de contratos'!$K$2,7)="Grupo: ",ISNUMBER(SEARCH("|"&amp;MID('Consulta de contratos'!$K$2,8,120)&amp;"|",AF691)))),OR('Consulta de contratos'!$K$3="",C691='Consulta de contratos'!$K$3),OR('Consulta de contratos'!$K$4="",D691='Consulta de contratos'!$K$4),OR('Consulta de contratos'!$K$5="",E691='Consulta de contratos'!$K$5)),1,0)</f>
        <v>0</v>
      </c>
      <c r="W691">
        <f>IF(V691=1,SUM($V$2:V691),0)</f>
        <v>0</v>
      </c>
    </row>
    <row r="692" spans="22:23" x14ac:dyDescent="0.35">
      <c r="V692">
        <f>IF(AND(SUM(IF('Consulta de contratos'!$K$1="",0,1),IF('Consulta de contratos'!$K$2="",0,1),IF('Consulta de contratos'!$K$3="",0,1),IF('Consulta de contratos'!$K$4="",0,1),IF('Consulta de contratos'!$K$5="",0,1))&gt;0,OR('Consulta de contratos'!$K$1="",A692='Consulta de contratos'!$K$1),OR('Consulta de contratos'!$K$2="",I692='Consulta de contratos'!$K$2,AND(LEFT('Consulta de contratos'!$K$2,7)="Grupo: ",ISNUMBER(SEARCH("|"&amp;MID('Consulta de contratos'!$K$2,8,120)&amp;"|",AF692)))),OR('Consulta de contratos'!$K$3="",C692='Consulta de contratos'!$K$3),OR('Consulta de contratos'!$K$4="",D692='Consulta de contratos'!$K$4),OR('Consulta de contratos'!$K$5="",E692='Consulta de contratos'!$K$5)),1,0)</f>
        <v>0</v>
      </c>
      <c r="W692">
        <f>IF(V692=1,SUM($V$2:V692),0)</f>
        <v>0</v>
      </c>
    </row>
    <row r="693" spans="22:23" x14ac:dyDescent="0.35">
      <c r="V693">
        <f>IF(AND(SUM(IF('Consulta de contratos'!$K$1="",0,1),IF('Consulta de contratos'!$K$2="",0,1),IF('Consulta de contratos'!$K$3="",0,1),IF('Consulta de contratos'!$K$4="",0,1),IF('Consulta de contratos'!$K$5="",0,1))&gt;0,OR('Consulta de contratos'!$K$1="",A693='Consulta de contratos'!$K$1),OR('Consulta de contratos'!$K$2="",I693='Consulta de contratos'!$K$2,AND(LEFT('Consulta de contratos'!$K$2,7)="Grupo: ",ISNUMBER(SEARCH("|"&amp;MID('Consulta de contratos'!$K$2,8,120)&amp;"|",AF693)))),OR('Consulta de contratos'!$K$3="",C693='Consulta de contratos'!$K$3),OR('Consulta de contratos'!$K$4="",D693='Consulta de contratos'!$K$4),OR('Consulta de contratos'!$K$5="",E693='Consulta de contratos'!$K$5)),1,0)</f>
        <v>0</v>
      </c>
      <c r="W693">
        <f>IF(V693=1,SUM($V$2:V693),0)</f>
        <v>0</v>
      </c>
    </row>
    <row r="694" spans="22:23" x14ac:dyDescent="0.35">
      <c r="V694">
        <f>IF(AND(SUM(IF('Consulta de contratos'!$K$1="",0,1),IF('Consulta de contratos'!$K$2="",0,1),IF('Consulta de contratos'!$K$3="",0,1),IF('Consulta de contratos'!$K$4="",0,1),IF('Consulta de contratos'!$K$5="",0,1))&gt;0,OR('Consulta de contratos'!$K$1="",A694='Consulta de contratos'!$K$1),OR('Consulta de contratos'!$K$2="",I694='Consulta de contratos'!$K$2,AND(LEFT('Consulta de contratos'!$K$2,7)="Grupo: ",ISNUMBER(SEARCH("|"&amp;MID('Consulta de contratos'!$K$2,8,120)&amp;"|",AF694)))),OR('Consulta de contratos'!$K$3="",C694='Consulta de contratos'!$K$3),OR('Consulta de contratos'!$K$4="",D694='Consulta de contratos'!$K$4),OR('Consulta de contratos'!$K$5="",E694='Consulta de contratos'!$K$5)),1,0)</f>
        <v>0</v>
      </c>
      <c r="W694">
        <f>IF(V694=1,SUM($V$2:V694),0)</f>
        <v>0</v>
      </c>
    </row>
    <row r="695" spans="22:23" x14ac:dyDescent="0.35">
      <c r="V695">
        <f>IF(AND(SUM(IF('Consulta de contratos'!$K$1="",0,1),IF('Consulta de contratos'!$K$2="",0,1),IF('Consulta de contratos'!$K$3="",0,1),IF('Consulta de contratos'!$K$4="",0,1),IF('Consulta de contratos'!$K$5="",0,1))&gt;0,OR('Consulta de contratos'!$K$1="",A695='Consulta de contratos'!$K$1),OR('Consulta de contratos'!$K$2="",I695='Consulta de contratos'!$K$2,AND(LEFT('Consulta de contratos'!$K$2,7)="Grupo: ",ISNUMBER(SEARCH("|"&amp;MID('Consulta de contratos'!$K$2,8,120)&amp;"|",AF695)))),OR('Consulta de contratos'!$K$3="",C695='Consulta de contratos'!$K$3),OR('Consulta de contratos'!$K$4="",D695='Consulta de contratos'!$K$4),OR('Consulta de contratos'!$K$5="",E695='Consulta de contratos'!$K$5)),1,0)</f>
        <v>0</v>
      </c>
      <c r="W695">
        <f>IF(V695=1,SUM($V$2:V695),0)</f>
        <v>0</v>
      </c>
    </row>
    <row r="696" spans="22:23" x14ac:dyDescent="0.35">
      <c r="V696">
        <f>IF(AND(SUM(IF('Consulta de contratos'!$K$1="",0,1),IF('Consulta de contratos'!$K$2="",0,1),IF('Consulta de contratos'!$K$3="",0,1),IF('Consulta de contratos'!$K$4="",0,1),IF('Consulta de contratos'!$K$5="",0,1))&gt;0,OR('Consulta de contratos'!$K$1="",A696='Consulta de contratos'!$K$1),OR('Consulta de contratos'!$K$2="",I696='Consulta de contratos'!$K$2,AND(LEFT('Consulta de contratos'!$K$2,7)="Grupo: ",ISNUMBER(SEARCH("|"&amp;MID('Consulta de contratos'!$K$2,8,120)&amp;"|",AF696)))),OR('Consulta de contratos'!$K$3="",C696='Consulta de contratos'!$K$3),OR('Consulta de contratos'!$K$4="",D696='Consulta de contratos'!$K$4),OR('Consulta de contratos'!$K$5="",E696='Consulta de contratos'!$K$5)),1,0)</f>
        <v>0</v>
      </c>
      <c r="W696">
        <f>IF(V696=1,SUM($V$2:V696),0)</f>
        <v>0</v>
      </c>
    </row>
    <row r="697" spans="22:23" x14ac:dyDescent="0.35">
      <c r="V697">
        <f>IF(AND(SUM(IF('Consulta de contratos'!$K$1="",0,1),IF('Consulta de contratos'!$K$2="",0,1),IF('Consulta de contratos'!$K$3="",0,1),IF('Consulta de contratos'!$K$4="",0,1),IF('Consulta de contratos'!$K$5="",0,1))&gt;0,OR('Consulta de contratos'!$K$1="",A697='Consulta de contratos'!$K$1),OR('Consulta de contratos'!$K$2="",I697='Consulta de contratos'!$K$2,AND(LEFT('Consulta de contratos'!$K$2,7)="Grupo: ",ISNUMBER(SEARCH("|"&amp;MID('Consulta de contratos'!$K$2,8,120)&amp;"|",AF697)))),OR('Consulta de contratos'!$K$3="",C697='Consulta de contratos'!$K$3),OR('Consulta de contratos'!$K$4="",D697='Consulta de contratos'!$K$4),OR('Consulta de contratos'!$K$5="",E697='Consulta de contratos'!$K$5)),1,0)</f>
        <v>0</v>
      </c>
      <c r="W697">
        <f>IF(V697=1,SUM($V$2:V697),0)</f>
        <v>0</v>
      </c>
    </row>
    <row r="698" spans="22:23" x14ac:dyDescent="0.35">
      <c r="V698">
        <f>IF(AND(SUM(IF('Consulta de contratos'!$K$1="",0,1),IF('Consulta de contratos'!$K$2="",0,1),IF('Consulta de contratos'!$K$3="",0,1),IF('Consulta de contratos'!$K$4="",0,1),IF('Consulta de contratos'!$K$5="",0,1))&gt;0,OR('Consulta de contratos'!$K$1="",A698='Consulta de contratos'!$K$1),OR('Consulta de contratos'!$K$2="",I698='Consulta de contratos'!$K$2,AND(LEFT('Consulta de contratos'!$K$2,7)="Grupo: ",ISNUMBER(SEARCH("|"&amp;MID('Consulta de contratos'!$K$2,8,120)&amp;"|",AF698)))),OR('Consulta de contratos'!$K$3="",C698='Consulta de contratos'!$K$3),OR('Consulta de contratos'!$K$4="",D698='Consulta de contratos'!$K$4),OR('Consulta de contratos'!$K$5="",E698='Consulta de contratos'!$K$5)),1,0)</f>
        <v>0</v>
      </c>
      <c r="W698">
        <f>IF(V698=1,SUM($V$2:V698),0)</f>
        <v>0</v>
      </c>
    </row>
    <row r="699" spans="22:23" x14ac:dyDescent="0.35">
      <c r="V699">
        <f>IF(AND(SUM(IF('Consulta de contratos'!$K$1="",0,1),IF('Consulta de contratos'!$K$2="",0,1),IF('Consulta de contratos'!$K$3="",0,1),IF('Consulta de contratos'!$K$4="",0,1),IF('Consulta de contratos'!$K$5="",0,1))&gt;0,OR('Consulta de contratos'!$K$1="",A699='Consulta de contratos'!$K$1),OR('Consulta de contratos'!$K$2="",I699='Consulta de contratos'!$K$2,AND(LEFT('Consulta de contratos'!$K$2,7)="Grupo: ",ISNUMBER(SEARCH("|"&amp;MID('Consulta de contratos'!$K$2,8,120)&amp;"|",AF699)))),OR('Consulta de contratos'!$K$3="",C699='Consulta de contratos'!$K$3),OR('Consulta de contratos'!$K$4="",D699='Consulta de contratos'!$K$4),OR('Consulta de contratos'!$K$5="",E699='Consulta de contratos'!$K$5)),1,0)</f>
        <v>0</v>
      </c>
      <c r="W699">
        <f>IF(V699=1,SUM($V$2:V699),0)</f>
        <v>0</v>
      </c>
    </row>
    <row r="700" spans="22:23" x14ac:dyDescent="0.35">
      <c r="V700">
        <f>IF(AND(SUM(IF('Consulta de contratos'!$K$1="",0,1),IF('Consulta de contratos'!$K$2="",0,1),IF('Consulta de contratos'!$K$3="",0,1),IF('Consulta de contratos'!$K$4="",0,1),IF('Consulta de contratos'!$K$5="",0,1))&gt;0,OR('Consulta de contratos'!$K$1="",A700='Consulta de contratos'!$K$1),OR('Consulta de contratos'!$K$2="",I700='Consulta de contratos'!$K$2,AND(LEFT('Consulta de contratos'!$K$2,7)="Grupo: ",ISNUMBER(SEARCH("|"&amp;MID('Consulta de contratos'!$K$2,8,120)&amp;"|",AF700)))),OR('Consulta de contratos'!$K$3="",C700='Consulta de contratos'!$K$3),OR('Consulta de contratos'!$K$4="",D700='Consulta de contratos'!$K$4),OR('Consulta de contratos'!$K$5="",E700='Consulta de contratos'!$K$5)),1,0)</f>
        <v>0</v>
      </c>
      <c r="W700">
        <f>IF(V700=1,SUM($V$2:V700),0)</f>
        <v>0</v>
      </c>
    </row>
    <row r="701" spans="22:23" x14ac:dyDescent="0.35">
      <c r="V701">
        <f>IF(AND(SUM(IF('Consulta de contratos'!$K$1="",0,1),IF('Consulta de contratos'!$K$2="",0,1),IF('Consulta de contratos'!$K$3="",0,1),IF('Consulta de contratos'!$K$4="",0,1),IF('Consulta de contratos'!$K$5="",0,1))&gt;0,OR('Consulta de contratos'!$K$1="",A701='Consulta de contratos'!$K$1),OR('Consulta de contratos'!$K$2="",I701='Consulta de contratos'!$K$2,AND(LEFT('Consulta de contratos'!$K$2,7)="Grupo: ",ISNUMBER(SEARCH("|"&amp;MID('Consulta de contratos'!$K$2,8,120)&amp;"|",AF701)))),OR('Consulta de contratos'!$K$3="",C701='Consulta de contratos'!$K$3),OR('Consulta de contratos'!$K$4="",D701='Consulta de contratos'!$K$4),OR('Consulta de contratos'!$K$5="",E701='Consulta de contratos'!$K$5)),1,0)</f>
        <v>0</v>
      </c>
      <c r="W701">
        <f>IF(V701=1,SUM($V$2:V701),0)</f>
        <v>0</v>
      </c>
    </row>
    <row r="702" spans="22:23" x14ac:dyDescent="0.35">
      <c r="V702">
        <f>IF(AND(SUM(IF('Consulta de contratos'!$K$1="",0,1),IF('Consulta de contratos'!$K$2="",0,1),IF('Consulta de contratos'!$K$3="",0,1),IF('Consulta de contratos'!$K$4="",0,1),IF('Consulta de contratos'!$K$5="",0,1))&gt;0,OR('Consulta de contratos'!$K$1="",A702='Consulta de contratos'!$K$1),OR('Consulta de contratos'!$K$2="",I702='Consulta de contratos'!$K$2,AND(LEFT('Consulta de contratos'!$K$2,7)="Grupo: ",ISNUMBER(SEARCH("|"&amp;MID('Consulta de contratos'!$K$2,8,120)&amp;"|",AF702)))),OR('Consulta de contratos'!$K$3="",C702='Consulta de contratos'!$K$3),OR('Consulta de contratos'!$K$4="",D702='Consulta de contratos'!$K$4),OR('Consulta de contratos'!$K$5="",E702='Consulta de contratos'!$K$5)),1,0)</f>
        <v>0</v>
      </c>
      <c r="W702">
        <f>IF(V702=1,SUM($V$2:V702),0)</f>
        <v>0</v>
      </c>
    </row>
    <row r="703" spans="22:23" x14ac:dyDescent="0.35">
      <c r="V703">
        <f>IF(AND(SUM(IF('Consulta de contratos'!$K$1="",0,1),IF('Consulta de contratos'!$K$2="",0,1),IF('Consulta de contratos'!$K$3="",0,1),IF('Consulta de contratos'!$K$4="",0,1),IF('Consulta de contratos'!$K$5="",0,1))&gt;0,OR('Consulta de contratos'!$K$1="",A703='Consulta de contratos'!$K$1),OR('Consulta de contratos'!$K$2="",I703='Consulta de contratos'!$K$2,AND(LEFT('Consulta de contratos'!$K$2,7)="Grupo: ",ISNUMBER(SEARCH("|"&amp;MID('Consulta de contratos'!$K$2,8,120)&amp;"|",AF703)))),OR('Consulta de contratos'!$K$3="",C703='Consulta de contratos'!$K$3),OR('Consulta de contratos'!$K$4="",D703='Consulta de contratos'!$K$4),OR('Consulta de contratos'!$K$5="",E703='Consulta de contratos'!$K$5)),1,0)</f>
        <v>0</v>
      </c>
      <c r="W703">
        <f>IF(V703=1,SUM($V$2:V703),0)</f>
        <v>0</v>
      </c>
    </row>
    <row r="704" spans="22:23" x14ac:dyDescent="0.35">
      <c r="V704">
        <f>IF(AND(SUM(IF('Consulta de contratos'!$K$1="",0,1),IF('Consulta de contratos'!$K$2="",0,1),IF('Consulta de contratos'!$K$3="",0,1),IF('Consulta de contratos'!$K$4="",0,1),IF('Consulta de contratos'!$K$5="",0,1))&gt;0,OR('Consulta de contratos'!$K$1="",A704='Consulta de contratos'!$K$1),OR('Consulta de contratos'!$K$2="",I704='Consulta de contratos'!$K$2,AND(LEFT('Consulta de contratos'!$K$2,7)="Grupo: ",ISNUMBER(SEARCH("|"&amp;MID('Consulta de contratos'!$K$2,8,120)&amp;"|",AF704)))),OR('Consulta de contratos'!$K$3="",C704='Consulta de contratos'!$K$3),OR('Consulta de contratos'!$K$4="",D704='Consulta de contratos'!$K$4),OR('Consulta de contratos'!$K$5="",E704='Consulta de contratos'!$K$5)),1,0)</f>
        <v>0</v>
      </c>
      <c r="W704">
        <f>IF(V704=1,SUM($V$2:V704),0)</f>
        <v>0</v>
      </c>
    </row>
    <row r="705" spans="22:23" x14ac:dyDescent="0.35">
      <c r="V705">
        <f>IF(AND(SUM(IF('Consulta de contratos'!$K$1="",0,1),IF('Consulta de contratos'!$K$2="",0,1),IF('Consulta de contratos'!$K$3="",0,1),IF('Consulta de contratos'!$K$4="",0,1),IF('Consulta de contratos'!$K$5="",0,1))&gt;0,OR('Consulta de contratos'!$K$1="",A705='Consulta de contratos'!$K$1),OR('Consulta de contratos'!$K$2="",I705='Consulta de contratos'!$K$2,AND(LEFT('Consulta de contratos'!$K$2,7)="Grupo: ",ISNUMBER(SEARCH("|"&amp;MID('Consulta de contratos'!$K$2,8,120)&amp;"|",AF705)))),OR('Consulta de contratos'!$K$3="",C705='Consulta de contratos'!$K$3),OR('Consulta de contratos'!$K$4="",D705='Consulta de contratos'!$K$4),OR('Consulta de contratos'!$K$5="",E705='Consulta de contratos'!$K$5)),1,0)</f>
        <v>0</v>
      </c>
      <c r="W705">
        <f>IF(V705=1,SUM($V$2:V705),0)</f>
        <v>0</v>
      </c>
    </row>
    <row r="706" spans="22:23" x14ac:dyDescent="0.35">
      <c r="V706">
        <f>IF(AND(SUM(IF('Consulta de contratos'!$K$1="",0,1),IF('Consulta de contratos'!$K$2="",0,1),IF('Consulta de contratos'!$K$3="",0,1),IF('Consulta de contratos'!$K$4="",0,1),IF('Consulta de contratos'!$K$5="",0,1))&gt;0,OR('Consulta de contratos'!$K$1="",A706='Consulta de contratos'!$K$1),OR('Consulta de contratos'!$K$2="",I706='Consulta de contratos'!$K$2,AND(LEFT('Consulta de contratos'!$K$2,7)="Grupo: ",ISNUMBER(SEARCH("|"&amp;MID('Consulta de contratos'!$K$2,8,120)&amp;"|",AF706)))),OR('Consulta de contratos'!$K$3="",C706='Consulta de contratos'!$K$3),OR('Consulta de contratos'!$K$4="",D706='Consulta de contratos'!$K$4),OR('Consulta de contratos'!$K$5="",E706='Consulta de contratos'!$K$5)),1,0)</f>
        <v>0</v>
      </c>
      <c r="W706">
        <f>IF(V706=1,SUM($V$2:V706),0)</f>
        <v>0</v>
      </c>
    </row>
    <row r="707" spans="22:23" x14ac:dyDescent="0.35">
      <c r="V707">
        <f>IF(AND(SUM(IF('Consulta de contratos'!$K$1="",0,1),IF('Consulta de contratos'!$K$2="",0,1),IF('Consulta de contratos'!$K$3="",0,1),IF('Consulta de contratos'!$K$4="",0,1),IF('Consulta de contratos'!$K$5="",0,1))&gt;0,OR('Consulta de contratos'!$K$1="",A707='Consulta de contratos'!$K$1),OR('Consulta de contratos'!$K$2="",I707='Consulta de contratos'!$K$2,AND(LEFT('Consulta de contratos'!$K$2,7)="Grupo: ",ISNUMBER(SEARCH("|"&amp;MID('Consulta de contratos'!$K$2,8,120)&amp;"|",AF707)))),OR('Consulta de contratos'!$K$3="",C707='Consulta de contratos'!$K$3),OR('Consulta de contratos'!$K$4="",D707='Consulta de contratos'!$K$4),OR('Consulta de contratos'!$K$5="",E707='Consulta de contratos'!$K$5)),1,0)</f>
        <v>0</v>
      </c>
      <c r="W707">
        <f>IF(V707=1,SUM($V$2:V707),0)</f>
        <v>0</v>
      </c>
    </row>
    <row r="708" spans="22:23" x14ac:dyDescent="0.35">
      <c r="V708">
        <f>IF(AND(SUM(IF('Consulta de contratos'!$K$1="",0,1),IF('Consulta de contratos'!$K$2="",0,1),IF('Consulta de contratos'!$K$3="",0,1),IF('Consulta de contratos'!$K$4="",0,1),IF('Consulta de contratos'!$K$5="",0,1))&gt;0,OR('Consulta de contratos'!$K$1="",A708='Consulta de contratos'!$K$1),OR('Consulta de contratos'!$K$2="",I708='Consulta de contratos'!$K$2,AND(LEFT('Consulta de contratos'!$K$2,7)="Grupo: ",ISNUMBER(SEARCH("|"&amp;MID('Consulta de contratos'!$K$2,8,120)&amp;"|",AF708)))),OR('Consulta de contratos'!$K$3="",C708='Consulta de contratos'!$K$3),OR('Consulta de contratos'!$K$4="",D708='Consulta de contratos'!$K$4),OR('Consulta de contratos'!$K$5="",E708='Consulta de contratos'!$K$5)),1,0)</f>
        <v>0</v>
      </c>
      <c r="W708">
        <f>IF(V708=1,SUM($V$2:V708),0)</f>
        <v>0</v>
      </c>
    </row>
    <row r="709" spans="22:23" x14ac:dyDescent="0.35">
      <c r="V709">
        <f>IF(AND(SUM(IF('Consulta de contratos'!$K$1="",0,1),IF('Consulta de contratos'!$K$2="",0,1),IF('Consulta de contratos'!$K$3="",0,1),IF('Consulta de contratos'!$K$4="",0,1),IF('Consulta de contratos'!$K$5="",0,1))&gt;0,OR('Consulta de contratos'!$K$1="",A709='Consulta de contratos'!$K$1),OR('Consulta de contratos'!$K$2="",I709='Consulta de contratos'!$K$2,AND(LEFT('Consulta de contratos'!$K$2,7)="Grupo: ",ISNUMBER(SEARCH("|"&amp;MID('Consulta de contratos'!$K$2,8,120)&amp;"|",AF709)))),OR('Consulta de contratos'!$K$3="",C709='Consulta de contratos'!$K$3),OR('Consulta de contratos'!$K$4="",D709='Consulta de contratos'!$K$4),OR('Consulta de contratos'!$K$5="",E709='Consulta de contratos'!$K$5)),1,0)</f>
        <v>0</v>
      </c>
      <c r="W709">
        <f>IF(V709=1,SUM($V$2:V709),0)</f>
        <v>0</v>
      </c>
    </row>
    <row r="710" spans="22:23" x14ac:dyDescent="0.35">
      <c r="V710">
        <f>IF(AND(SUM(IF('Consulta de contratos'!$K$1="",0,1),IF('Consulta de contratos'!$K$2="",0,1),IF('Consulta de contratos'!$K$3="",0,1),IF('Consulta de contratos'!$K$4="",0,1),IF('Consulta de contratos'!$K$5="",0,1))&gt;0,OR('Consulta de contratos'!$K$1="",A710='Consulta de contratos'!$K$1),OR('Consulta de contratos'!$K$2="",I710='Consulta de contratos'!$K$2,AND(LEFT('Consulta de contratos'!$K$2,7)="Grupo: ",ISNUMBER(SEARCH("|"&amp;MID('Consulta de contratos'!$K$2,8,120)&amp;"|",AF710)))),OR('Consulta de contratos'!$K$3="",C710='Consulta de contratos'!$K$3),OR('Consulta de contratos'!$K$4="",D710='Consulta de contratos'!$K$4),OR('Consulta de contratos'!$K$5="",E710='Consulta de contratos'!$K$5)),1,0)</f>
        <v>0</v>
      </c>
      <c r="W710">
        <f>IF(V710=1,SUM($V$2:V710),0)</f>
        <v>0</v>
      </c>
    </row>
    <row r="711" spans="22:23" x14ac:dyDescent="0.35">
      <c r="V711">
        <f>IF(AND(SUM(IF('Consulta de contratos'!$K$1="",0,1),IF('Consulta de contratos'!$K$2="",0,1),IF('Consulta de contratos'!$K$3="",0,1),IF('Consulta de contratos'!$K$4="",0,1),IF('Consulta de contratos'!$K$5="",0,1))&gt;0,OR('Consulta de contratos'!$K$1="",A711='Consulta de contratos'!$K$1),OR('Consulta de contratos'!$K$2="",I711='Consulta de contratos'!$K$2,AND(LEFT('Consulta de contratos'!$K$2,7)="Grupo: ",ISNUMBER(SEARCH("|"&amp;MID('Consulta de contratos'!$K$2,8,120)&amp;"|",AF711)))),OR('Consulta de contratos'!$K$3="",C711='Consulta de contratos'!$K$3),OR('Consulta de contratos'!$K$4="",D711='Consulta de contratos'!$K$4),OR('Consulta de contratos'!$K$5="",E711='Consulta de contratos'!$K$5)),1,0)</f>
        <v>0</v>
      </c>
      <c r="W711">
        <f>IF(V711=1,SUM($V$2:V711),0)</f>
        <v>0</v>
      </c>
    </row>
    <row r="712" spans="22:23" x14ac:dyDescent="0.35">
      <c r="V712">
        <f>IF(AND(SUM(IF('Consulta de contratos'!$K$1="",0,1),IF('Consulta de contratos'!$K$2="",0,1),IF('Consulta de contratos'!$K$3="",0,1),IF('Consulta de contratos'!$K$4="",0,1),IF('Consulta de contratos'!$K$5="",0,1))&gt;0,OR('Consulta de contratos'!$K$1="",A712='Consulta de contratos'!$K$1),OR('Consulta de contratos'!$K$2="",I712='Consulta de contratos'!$K$2,AND(LEFT('Consulta de contratos'!$K$2,7)="Grupo: ",ISNUMBER(SEARCH("|"&amp;MID('Consulta de contratos'!$K$2,8,120)&amp;"|",AF712)))),OR('Consulta de contratos'!$K$3="",C712='Consulta de contratos'!$K$3),OR('Consulta de contratos'!$K$4="",D712='Consulta de contratos'!$K$4),OR('Consulta de contratos'!$K$5="",E712='Consulta de contratos'!$K$5)),1,0)</f>
        <v>0</v>
      </c>
      <c r="W712">
        <f>IF(V712=1,SUM($V$2:V712),0)</f>
        <v>0</v>
      </c>
    </row>
    <row r="713" spans="22:23" x14ac:dyDescent="0.35">
      <c r="V713">
        <f>IF(AND(SUM(IF('Consulta de contratos'!$K$1="",0,1),IF('Consulta de contratos'!$K$2="",0,1),IF('Consulta de contratos'!$K$3="",0,1),IF('Consulta de contratos'!$K$4="",0,1),IF('Consulta de contratos'!$K$5="",0,1))&gt;0,OR('Consulta de contratos'!$K$1="",A713='Consulta de contratos'!$K$1),OR('Consulta de contratos'!$K$2="",I713='Consulta de contratos'!$K$2,AND(LEFT('Consulta de contratos'!$K$2,7)="Grupo: ",ISNUMBER(SEARCH("|"&amp;MID('Consulta de contratos'!$K$2,8,120)&amp;"|",AF713)))),OR('Consulta de contratos'!$K$3="",C713='Consulta de contratos'!$K$3),OR('Consulta de contratos'!$K$4="",D713='Consulta de contratos'!$K$4),OR('Consulta de contratos'!$K$5="",E713='Consulta de contratos'!$K$5)),1,0)</f>
        <v>0</v>
      </c>
      <c r="W713">
        <f>IF(V713=1,SUM($V$2:V713),0)</f>
        <v>0</v>
      </c>
    </row>
    <row r="714" spans="22:23" x14ac:dyDescent="0.35">
      <c r="V714">
        <f>IF(AND(SUM(IF('Consulta de contratos'!$K$1="",0,1),IF('Consulta de contratos'!$K$2="",0,1),IF('Consulta de contratos'!$K$3="",0,1),IF('Consulta de contratos'!$K$4="",0,1),IF('Consulta de contratos'!$K$5="",0,1))&gt;0,OR('Consulta de contratos'!$K$1="",A714='Consulta de contratos'!$K$1),OR('Consulta de contratos'!$K$2="",I714='Consulta de contratos'!$K$2,AND(LEFT('Consulta de contratos'!$K$2,7)="Grupo: ",ISNUMBER(SEARCH("|"&amp;MID('Consulta de contratos'!$K$2,8,120)&amp;"|",AF714)))),OR('Consulta de contratos'!$K$3="",C714='Consulta de contratos'!$K$3),OR('Consulta de contratos'!$K$4="",D714='Consulta de contratos'!$K$4),OR('Consulta de contratos'!$K$5="",E714='Consulta de contratos'!$K$5)),1,0)</f>
        <v>0</v>
      </c>
      <c r="W714">
        <f>IF(V714=1,SUM($V$2:V714),0)</f>
        <v>0</v>
      </c>
    </row>
    <row r="715" spans="22:23" x14ac:dyDescent="0.35">
      <c r="V715">
        <f>IF(AND(SUM(IF('Consulta de contratos'!$K$1="",0,1),IF('Consulta de contratos'!$K$2="",0,1),IF('Consulta de contratos'!$K$3="",0,1),IF('Consulta de contratos'!$K$4="",0,1),IF('Consulta de contratos'!$K$5="",0,1))&gt;0,OR('Consulta de contratos'!$K$1="",A715='Consulta de contratos'!$K$1),OR('Consulta de contratos'!$K$2="",I715='Consulta de contratos'!$K$2,AND(LEFT('Consulta de contratos'!$K$2,7)="Grupo: ",ISNUMBER(SEARCH("|"&amp;MID('Consulta de contratos'!$K$2,8,120)&amp;"|",AF715)))),OR('Consulta de contratos'!$K$3="",C715='Consulta de contratos'!$K$3),OR('Consulta de contratos'!$K$4="",D715='Consulta de contratos'!$K$4),OR('Consulta de contratos'!$K$5="",E715='Consulta de contratos'!$K$5)),1,0)</f>
        <v>0</v>
      </c>
      <c r="W715">
        <f>IF(V715=1,SUM($V$2:V715),0)</f>
        <v>0</v>
      </c>
    </row>
    <row r="716" spans="22:23" x14ac:dyDescent="0.35">
      <c r="V716">
        <f>IF(AND(SUM(IF('Consulta de contratos'!$K$1="",0,1),IF('Consulta de contratos'!$K$2="",0,1),IF('Consulta de contratos'!$K$3="",0,1),IF('Consulta de contratos'!$K$4="",0,1),IF('Consulta de contratos'!$K$5="",0,1))&gt;0,OR('Consulta de contratos'!$K$1="",A716='Consulta de contratos'!$K$1),OR('Consulta de contratos'!$K$2="",I716='Consulta de contratos'!$K$2,AND(LEFT('Consulta de contratos'!$K$2,7)="Grupo: ",ISNUMBER(SEARCH("|"&amp;MID('Consulta de contratos'!$K$2,8,120)&amp;"|",AF716)))),OR('Consulta de contratos'!$K$3="",C716='Consulta de contratos'!$K$3),OR('Consulta de contratos'!$K$4="",D716='Consulta de contratos'!$K$4),OR('Consulta de contratos'!$K$5="",E716='Consulta de contratos'!$K$5)),1,0)</f>
        <v>0</v>
      </c>
      <c r="W716">
        <f>IF(V716=1,SUM($V$2:V716),0)</f>
        <v>0</v>
      </c>
    </row>
    <row r="717" spans="22:23" x14ac:dyDescent="0.35">
      <c r="V717">
        <f>IF(AND(SUM(IF('Consulta de contratos'!$K$1="",0,1),IF('Consulta de contratos'!$K$2="",0,1),IF('Consulta de contratos'!$K$3="",0,1),IF('Consulta de contratos'!$K$4="",0,1),IF('Consulta de contratos'!$K$5="",0,1))&gt;0,OR('Consulta de contratos'!$K$1="",A717='Consulta de contratos'!$K$1),OR('Consulta de contratos'!$K$2="",I717='Consulta de contratos'!$K$2,AND(LEFT('Consulta de contratos'!$K$2,7)="Grupo: ",ISNUMBER(SEARCH("|"&amp;MID('Consulta de contratos'!$K$2,8,120)&amp;"|",AF717)))),OR('Consulta de contratos'!$K$3="",C717='Consulta de contratos'!$K$3),OR('Consulta de contratos'!$K$4="",D717='Consulta de contratos'!$K$4),OR('Consulta de contratos'!$K$5="",E717='Consulta de contratos'!$K$5)),1,0)</f>
        <v>0</v>
      </c>
      <c r="W717">
        <f>IF(V717=1,SUM($V$2:V717),0)</f>
        <v>0</v>
      </c>
    </row>
    <row r="718" spans="22:23" x14ac:dyDescent="0.35">
      <c r="V718">
        <f>IF(AND(SUM(IF('Consulta de contratos'!$K$1="",0,1),IF('Consulta de contratos'!$K$2="",0,1),IF('Consulta de contratos'!$K$3="",0,1),IF('Consulta de contratos'!$K$4="",0,1),IF('Consulta de contratos'!$K$5="",0,1))&gt;0,OR('Consulta de contratos'!$K$1="",A718='Consulta de contratos'!$K$1),OR('Consulta de contratos'!$K$2="",I718='Consulta de contratos'!$K$2,AND(LEFT('Consulta de contratos'!$K$2,7)="Grupo: ",ISNUMBER(SEARCH("|"&amp;MID('Consulta de contratos'!$K$2,8,120)&amp;"|",AF718)))),OR('Consulta de contratos'!$K$3="",C718='Consulta de contratos'!$K$3),OR('Consulta de contratos'!$K$4="",D718='Consulta de contratos'!$K$4),OR('Consulta de contratos'!$K$5="",E718='Consulta de contratos'!$K$5)),1,0)</f>
        <v>0</v>
      </c>
      <c r="W718">
        <f>IF(V718=1,SUM($V$2:V718),0)</f>
        <v>0</v>
      </c>
    </row>
    <row r="719" spans="22:23" x14ac:dyDescent="0.35">
      <c r="V719">
        <f>IF(AND(SUM(IF('Consulta de contratos'!$K$1="",0,1),IF('Consulta de contratos'!$K$2="",0,1),IF('Consulta de contratos'!$K$3="",0,1),IF('Consulta de contratos'!$K$4="",0,1),IF('Consulta de contratos'!$K$5="",0,1))&gt;0,OR('Consulta de contratos'!$K$1="",A719='Consulta de contratos'!$K$1),OR('Consulta de contratos'!$K$2="",I719='Consulta de contratos'!$K$2,AND(LEFT('Consulta de contratos'!$K$2,7)="Grupo: ",ISNUMBER(SEARCH("|"&amp;MID('Consulta de contratos'!$K$2,8,120)&amp;"|",AF719)))),OR('Consulta de contratos'!$K$3="",C719='Consulta de contratos'!$K$3),OR('Consulta de contratos'!$K$4="",D719='Consulta de contratos'!$K$4),OR('Consulta de contratos'!$K$5="",E719='Consulta de contratos'!$K$5)),1,0)</f>
        <v>0</v>
      </c>
      <c r="W719">
        <f>IF(V719=1,SUM($V$2:V719),0)</f>
        <v>0</v>
      </c>
    </row>
    <row r="720" spans="22:23" x14ac:dyDescent="0.35">
      <c r="V720">
        <f>IF(AND(SUM(IF('Consulta de contratos'!$K$1="",0,1),IF('Consulta de contratos'!$K$2="",0,1),IF('Consulta de contratos'!$K$3="",0,1),IF('Consulta de contratos'!$K$4="",0,1),IF('Consulta de contratos'!$K$5="",0,1))&gt;0,OR('Consulta de contratos'!$K$1="",A720='Consulta de contratos'!$K$1),OR('Consulta de contratos'!$K$2="",I720='Consulta de contratos'!$K$2,AND(LEFT('Consulta de contratos'!$K$2,7)="Grupo: ",ISNUMBER(SEARCH("|"&amp;MID('Consulta de contratos'!$K$2,8,120)&amp;"|",AF720)))),OR('Consulta de contratos'!$K$3="",C720='Consulta de contratos'!$K$3),OR('Consulta de contratos'!$K$4="",D720='Consulta de contratos'!$K$4),OR('Consulta de contratos'!$K$5="",E720='Consulta de contratos'!$K$5)),1,0)</f>
        <v>0</v>
      </c>
      <c r="W720">
        <f>IF(V720=1,SUM($V$2:V720),0)</f>
        <v>0</v>
      </c>
    </row>
    <row r="721" spans="22:23" x14ac:dyDescent="0.35">
      <c r="V721">
        <f>IF(AND(SUM(IF('Consulta de contratos'!$K$1="",0,1),IF('Consulta de contratos'!$K$2="",0,1),IF('Consulta de contratos'!$K$3="",0,1),IF('Consulta de contratos'!$K$4="",0,1),IF('Consulta de contratos'!$K$5="",0,1))&gt;0,OR('Consulta de contratos'!$K$1="",A721='Consulta de contratos'!$K$1),OR('Consulta de contratos'!$K$2="",I721='Consulta de contratos'!$K$2,AND(LEFT('Consulta de contratos'!$K$2,7)="Grupo: ",ISNUMBER(SEARCH("|"&amp;MID('Consulta de contratos'!$K$2,8,120)&amp;"|",AF721)))),OR('Consulta de contratos'!$K$3="",C721='Consulta de contratos'!$K$3),OR('Consulta de contratos'!$K$4="",D721='Consulta de contratos'!$K$4),OR('Consulta de contratos'!$K$5="",E721='Consulta de contratos'!$K$5)),1,0)</f>
        <v>0</v>
      </c>
      <c r="W721">
        <f>IF(V721=1,SUM($V$2:V721),0)</f>
        <v>0</v>
      </c>
    </row>
    <row r="722" spans="22:23" x14ac:dyDescent="0.35">
      <c r="V722">
        <f>IF(AND(SUM(IF('Consulta de contratos'!$K$1="",0,1),IF('Consulta de contratos'!$K$2="",0,1),IF('Consulta de contratos'!$K$3="",0,1),IF('Consulta de contratos'!$K$4="",0,1),IF('Consulta de contratos'!$K$5="",0,1))&gt;0,OR('Consulta de contratos'!$K$1="",A722='Consulta de contratos'!$K$1),OR('Consulta de contratos'!$K$2="",I722='Consulta de contratos'!$K$2,AND(LEFT('Consulta de contratos'!$K$2,7)="Grupo: ",ISNUMBER(SEARCH("|"&amp;MID('Consulta de contratos'!$K$2,8,120)&amp;"|",AF722)))),OR('Consulta de contratos'!$K$3="",C722='Consulta de contratos'!$K$3),OR('Consulta de contratos'!$K$4="",D722='Consulta de contratos'!$K$4),OR('Consulta de contratos'!$K$5="",E722='Consulta de contratos'!$K$5)),1,0)</f>
        <v>0</v>
      </c>
      <c r="W722">
        <f>IF(V722=1,SUM($V$2:V722),0)</f>
        <v>0</v>
      </c>
    </row>
    <row r="723" spans="22:23" x14ac:dyDescent="0.35">
      <c r="V723">
        <f>IF(AND(SUM(IF('Consulta de contratos'!$K$1="",0,1),IF('Consulta de contratos'!$K$2="",0,1),IF('Consulta de contratos'!$K$3="",0,1),IF('Consulta de contratos'!$K$4="",0,1),IF('Consulta de contratos'!$K$5="",0,1))&gt;0,OR('Consulta de contratos'!$K$1="",A723='Consulta de contratos'!$K$1),OR('Consulta de contratos'!$K$2="",I723='Consulta de contratos'!$K$2,AND(LEFT('Consulta de contratos'!$K$2,7)="Grupo: ",ISNUMBER(SEARCH("|"&amp;MID('Consulta de contratos'!$K$2,8,120)&amp;"|",AF723)))),OR('Consulta de contratos'!$K$3="",C723='Consulta de contratos'!$K$3),OR('Consulta de contratos'!$K$4="",D723='Consulta de contratos'!$K$4),OR('Consulta de contratos'!$K$5="",E723='Consulta de contratos'!$K$5)),1,0)</f>
        <v>0</v>
      </c>
      <c r="W723">
        <f>IF(V723=1,SUM($V$2:V723),0)</f>
        <v>0</v>
      </c>
    </row>
    <row r="724" spans="22:23" x14ac:dyDescent="0.35">
      <c r="V724">
        <f>IF(AND(SUM(IF('Consulta de contratos'!$K$1="",0,1),IF('Consulta de contratos'!$K$2="",0,1),IF('Consulta de contratos'!$K$3="",0,1),IF('Consulta de contratos'!$K$4="",0,1),IF('Consulta de contratos'!$K$5="",0,1))&gt;0,OR('Consulta de contratos'!$K$1="",A724='Consulta de contratos'!$K$1),OR('Consulta de contratos'!$K$2="",I724='Consulta de contratos'!$K$2,AND(LEFT('Consulta de contratos'!$K$2,7)="Grupo: ",ISNUMBER(SEARCH("|"&amp;MID('Consulta de contratos'!$K$2,8,120)&amp;"|",AF724)))),OR('Consulta de contratos'!$K$3="",C724='Consulta de contratos'!$K$3),OR('Consulta de contratos'!$K$4="",D724='Consulta de contratos'!$K$4),OR('Consulta de contratos'!$K$5="",E724='Consulta de contratos'!$K$5)),1,0)</f>
        <v>0</v>
      </c>
      <c r="W724">
        <f>IF(V724=1,SUM($V$2:V724),0)</f>
        <v>0</v>
      </c>
    </row>
    <row r="725" spans="22:23" x14ac:dyDescent="0.35">
      <c r="V725">
        <f>IF(AND(SUM(IF('Consulta de contratos'!$K$1="",0,1),IF('Consulta de contratos'!$K$2="",0,1),IF('Consulta de contratos'!$K$3="",0,1),IF('Consulta de contratos'!$K$4="",0,1),IF('Consulta de contratos'!$K$5="",0,1))&gt;0,OR('Consulta de contratos'!$K$1="",A725='Consulta de contratos'!$K$1),OR('Consulta de contratos'!$K$2="",I725='Consulta de contratos'!$K$2,AND(LEFT('Consulta de contratos'!$K$2,7)="Grupo: ",ISNUMBER(SEARCH("|"&amp;MID('Consulta de contratos'!$K$2,8,120)&amp;"|",AF725)))),OR('Consulta de contratos'!$K$3="",C725='Consulta de contratos'!$K$3),OR('Consulta de contratos'!$K$4="",D725='Consulta de contratos'!$K$4),OR('Consulta de contratos'!$K$5="",E725='Consulta de contratos'!$K$5)),1,0)</f>
        <v>0</v>
      </c>
      <c r="W725">
        <f>IF(V725=1,SUM($V$2:V725),0)</f>
        <v>0</v>
      </c>
    </row>
    <row r="726" spans="22:23" x14ac:dyDescent="0.35">
      <c r="V726">
        <f>IF(AND(SUM(IF('Consulta de contratos'!$K$1="",0,1),IF('Consulta de contratos'!$K$2="",0,1),IF('Consulta de contratos'!$K$3="",0,1),IF('Consulta de contratos'!$K$4="",0,1),IF('Consulta de contratos'!$K$5="",0,1))&gt;0,OR('Consulta de contratos'!$K$1="",A726='Consulta de contratos'!$K$1),OR('Consulta de contratos'!$K$2="",I726='Consulta de contratos'!$K$2,AND(LEFT('Consulta de contratos'!$K$2,7)="Grupo: ",ISNUMBER(SEARCH("|"&amp;MID('Consulta de contratos'!$K$2,8,120)&amp;"|",AF726)))),OR('Consulta de contratos'!$K$3="",C726='Consulta de contratos'!$K$3),OR('Consulta de contratos'!$K$4="",D726='Consulta de contratos'!$K$4),OR('Consulta de contratos'!$K$5="",E726='Consulta de contratos'!$K$5)),1,0)</f>
        <v>0</v>
      </c>
      <c r="W726">
        <f>IF(V726=1,SUM($V$2:V726),0)</f>
        <v>0</v>
      </c>
    </row>
    <row r="727" spans="22:23" x14ac:dyDescent="0.35">
      <c r="V727">
        <f>IF(AND(SUM(IF('Consulta de contratos'!$K$1="",0,1),IF('Consulta de contratos'!$K$2="",0,1),IF('Consulta de contratos'!$K$3="",0,1),IF('Consulta de contratos'!$K$4="",0,1),IF('Consulta de contratos'!$K$5="",0,1))&gt;0,OR('Consulta de contratos'!$K$1="",A727='Consulta de contratos'!$K$1),OR('Consulta de contratos'!$K$2="",I727='Consulta de contratos'!$K$2,AND(LEFT('Consulta de contratos'!$K$2,7)="Grupo: ",ISNUMBER(SEARCH("|"&amp;MID('Consulta de contratos'!$K$2,8,120)&amp;"|",AF727)))),OR('Consulta de contratos'!$K$3="",C727='Consulta de contratos'!$K$3),OR('Consulta de contratos'!$K$4="",D727='Consulta de contratos'!$K$4),OR('Consulta de contratos'!$K$5="",E727='Consulta de contratos'!$K$5)),1,0)</f>
        <v>0</v>
      </c>
      <c r="W727">
        <f>IF(V727=1,SUM($V$2:V727),0)</f>
        <v>0</v>
      </c>
    </row>
    <row r="728" spans="22:23" x14ac:dyDescent="0.35">
      <c r="V728">
        <f>IF(AND(SUM(IF('Consulta de contratos'!$K$1="",0,1),IF('Consulta de contratos'!$K$2="",0,1),IF('Consulta de contratos'!$K$3="",0,1),IF('Consulta de contratos'!$K$4="",0,1),IF('Consulta de contratos'!$K$5="",0,1))&gt;0,OR('Consulta de contratos'!$K$1="",A728='Consulta de contratos'!$K$1),OR('Consulta de contratos'!$K$2="",I728='Consulta de contratos'!$K$2,AND(LEFT('Consulta de contratos'!$K$2,7)="Grupo: ",ISNUMBER(SEARCH("|"&amp;MID('Consulta de contratos'!$K$2,8,120)&amp;"|",AF728)))),OR('Consulta de contratos'!$K$3="",C728='Consulta de contratos'!$K$3),OR('Consulta de contratos'!$K$4="",D728='Consulta de contratos'!$K$4),OR('Consulta de contratos'!$K$5="",E728='Consulta de contratos'!$K$5)),1,0)</f>
        <v>0</v>
      </c>
      <c r="W728">
        <f>IF(V728=1,SUM($V$2:V728),0)</f>
        <v>0</v>
      </c>
    </row>
    <row r="729" spans="22:23" x14ac:dyDescent="0.35">
      <c r="V729">
        <f>IF(AND(SUM(IF('Consulta de contratos'!$K$1="",0,1),IF('Consulta de contratos'!$K$2="",0,1),IF('Consulta de contratos'!$K$3="",0,1),IF('Consulta de contratos'!$K$4="",0,1),IF('Consulta de contratos'!$K$5="",0,1))&gt;0,OR('Consulta de contratos'!$K$1="",A729='Consulta de contratos'!$K$1),OR('Consulta de contratos'!$K$2="",I729='Consulta de contratos'!$K$2,AND(LEFT('Consulta de contratos'!$K$2,7)="Grupo: ",ISNUMBER(SEARCH("|"&amp;MID('Consulta de contratos'!$K$2,8,120)&amp;"|",AF729)))),OR('Consulta de contratos'!$K$3="",C729='Consulta de contratos'!$K$3),OR('Consulta de contratos'!$K$4="",D729='Consulta de contratos'!$K$4),OR('Consulta de contratos'!$K$5="",E729='Consulta de contratos'!$K$5)),1,0)</f>
        <v>0</v>
      </c>
      <c r="W729">
        <f>IF(V729=1,SUM($V$2:V729),0)</f>
        <v>0</v>
      </c>
    </row>
    <row r="730" spans="22:23" x14ac:dyDescent="0.35">
      <c r="V730">
        <f>IF(AND(SUM(IF('Consulta de contratos'!$K$1="",0,1),IF('Consulta de contratos'!$K$2="",0,1),IF('Consulta de contratos'!$K$3="",0,1),IF('Consulta de contratos'!$K$4="",0,1),IF('Consulta de contratos'!$K$5="",0,1))&gt;0,OR('Consulta de contratos'!$K$1="",A730='Consulta de contratos'!$K$1),OR('Consulta de contratos'!$K$2="",I730='Consulta de contratos'!$K$2,AND(LEFT('Consulta de contratos'!$K$2,7)="Grupo: ",ISNUMBER(SEARCH("|"&amp;MID('Consulta de contratos'!$K$2,8,120)&amp;"|",AF730)))),OR('Consulta de contratos'!$K$3="",C730='Consulta de contratos'!$K$3),OR('Consulta de contratos'!$K$4="",D730='Consulta de contratos'!$K$4),OR('Consulta de contratos'!$K$5="",E730='Consulta de contratos'!$K$5)),1,0)</f>
        <v>0</v>
      </c>
      <c r="W730">
        <f>IF(V730=1,SUM($V$2:V730),0)</f>
        <v>0</v>
      </c>
    </row>
    <row r="731" spans="22:23" x14ac:dyDescent="0.35">
      <c r="V731">
        <f>IF(AND(SUM(IF('Consulta de contratos'!$K$1="",0,1),IF('Consulta de contratos'!$K$2="",0,1),IF('Consulta de contratos'!$K$3="",0,1),IF('Consulta de contratos'!$K$4="",0,1),IF('Consulta de contratos'!$K$5="",0,1))&gt;0,OR('Consulta de contratos'!$K$1="",A731='Consulta de contratos'!$K$1),OR('Consulta de contratos'!$K$2="",I731='Consulta de contratos'!$K$2,AND(LEFT('Consulta de contratos'!$K$2,7)="Grupo: ",ISNUMBER(SEARCH("|"&amp;MID('Consulta de contratos'!$K$2,8,120)&amp;"|",AF731)))),OR('Consulta de contratos'!$K$3="",C731='Consulta de contratos'!$K$3),OR('Consulta de contratos'!$K$4="",D731='Consulta de contratos'!$K$4),OR('Consulta de contratos'!$K$5="",E731='Consulta de contratos'!$K$5)),1,0)</f>
        <v>0</v>
      </c>
      <c r="W731">
        <f>IF(V731=1,SUM($V$2:V731),0)</f>
        <v>0</v>
      </c>
    </row>
    <row r="732" spans="22:23" x14ac:dyDescent="0.35">
      <c r="V732">
        <f>IF(AND(SUM(IF('Consulta de contratos'!$K$1="",0,1),IF('Consulta de contratos'!$K$2="",0,1),IF('Consulta de contratos'!$K$3="",0,1),IF('Consulta de contratos'!$K$4="",0,1),IF('Consulta de contratos'!$K$5="",0,1))&gt;0,OR('Consulta de contratos'!$K$1="",A732='Consulta de contratos'!$K$1),OR('Consulta de contratos'!$K$2="",I732='Consulta de contratos'!$K$2,AND(LEFT('Consulta de contratos'!$K$2,7)="Grupo: ",ISNUMBER(SEARCH("|"&amp;MID('Consulta de contratos'!$K$2,8,120)&amp;"|",AF732)))),OR('Consulta de contratos'!$K$3="",C732='Consulta de contratos'!$K$3),OR('Consulta de contratos'!$K$4="",D732='Consulta de contratos'!$K$4),OR('Consulta de contratos'!$K$5="",E732='Consulta de contratos'!$K$5)),1,0)</f>
        <v>0</v>
      </c>
      <c r="W732">
        <f>IF(V732=1,SUM($V$2:V732),0)</f>
        <v>0</v>
      </c>
    </row>
    <row r="733" spans="22:23" x14ac:dyDescent="0.35">
      <c r="V733">
        <f>IF(AND(SUM(IF('Consulta de contratos'!$K$1="",0,1),IF('Consulta de contratos'!$K$2="",0,1),IF('Consulta de contratos'!$K$3="",0,1),IF('Consulta de contratos'!$K$4="",0,1),IF('Consulta de contratos'!$K$5="",0,1))&gt;0,OR('Consulta de contratos'!$K$1="",A733='Consulta de contratos'!$K$1),OR('Consulta de contratos'!$K$2="",I733='Consulta de contratos'!$K$2,AND(LEFT('Consulta de contratos'!$K$2,7)="Grupo: ",ISNUMBER(SEARCH("|"&amp;MID('Consulta de contratos'!$K$2,8,120)&amp;"|",AF733)))),OR('Consulta de contratos'!$K$3="",C733='Consulta de contratos'!$K$3),OR('Consulta de contratos'!$K$4="",D733='Consulta de contratos'!$K$4),OR('Consulta de contratos'!$K$5="",E733='Consulta de contratos'!$K$5)),1,0)</f>
        <v>0</v>
      </c>
      <c r="W733">
        <f>IF(V733=1,SUM($V$2:V733),0)</f>
        <v>0</v>
      </c>
    </row>
    <row r="734" spans="22:23" x14ac:dyDescent="0.35">
      <c r="V734">
        <f>IF(AND(SUM(IF('Consulta de contratos'!$K$1="",0,1),IF('Consulta de contratos'!$K$2="",0,1),IF('Consulta de contratos'!$K$3="",0,1),IF('Consulta de contratos'!$K$4="",0,1),IF('Consulta de contratos'!$K$5="",0,1))&gt;0,OR('Consulta de contratos'!$K$1="",A734='Consulta de contratos'!$K$1),OR('Consulta de contratos'!$K$2="",I734='Consulta de contratos'!$K$2,AND(LEFT('Consulta de contratos'!$K$2,7)="Grupo: ",ISNUMBER(SEARCH("|"&amp;MID('Consulta de contratos'!$K$2,8,120)&amp;"|",AF734)))),OR('Consulta de contratos'!$K$3="",C734='Consulta de contratos'!$K$3),OR('Consulta de contratos'!$K$4="",D734='Consulta de contratos'!$K$4),OR('Consulta de contratos'!$K$5="",E734='Consulta de contratos'!$K$5)),1,0)</f>
        <v>0</v>
      </c>
      <c r="W734">
        <f>IF(V734=1,SUM($V$2:V734),0)</f>
        <v>0</v>
      </c>
    </row>
    <row r="735" spans="22:23" x14ac:dyDescent="0.35">
      <c r="V735">
        <f>IF(AND(SUM(IF('Consulta de contratos'!$K$1="",0,1),IF('Consulta de contratos'!$K$2="",0,1),IF('Consulta de contratos'!$K$3="",0,1),IF('Consulta de contratos'!$K$4="",0,1),IF('Consulta de contratos'!$K$5="",0,1))&gt;0,OR('Consulta de contratos'!$K$1="",A735='Consulta de contratos'!$K$1),OR('Consulta de contratos'!$K$2="",I735='Consulta de contratos'!$K$2,AND(LEFT('Consulta de contratos'!$K$2,7)="Grupo: ",ISNUMBER(SEARCH("|"&amp;MID('Consulta de contratos'!$K$2,8,120)&amp;"|",AF735)))),OR('Consulta de contratos'!$K$3="",C735='Consulta de contratos'!$K$3),OR('Consulta de contratos'!$K$4="",D735='Consulta de contratos'!$K$4),OR('Consulta de contratos'!$K$5="",E735='Consulta de contratos'!$K$5)),1,0)</f>
        <v>0</v>
      </c>
      <c r="W735">
        <f>IF(V735=1,SUM($V$2:V735),0)</f>
        <v>0</v>
      </c>
    </row>
    <row r="736" spans="22:23" x14ac:dyDescent="0.35">
      <c r="V736">
        <f>IF(AND(SUM(IF('Consulta de contratos'!$K$1="",0,1),IF('Consulta de contratos'!$K$2="",0,1),IF('Consulta de contratos'!$K$3="",0,1),IF('Consulta de contratos'!$K$4="",0,1),IF('Consulta de contratos'!$K$5="",0,1))&gt;0,OR('Consulta de contratos'!$K$1="",A736='Consulta de contratos'!$K$1),OR('Consulta de contratos'!$K$2="",I736='Consulta de contratos'!$K$2,AND(LEFT('Consulta de contratos'!$K$2,7)="Grupo: ",ISNUMBER(SEARCH("|"&amp;MID('Consulta de contratos'!$K$2,8,120)&amp;"|",AF736)))),OR('Consulta de contratos'!$K$3="",C736='Consulta de contratos'!$K$3),OR('Consulta de contratos'!$K$4="",D736='Consulta de contratos'!$K$4),OR('Consulta de contratos'!$K$5="",E736='Consulta de contratos'!$K$5)),1,0)</f>
        <v>0</v>
      </c>
      <c r="W736">
        <f>IF(V736=1,SUM($V$2:V736),0)</f>
        <v>0</v>
      </c>
    </row>
    <row r="737" spans="22:23" x14ac:dyDescent="0.35">
      <c r="V737">
        <f>IF(AND(SUM(IF('Consulta de contratos'!$K$1="",0,1),IF('Consulta de contratos'!$K$2="",0,1),IF('Consulta de contratos'!$K$3="",0,1),IF('Consulta de contratos'!$K$4="",0,1),IF('Consulta de contratos'!$K$5="",0,1))&gt;0,OR('Consulta de contratos'!$K$1="",A737='Consulta de contratos'!$K$1),OR('Consulta de contratos'!$K$2="",I737='Consulta de contratos'!$K$2,AND(LEFT('Consulta de contratos'!$K$2,7)="Grupo: ",ISNUMBER(SEARCH("|"&amp;MID('Consulta de contratos'!$K$2,8,120)&amp;"|",AF737)))),OR('Consulta de contratos'!$K$3="",C737='Consulta de contratos'!$K$3),OR('Consulta de contratos'!$K$4="",D737='Consulta de contratos'!$K$4),OR('Consulta de contratos'!$K$5="",E737='Consulta de contratos'!$K$5)),1,0)</f>
        <v>0</v>
      </c>
      <c r="W737">
        <f>IF(V737=1,SUM($V$2:V737),0)</f>
        <v>0</v>
      </c>
    </row>
    <row r="738" spans="22:23" x14ac:dyDescent="0.35">
      <c r="V738">
        <f>IF(AND(SUM(IF('Consulta de contratos'!$K$1="",0,1),IF('Consulta de contratos'!$K$2="",0,1),IF('Consulta de contratos'!$K$3="",0,1),IF('Consulta de contratos'!$K$4="",0,1),IF('Consulta de contratos'!$K$5="",0,1))&gt;0,OR('Consulta de contratos'!$K$1="",A738='Consulta de contratos'!$K$1),OR('Consulta de contratos'!$K$2="",I738='Consulta de contratos'!$K$2,AND(LEFT('Consulta de contratos'!$K$2,7)="Grupo: ",ISNUMBER(SEARCH("|"&amp;MID('Consulta de contratos'!$K$2,8,120)&amp;"|",AF738)))),OR('Consulta de contratos'!$K$3="",C738='Consulta de contratos'!$K$3),OR('Consulta de contratos'!$K$4="",D738='Consulta de contratos'!$K$4),OR('Consulta de contratos'!$K$5="",E738='Consulta de contratos'!$K$5)),1,0)</f>
        <v>0</v>
      </c>
      <c r="W738">
        <f>IF(V738=1,SUM($V$2:V738),0)</f>
        <v>0</v>
      </c>
    </row>
    <row r="739" spans="22:23" x14ac:dyDescent="0.35">
      <c r="V739">
        <f>IF(AND(SUM(IF('Consulta de contratos'!$K$1="",0,1),IF('Consulta de contratos'!$K$2="",0,1),IF('Consulta de contratos'!$K$3="",0,1),IF('Consulta de contratos'!$K$4="",0,1),IF('Consulta de contratos'!$K$5="",0,1))&gt;0,OR('Consulta de contratos'!$K$1="",A739='Consulta de contratos'!$K$1),OR('Consulta de contratos'!$K$2="",I739='Consulta de contratos'!$K$2,AND(LEFT('Consulta de contratos'!$K$2,7)="Grupo: ",ISNUMBER(SEARCH("|"&amp;MID('Consulta de contratos'!$K$2,8,120)&amp;"|",AF739)))),OR('Consulta de contratos'!$K$3="",C739='Consulta de contratos'!$K$3),OR('Consulta de contratos'!$K$4="",D739='Consulta de contratos'!$K$4),OR('Consulta de contratos'!$K$5="",E739='Consulta de contratos'!$K$5)),1,0)</f>
        <v>0</v>
      </c>
      <c r="W739">
        <f>IF(V739=1,SUM($V$2:V739),0)</f>
        <v>0</v>
      </c>
    </row>
    <row r="740" spans="22:23" x14ac:dyDescent="0.35">
      <c r="V740">
        <f>IF(AND(SUM(IF('Consulta de contratos'!$K$1="",0,1),IF('Consulta de contratos'!$K$2="",0,1),IF('Consulta de contratos'!$K$3="",0,1),IF('Consulta de contratos'!$K$4="",0,1),IF('Consulta de contratos'!$K$5="",0,1))&gt;0,OR('Consulta de contratos'!$K$1="",A740='Consulta de contratos'!$K$1),OR('Consulta de contratos'!$K$2="",I740='Consulta de contratos'!$K$2,AND(LEFT('Consulta de contratos'!$K$2,7)="Grupo: ",ISNUMBER(SEARCH("|"&amp;MID('Consulta de contratos'!$K$2,8,120)&amp;"|",AF740)))),OR('Consulta de contratos'!$K$3="",C740='Consulta de contratos'!$K$3),OR('Consulta de contratos'!$K$4="",D740='Consulta de contratos'!$K$4),OR('Consulta de contratos'!$K$5="",E740='Consulta de contratos'!$K$5)),1,0)</f>
        <v>0</v>
      </c>
      <c r="W740">
        <f>IF(V740=1,SUM($V$2:V740),0)</f>
        <v>0</v>
      </c>
    </row>
    <row r="741" spans="22:23" x14ac:dyDescent="0.35">
      <c r="V741">
        <f>IF(AND(SUM(IF('Consulta de contratos'!$K$1="",0,1),IF('Consulta de contratos'!$K$2="",0,1),IF('Consulta de contratos'!$K$3="",0,1),IF('Consulta de contratos'!$K$4="",0,1),IF('Consulta de contratos'!$K$5="",0,1))&gt;0,OR('Consulta de contratos'!$K$1="",A741='Consulta de contratos'!$K$1),OR('Consulta de contratos'!$K$2="",I741='Consulta de contratos'!$K$2,AND(LEFT('Consulta de contratos'!$K$2,7)="Grupo: ",ISNUMBER(SEARCH("|"&amp;MID('Consulta de contratos'!$K$2,8,120)&amp;"|",AF741)))),OR('Consulta de contratos'!$K$3="",C741='Consulta de contratos'!$K$3),OR('Consulta de contratos'!$K$4="",D741='Consulta de contratos'!$K$4),OR('Consulta de contratos'!$K$5="",E741='Consulta de contratos'!$K$5)),1,0)</f>
        <v>0</v>
      </c>
      <c r="W741">
        <f>IF(V741=1,SUM($V$2:V741),0)</f>
        <v>0</v>
      </c>
    </row>
    <row r="742" spans="22:23" x14ac:dyDescent="0.35">
      <c r="V742">
        <f>IF(AND(SUM(IF('Consulta de contratos'!$K$1="",0,1),IF('Consulta de contratos'!$K$2="",0,1),IF('Consulta de contratos'!$K$3="",0,1),IF('Consulta de contratos'!$K$4="",0,1),IF('Consulta de contratos'!$K$5="",0,1))&gt;0,OR('Consulta de contratos'!$K$1="",A742='Consulta de contratos'!$K$1),OR('Consulta de contratos'!$K$2="",I742='Consulta de contratos'!$K$2,AND(LEFT('Consulta de contratos'!$K$2,7)="Grupo: ",ISNUMBER(SEARCH("|"&amp;MID('Consulta de contratos'!$K$2,8,120)&amp;"|",AF742)))),OR('Consulta de contratos'!$K$3="",C742='Consulta de contratos'!$K$3),OR('Consulta de contratos'!$K$4="",D742='Consulta de contratos'!$K$4),OR('Consulta de contratos'!$K$5="",E742='Consulta de contratos'!$K$5)),1,0)</f>
        <v>0</v>
      </c>
      <c r="W742">
        <f>IF(V742=1,SUM($V$2:V742),0)</f>
        <v>0</v>
      </c>
    </row>
    <row r="743" spans="22:23" x14ac:dyDescent="0.35">
      <c r="V743">
        <f>IF(AND(SUM(IF('Consulta de contratos'!$K$1="",0,1),IF('Consulta de contratos'!$K$2="",0,1),IF('Consulta de contratos'!$K$3="",0,1),IF('Consulta de contratos'!$K$4="",0,1),IF('Consulta de contratos'!$K$5="",0,1))&gt;0,OR('Consulta de contratos'!$K$1="",A743='Consulta de contratos'!$K$1),OR('Consulta de contratos'!$K$2="",I743='Consulta de contratos'!$K$2,AND(LEFT('Consulta de contratos'!$K$2,7)="Grupo: ",ISNUMBER(SEARCH("|"&amp;MID('Consulta de contratos'!$K$2,8,120)&amp;"|",AF743)))),OR('Consulta de contratos'!$K$3="",C743='Consulta de contratos'!$K$3),OR('Consulta de contratos'!$K$4="",D743='Consulta de contratos'!$K$4),OR('Consulta de contratos'!$K$5="",E743='Consulta de contratos'!$K$5)),1,0)</f>
        <v>0</v>
      </c>
      <c r="W743">
        <f>IF(V743=1,SUM($V$2:V743),0)</f>
        <v>0</v>
      </c>
    </row>
    <row r="744" spans="22:23" x14ac:dyDescent="0.35">
      <c r="V744">
        <f>IF(AND(SUM(IF('Consulta de contratos'!$K$1="",0,1),IF('Consulta de contratos'!$K$2="",0,1),IF('Consulta de contratos'!$K$3="",0,1),IF('Consulta de contratos'!$K$4="",0,1),IF('Consulta de contratos'!$K$5="",0,1))&gt;0,OR('Consulta de contratos'!$K$1="",A744='Consulta de contratos'!$K$1),OR('Consulta de contratos'!$K$2="",I744='Consulta de contratos'!$K$2,AND(LEFT('Consulta de contratos'!$K$2,7)="Grupo: ",ISNUMBER(SEARCH("|"&amp;MID('Consulta de contratos'!$K$2,8,120)&amp;"|",AF744)))),OR('Consulta de contratos'!$K$3="",C744='Consulta de contratos'!$K$3),OR('Consulta de contratos'!$K$4="",D744='Consulta de contratos'!$K$4),OR('Consulta de contratos'!$K$5="",E744='Consulta de contratos'!$K$5)),1,0)</f>
        <v>0</v>
      </c>
      <c r="W744">
        <f>IF(V744=1,SUM($V$2:V744),0)</f>
        <v>0</v>
      </c>
    </row>
    <row r="745" spans="22:23" x14ac:dyDescent="0.35">
      <c r="V745">
        <f>IF(AND(SUM(IF('Consulta de contratos'!$K$1="",0,1),IF('Consulta de contratos'!$K$2="",0,1),IF('Consulta de contratos'!$K$3="",0,1),IF('Consulta de contratos'!$K$4="",0,1),IF('Consulta de contratos'!$K$5="",0,1))&gt;0,OR('Consulta de contratos'!$K$1="",A745='Consulta de contratos'!$K$1),OR('Consulta de contratos'!$K$2="",I745='Consulta de contratos'!$K$2,AND(LEFT('Consulta de contratos'!$K$2,7)="Grupo: ",ISNUMBER(SEARCH("|"&amp;MID('Consulta de contratos'!$K$2,8,120)&amp;"|",AF745)))),OR('Consulta de contratos'!$K$3="",C745='Consulta de contratos'!$K$3),OR('Consulta de contratos'!$K$4="",D745='Consulta de contratos'!$K$4),OR('Consulta de contratos'!$K$5="",E745='Consulta de contratos'!$K$5)),1,0)</f>
        <v>0</v>
      </c>
      <c r="W745">
        <f>IF(V745=1,SUM($V$2:V745),0)</f>
        <v>0</v>
      </c>
    </row>
    <row r="746" spans="22:23" x14ac:dyDescent="0.35">
      <c r="V746">
        <f>IF(AND(SUM(IF('Consulta de contratos'!$K$1="",0,1),IF('Consulta de contratos'!$K$2="",0,1),IF('Consulta de contratos'!$K$3="",0,1),IF('Consulta de contratos'!$K$4="",0,1),IF('Consulta de contratos'!$K$5="",0,1))&gt;0,OR('Consulta de contratos'!$K$1="",A746='Consulta de contratos'!$K$1),OR('Consulta de contratos'!$K$2="",I746='Consulta de contratos'!$K$2,AND(LEFT('Consulta de contratos'!$K$2,7)="Grupo: ",ISNUMBER(SEARCH("|"&amp;MID('Consulta de contratos'!$K$2,8,120)&amp;"|",AF746)))),OR('Consulta de contratos'!$K$3="",C746='Consulta de contratos'!$K$3),OR('Consulta de contratos'!$K$4="",D746='Consulta de contratos'!$K$4),OR('Consulta de contratos'!$K$5="",E746='Consulta de contratos'!$K$5)),1,0)</f>
        <v>0</v>
      </c>
      <c r="W746">
        <f>IF(V746=1,SUM($V$2:V746),0)</f>
        <v>0</v>
      </c>
    </row>
    <row r="747" spans="22:23" x14ac:dyDescent="0.35">
      <c r="V747">
        <f>IF(AND(SUM(IF('Consulta de contratos'!$K$1="",0,1),IF('Consulta de contratos'!$K$2="",0,1),IF('Consulta de contratos'!$K$3="",0,1),IF('Consulta de contratos'!$K$4="",0,1),IF('Consulta de contratos'!$K$5="",0,1))&gt;0,OR('Consulta de contratos'!$K$1="",A747='Consulta de contratos'!$K$1),OR('Consulta de contratos'!$K$2="",I747='Consulta de contratos'!$K$2,AND(LEFT('Consulta de contratos'!$K$2,7)="Grupo: ",ISNUMBER(SEARCH("|"&amp;MID('Consulta de contratos'!$K$2,8,120)&amp;"|",AF747)))),OR('Consulta de contratos'!$K$3="",C747='Consulta de contratos'!$K$3),OR('Consulta de contratos'!$K$4="",D747='Consulta de contratos'!$K$4),OR('Consulta de contratos'!$K$5="",E747='Consulta de contratos'!$K$5)),1,0)</f>
        <v>0</v>
      </c>
      <c r="W747">
        <f>IF(V747=1,SUM($V$2:V747),0)</f>
        <v>0</v>
      </c>
    </row>
    <row r="748" spans="22:23" x14ac:dyDescent="0.35">
      <c r="V748">
        <f>IF(AND(SUM(IF('Consulta de contratos'!$K$1="",0,1),IF('Consulta de contratos'!$K$2="",0,1),IF('Consulta de contratos'!$K$3="",0,1),IF('Consulta de contratos'!$K$4="",0,1),IF('Consulta de contratos'!$K$5="",0,1))&gt;0,OR('Consulta de contratos'!$K$1="",A748='Consulta de contratos'!$K$1),OR('Consulta de contratos'!$K$2="",I748='Consulta de contratos'!$K$2,AND(LEFT('Consulta de contratos'!$K$2,7)="Grupo: ",ISNUMBER(SEARCH("|"&amp;MID('Consulta de contratos'!$K$2,8,120)&amp;"|",AF748)))),OR('Consulta de contratos'!$K$3="",C748='Consulta de contratos'!$K$3),OR('Consulta de contratos'!$K$4="",D748='Consulta de contratos'!$K$4),OR('Consulta de contratos'!$K$5="",E748='Consulta de contratos'!$K$5)),1,0)</f>
        <v>0</v>
      </c>
      <c r="W748">
        <f>IF(V748=1,SUM($V$2:V748),0)</f>
        <v>0</v>
      </c>
    </row>
    <row r="749" spans="22:23" x14ac:dyDescent="0.35">
      <c r="V749">
        <f>IF(AND(SUM(IF('Consulta de contratos'!$K$1="",0,1),IF('Consulta de contratos'!$K$2="",0,1),IF('Consulta de contratos'!$K$3="",0,1),IF('Consulta de contratos'!$K$4="",0,1),IF('Consulta de contratos'!$K$5="",0,1))&gt;0,OR('Consulta de contratos'!$K$1="",A749='Consulta de contratos'!$K$1),OR('Consulta de contratos'!$K$2="",I749='Consulta de contratos'!$K$2,AND(LEFT('Consulta de contratos'!$K$2,7)="Grupo: ",ISNUMBER(SEARCH("|"&amp;MID('Consulta de contratos'!$K$2,8,120)&amp;"|",AF749)))),OR('Consulta de contratos'!$K$3="",C749='Consulta de contratos'!$K$3),OR('Consulta de contratos'!$K$4="",D749='Consulta de contratos'!$K$4),OR('Consulta de contratos'!$K$5="",E749='Consulta de contratos'!$K$5)),1,0)</f>
        <v>0</v>
      </c>
      <c r="W749">
        <f>IF(V749=1,SUM($V$2:V749),0)</f>
        <v>0</v>
      </c>
    </row>
    <row r="750" spans="22:23" x14ac:dyDescent="0.35">
      <c r="V750">
        <f>IF(AND(SUM(IF('Consulta de contratos'!$K$1="",0,1),IF('Consulta de contratos'!$K$2="",0,1),IF('Consulta de contratos'!$K$3="",0,1),IF('Consulta de contratos'!$K$4="",0,1),IF('Consulta de contratos'!$K$5="",0,1))&gt;0,OR('Consulta de contratos'!$K$1="",A750='Consulta de contratos'!$K$1),OR('Consulta de contratos'!$K$2="",I750='Consulta de contratos'!$K$2,AND(LEFT('Consulta de contratos'!$K$2,7)="Grupo: ",ISNUMBER(SEARCH("|"&amp;MID('Consulta de contratos'!$K$2,8,120)&amp;"|",AF750)))),OR('Consulta de contratos'!$K$3="",C750='Consulta de contratos'!$K$3),OR('Consulta de contratos'!$K$4="",D750='Consulta de contratos'!$K$4),OR('Consulta de contratos'!$K$5="",E750='Consulta de contratos'!$K$5)),1,0)</f>
        <v>0</v>
      </c>
      <c r="W750">
        <f>IF(V750=1,SUM($V$2:V750),0)</f>
        <v>0</v>
      </c>
    </row>
    <row r="751" spans="22:23" x14ac:dyDescent="0.35">
      <c r="V751">
        <f>IF(AND(SUM(IF('Consulta de contratos'!$K$1="",0,1),IF('Consulta de contratos'!$K$2="",0,1),IF('Consulta de contratos'!$K$3="",0,1),IF('Consulta de contratos'!$K$4="",0,1),IF('Consulta de contratos'!$K$5="",0,1))&gt;0,OR('Consulta de contratos'!$K$1="",A751='Consulta de contratos'!$K$1),OR('Consulta de contratos'!$K$2="",I751='Consulta de contratos'!$K$2,AND(LEFT('Consulta de contratos'!$K$2,7)="Grupo: ",ISNUMBER(SEARCH("|"&amp;MID('Consulta de contratos'!$K$2,8,120)&amp;"|",AF751)))),OR('Consulta de contratos'!$K$3="",C751='Consulta de contratos'!$K$3),OR('Consulta de contratos'!$K$4="",D751='Consulta de contratos'!$K$4),OR('Consulta de contratos'!$K$5="",E751='Consulta de contratos'!$K$5)),1,0)</f>
        <v>0</v>
      </c>
      <c r="W751">
        <f>IF(V751=1,SUM($V$2:V751),0)</f>
        <v>0</v>
      </c>
    </row>
    <row r="752" spans="22:23" x14ac:dyDescent="0.35">
      <c r="V752">
        <f>IF(AND(SUM(IF('Consulta de contratos'!$K$1="",0,1),IF('Consulta de contratos'!$K$2="",0,1),IF('Consulta de contratos'!$K$3="",0,1),IF('Consulta de contratos'!$K$4="",0,1),IF('Consulta de contratos'!$K$5="",0,1))&gt;0,OR('Consulta de contratos'!$K$1="",A752='Consulta de contratos'!$K$1),OR('Consulta de contratos'!$K$2="",I752='Consulta de contratos'!$K$2,AND(LEFT('Consulta de contratos'!$K$2,7)="Grupo: ",ISNUMBER(SEARCH("|"&amp;MID('Consulta de contratos'!$K$2,8,120)&amp;"|",AF752)))),OR('Consulta de contratos'!$K$3="",C752='Consulta de contratos'!$K$3),OR('Consulta de contratos'!$K$4="",D752='Consulta de contratos'!$K$4),OR('Consulta de contratos'!$K$5="",E752='Consulta de contratos'!$K$5)),1,0)</f>
        <v>0</v>
      </c>
      <c r="W752">
        <f>IF(V752=1,SUM($V$2:V752),0)</f>
        <v>0</v>
      </c>
    </row>
    <row r="753" spans="22:23" x14ac:dyDescent="0.35">
      <c r="V753">
        <f>IF(AND(SUM(IF('Consulta de contratos'!$K$1="",0,1),IF('Consulta de contratos'!$K$2="",0,1),IF('Consulta de contratos'!$K$3="",0,1),IF('Consulta de contratos'!$K$4="",0,1),IF('Consulta de contratos'!$K$5="",0,1))&gt;0,OR('Consulta de contratos'!$K$1="",A753='Consulta de contratos'!$K$1),OR('Consulta de contratos'!$K$2="",I753='Consulta de contratos'!$K$2,AND(LEFT('Consulta de contratos'!$K$2,7)="Grupo: ",ISNUMBER(SEARCH("|"&amp;MID('Consulta de contratos'!$K$2,8,120)&amp;"|",AF753)))),OR('Consulta de contratos'!$K$3="",C753='Consulta de contratos'!$K$3),OR('Consulta de contratos'!$K$4="",D753='Consulta de contratos'!$K$4),OR('Consulta de contratos'!$K$5="",E753='Consulta de contratos'!$K$5)),1,0)</f>
        <v>0</v>
      </c>
      <c r="W753">
        <f>IF(V753=1,SUM($V$2:V753),0)</f>
        <v>0</v>
      </c>
    </row>
    <row r="754" spans="22:23" x14ac:dyDescent="0.35">
      <c r="V754">
        <f>IF(AND(SUM(IF('Consulta de contratos'!$K$1="",0,1),IF('Consulta de contratos'!$K$2="",0,1),IF('Consulta de contratos'!$K$3="",0,1),IF('Consulta de contratos'!$K$4="",0,1),IF('Consulta de contratos'!$K$5="",0,1))&gt;0,OR('Consulta de contratos'!$K$1="",A754='Consulta de contratos'!$K$1),OR('Consulta de contratos'!$K$2="",I754='Consulta de contratos'!$K$2,AND(LEFT('Consulta de contratos'!$K$2,7)="Grupo: ",ISNUMBER(SEARCH("|"&amp;MID('Consulta de contratos'!$K$2,8,120)&amp;"|",AF754)))),OR('Consulta de contratos'!$K$3="",C754='Consulta de contratos'!$K$3),OR('Consulta de contratos'!$K$4="",D754='Consulta de contratos'!$K$4),OR('Consulta de contratos'!$K$5="",E754='Consulta de contratos'!$K$5)),1,0)</f>
        <v>0</v>
      </c>
      <c r="W754">
        <f>IF(V754=1,SUM($V$2:V754),0)</f>
        <v>0</v>
      </c>
    </row>
    <row r="755" spans="22:23" x14ac:dyDescent="0.35">
      <c r="V755">
        <f>IF(AND(SUM(IF('Consulta de contratos'!$K$1="",0,1),IF('Consulta de contratos'!$K$2="",0,1),IF('Consulta de contratos'!$K$3="",0,1),IF('Consulta de contratos'!$K$4="",0,1),IF('Consulta de contratos'!$K$5="",0,1))&gt;0,OR('Consulta de contratos'!$K$1="",A755='Consulta de contratos'!$K$1),OR('Consulta de contratos'!$K$2="",I755='Consulta de contratos'!$K$2,AND(LEFT('Consulta de contratos'!$K$2,7)="Grupo: ",ISNUMBER(SEARCH("|"&amp;MID('Consulta de contratos'!$K$2,8,120)&amp;"|",AF755)))),OR('Consulta de contratos'!$K$3="",C755='Consulta de contratos'!$K$3),OR('Consulta de contratos'!$K$4="",D755='Consulta de contratos'!$K$4),OR('Consulta de contratos'!$K$5="",E755='Consulta de contratos'!$K$5)),1,0)</f>
        <v>0</v>
      </c>
      <c r="W755">
        <f>IF(V755=1,SUM($V$2:V755),0)</f>
        <v>0</v>
      </c>
    </row>
    <row r="756" spans="22:23" x14ac:dyDescent="0.35">
      <c r="V756">
        <f>IF(AND(SUM(IF('Consulta de contratos'!$K$1="",0,1),IF('Consulta de contratos'!$K$2="",0,1),IF('Consulta de contratos'!$K$3="",0,1),IF('Consulta de contratos'!$K$4="",0,1),IF('Consulta de contratos'!$K$5="",0,1))&gt;0,OR('Consulta de contratos'!$K$1="",A756='Consulta de contratos'!$K$1),OR('Consulta de contratos'!$K$2="",I756='Consulta de contratos'!$K$2,AND(LEFT('Consulta de contratos'!$K$2,7)="Grupo: ",ISNUMBER(SEARCH("|"&amp;MID('Consulta de contratos'!$K$2,8,120)&amp;"|",AF756)))),OR('Consulta de contratos'!$K$3="",C756='Consulta de contratos'!$K$3),OR('Consulta de contratos'!$K$4="",D756='Consulta de contratos'!$K$4),OR('Consulta de contratos'!$K$5="",E756='Consulta de contratos'!$K$5)),1,0)</f>
        <v>0</v>
      </c>
      <c r="W756">
        <f>IF(V756=1,SUM($V$2:V756),0)</f>
        <v>0</v>
      </c>
    </row>
    <row r="757" spans="22:23" x14ac:dyDescent="0.35">
      <c r="V757">
        <f>IF(AND(SUM(IF('Consulta de contratos'!$K$1="",0,1),IF('Consulta de contratos'!$K$2="",0,1),IF('Consulta de contratos'!$K$3="",0,1),IF('Consulta de contratos'!$K$4="",0,1),IF('Consulta de contratos'!$K$5="",0,1))&gt;0,OR('Consulta de contratos'!$K$1="",A757='Consulta de contratos'!$K$1),OR('Consulta de contratos'!$K$2="",I757='Consulta de contratos'!$K$2,AND(LEFT('Consulta de contratos'!$K$2,7)="Grupo: ",ISNUMBER(SEARCH("|"&amp;MID('Consulta de contratos'!$K$2,8,120)&amp;"|",AF757)))),OR('Consulta de contratos'!$K$3="",C757='Consulta de contratos'!$K$3),OR('Consulta de contratos'!$K$4="",D757='Consulta de contratos'!$K$4),OR('Consulta de contratos'!$K$5="",E757='Consulta de contratos'!$K$5)),1,0)</f>
        <v>0</v>
      </c>
      <c r="W757">
        <f>IF(V757=1,SUM($V$2:V757),0)</f>
        <v>0</v>
      </c>
    </row>
    <row r="758" spans="22:23" x14ac:dyDescent="0.35">
      <c r="V758">
        <f>IF(AND(SUM(IF('Consulta de contratos'!$K$1="",0,1),IF('Consulta de contratos'!$K$2="",0,1),IF('Consulta de contratos'!$K$3="",0,1),IF('Consulta de contratos'!$K$4="",0,1),IF('Consulta de contratos'!$K$5="",0,1))&gt;0,OR('Consulta de contratos'!$K$1="",A758='Consulta de contratos'!$K$1),OR('Consulta de contratos'!$K$2="",I758='Consulta de contratos'!$K$2,AND(LEFT('Consulta de contratos'!$K$2,7)="Grupo: ",ISNUMBER(SEARCH("|"&amp;MID('Consulta de contratos'!$K$2,8,120)&amp;"|",AF758)))),OR('Consulta de contratos'!$K$3="",C758='Consulta de contratos'!$K$3),OR('Consulta de contratos'!$K$4="",D758='Consulta de contratos'!$K$4),OR('Consulta de contratos'!$K$5="",E758='Consulta de contratos'!$K$5)),1,0)</f>
        <v>0</v>
      </c>
      <c r="W758">
        <f>IF(V758=1,SUM($V$2:V758),0)</f>
        <v>0</v>
      </c>
    </row>
    <row r="759" spans="22:23" x14ac:dyDescent="0.35">
      <c r="V759">
        <f>IF(AND(SUM(IF('Consulta de contratos'!$K$1="",0,1),IF('Consulta de contratos'!$K$2="",0,1),IF('Consulta de contratos'!$K$3="",0,1),IF('Consulta de contratos'!$K$4="",0,1),IF('Consulta de contratos'!$K$5="",0,1))&gt;0,OR('Consulta de contratos'!$K$1="",A759='Consulta de contratos'!$K$1),OR('Consulta de contratos'!$K$2="",I759='Consulta de contratos'!$K$2,AND(LEFT('Consulta de contratos'!$K$2,7)="Grupo: ",ISNUMBER(SEARCH("|"&amp;MID('Consulta de contratos'!$K$2,8,120)&amp;"|",AF759)))),OR('Consulta de contratos'!$K$3="",C759='Consulta de contratos'!$K$3),OR('Consulta de contratos'!$K$4="",D759='Consulta de contratos'!$K$4),OR('Consulta de contratos'!$K$5="",E759='Consulta de contratos'!$K$5)),1,0)</f>
        <v>0</v>
      </c>
      <c r="W759">
        <f>IF(V759=1,SUM($V$2:V759),0)</f>
        <v>0</v>
      </c>
    </row>
    <row r="760" spans="22:23" x14ac:dyDescent="0.35">
      <c r="V760">
        <f>IF(AND(SUM(IF('Consulta de contratos'!$K$1="",0,1),IF('Consulta de contratos'!$K$2="",0,1),IF('Consulta de contratos'!$K$3="",0,1),IF('Consulta de contratos'!$K$4="",0,1),IF('Consulta de contratos'!$K$5="",0,1))&gt;0,OR('Consulta de contratos'!$K$1="",A760='Consulta de contratos'!$K$1),OR('Consulta de contratos'!$K$2="",I760='Consulta de contratos'!$K$2,AND(LEFT('Consulta de contratos'!$K$2,7)="Grupo: ",ISNUMBER(SEARCH("|"&amp;MID('Consulta de contratos'!$K$2,8,120)&amp;"|",AF760)))),OR('Consulta de contratos'!$K$3="",C760='Consulta de contratos'!$K$3),OR('Consulta de contratos'!$K$4="",D760='Consulta de contratos'!$K$4),OR('Consulta de contratos'!$K$5="",E760='Consulta de contratos'!$K$5)),1,0)</f>
        <v>0</v>
      </c>
      <c r="W760">
        <f>IF(V760=1,SUM($V$2:V760),0)</f>
        <v>0</v>
      </c>
    </row>
    <row r="761" spans="22:23" x14ac:dyDescent="0.35">
      <c r="V761">
        <f>IF(AND(SUM(IF('Consulta de contratos'!$K$1="",0,1),IF('Consulta de contratos'!$K$2="",0,1),IF('Consulta de contratos'!$K$3="",0,1),IF('Consulta de contratos'!$K$4="",0,1),IF('Consulta de contratos'!$K$5="",0,1))&gt;0,OR('Consulta de contratos'!$K$1="",A761='Consulta de contratos'!$K$1),OR('Consulta de contratos'!$K$2="",I761='Consulta de contratos'!$K$2,AND(LEFT('Consulta de contratos'!$K$2,7)="Grupo: ",ISNUMBER(SEARCH("|"&amp;MID('Consulta de contratos'!$K$2,8,120)&amp;"|",AF761)))),OR('Consulta de contratos'!$K$3="",C761='Consulta de contratos'!$K$3),OR('Consulta de contratos'!$K$4="",D761='Consulta de contratos'!$K$4),OR('Consulta de contratos'!$K$5="",E761='Consulta de contratos'!$K$5)),1,0)</f>
        <v>0</v>
      </c>
      <c r="W761">
        <f>IF(V761=1,SUM($V$2:V761),0)</f>
        <v>0</v>
      </c>
    </row>
    <row r="762" spans="22:23" x14ac:dyDescent="0.35">
      <c r="V762">
        <f>IF(AND(SUM(IF('Consulta de contratos'!$K$1="",0,1),IF('Consulta de contratos'!$K$2="",0,1),IF('Consulta de contratos'!$K$3="",0,1),IF('Consulta de contratos'!$K$4="",0,1),IF('Consulta de contratos'!$K$5="",0,1))&gt;0,OR('Consulta de contratos'!$K$1="",A762='Consulta de contratos'!$K$1),OR('Consulta de contratos'!$K$2="",I762='Consulta de contratos'!$K$2,AND(LEFT('Consulta de contratos'!$K$2,7)="Grupo: ",ISNUMBER(SEARCH("|"&amp;MID('Consulta de contratos'!$K$2,8,120)&amp;"|",AF762)))),OR('Consulta de contratos'!$K$3="",C762='Consulta de contratos'!$K$3),OR('Consulta de contratos'!$K$4="",D762='Consulta de contratos'!$K$4),OR('Consulta de contratos'!$K$5="",E762='Consulta de contratos'!$K$5)),1,0)</f>
        <v>0</v>
      </c>
      <c r="W762">
        <f>IF(V762=1,SUM($V$2:V762),0)</f>
        <v>0</v>
      </c>
    </row>
    <row r="763" spans="22:23" x14ac:dyDescent="0.35">
      <c r="V763">
        <f>IF(AND(SUM(IF('Consulta de contratos'!$K$1="",0,1),IF('Consulta de contratos'!$K$2="",0,1),IF('Consulta de contratos'!$K$3="",0,1),IF('Consulta de contratos'!$K$4="",0,1),IF('Consulta de contratos'!$K$5="",0,1))&gt;0,OR('Consulta de contratos'!$K$1="",A763='Consulta de contratos'!$K$1),OR('Consulta de contratos'!$K$2="",I763='Consulta de contratos'!$K$2,AND(LEFT('Consulta de contratos'!$K$2,7)="Grupo: ",ISNUMBER(SEARCH("|"&amp;MID('Consulta de contratos'!$K$2,8,120)&amp;"|",AF763)))),OR('Consulta de contratos'!$K$3="",C763='Consulta de contratos'!$K$3),OR('Consulta de contratos'!$K$4="",D763='Consulta de contratos'!$K$4),OR('Consulta de contratos'!$K$5="",E763='Consulta de contratos'!$K$5)),1,0)</f>
        <v>0</v>
      </c>
      <c r="W763">
        <f>IF(V763=1,SUM($V$2:V763),0)</f>
        <v>0</v>
      </c>
    </row>
    <row r="764" spans="22:23" x14ac:dyDescent="0.35">
      <c r="V764">
        <f>IF(AND(SUM(IF('Consulta de contratos'!$K$1="",0,1),IF('Consulta de contratos'!$K$2="",0,1),IF('Consulta de contratos'!$K$3="",0,1),IF('Consulta de contratos'!$K$4="",0,1),IF('Consulta de contratos'!$K$5="",0,1))&gt;0,OR('Consulta de contratos'!$K$1="",A764='Consulta de contratos'!$K$1),OR('Consulta de contratos'!$K$2="",I764='Consulta de contratos'!$K$2,AND(LEFT('Consulta de contratos'!$K$2,7)="Grupo: ",ISNUMBER(SEARCH("|"&amp;MID('Consulta de contratos'!$K$2,8,120)&amp;"|",AF764)))),OR('Consulta de contratos'!$K$3="",C764='Consulta de contratos'!$K$3),OR('Consulta de contratos'!$K$4="",D764='Consulta de contratos'!$K$4),OR('Consulta de contratos'!$K$5="",E764='Consulta de contratos'!$K$5)),1,0)</f>
        <v>0</v>
      </c>
      <c r="W764">
        <f>IF(V764=1,SUM($V$2:V764),0)</f>
        <v>0</v>
      </c>
    </row>
    <row r="765" spans="22:23" x14ac:dyDescent="0.35">
      <c r="V765">
        <f>IF(AND(SUM(IF('Consulta de contratos'!$K$1="",0,1),IF('Consulta de contratos'!$K$2="",0,1),IF('Consulta de contratos'!$K$3="",0,1),IF('Consulta de contratos'!$K$4="",0,1),IF('Consulta de contratos'!$K$5="",0,1))&gt;0,OR('Consulta de contratos'!$K$1="",A765='Consulta de contratos'!$K$1),OR('Consulta de contratos'!$K$2="",I765='Consulta de contratos'!$K$2,AND(LEFT('Consulta de contratos'!$K$2,7)="Grupo: ",ISNUMBER(SEARCH("|"&amp;MID('Consulta de contratos'!$K$2,8,120)&amp;"|",AF765)))),OR('Consulta de contratos'!$K$3="",C765='Consulta de contratos'!$K$3),OR('Consulta de contratos'!$K$4="",D765='Consulta de contratos'!$K$4),OR('Consulta de contratos'!$K$5="",E765='Consulta de contratos'!$K$5)),1,0)</f>
        <v>0</v>
      </c>
      <c r="W765">
        <f>IF(V765=1,SUM($V$2:V765),0)</f>
        <v>0</v>
      </c>
    </row>
    <row r="766" spans="22:23" x14ac:dyDescent="0.35">
      <c r="V766">
        <f>IF(AND(SUM(IF('Consulta de contratos'!$K$1="",0,1),IF('Consulta de contratos'!$K$2="",0,1),IF('Consulta de contratos'!$K$3="",0,1),IF('Consulta de contratos'!$K$4="",0,1),IF('Consulta de contratos'!$K$5="",0,1))&gt;0,OR('Consulta de contratos'!$K$1="",A766='Consulta de contratos'!$K$1),OR('Consulta de contratos'!$K$2="",I766='Consulta de contratos'!$K$2,AND(LEFT('Consulta de contratos'!$K$2,7)="Grupo: ",ISNUMBER(SEARCH("|"&amp;MID('Consulta de contratos'!$K$2,8,120)&amp;"|",AF766)))),OR('Consulta de contratos'!$K$3="",C766='Consulta de contratos'!$K$3),OR('Consulta de contratos'!$K$4="",D766='Consulta de contratos'!$K$4),OR('Consulta de contratos'!$K$5="",E766='Consulta de contratos'!$K$5)),1,0)</f>
        <v>0</v>
      </c>
      <c r="W766">
        <f>IF(V766=1,SUM($V$2:V766),0)</f>
        <v>0</v>
      </c>
    </row>
    <row r="767" spans="22:23" x14ac:dyDescent="0.35">
      <c r="V767">
        <f>IF(AND(SUM(IF('Consulta de contratos'!$K$1="",0,1),IF('Consulta de contratos'!$K$2="",0,1),IF('Consulta de contratos'!$K$3="",0,1),IF('Consulta de contratos'!$K$4="",0,1),IF('Consulta de contratos'!$K$5="",0,1))&gt;0,OR('Consulta de contratos'!$K$1="",A767='Consulta de contratos'!$K$1),OR('Consulta de contratos'!$K$2="",I767='Consulta de contratos'!$K$2,AND(LEFT('Consulta de contratos'!$K$2,7)="Grupo: ",ISNUMBER(SEARCH("|"&amp;MID('Consulta de contratos'!$K$2,8,120)&amp;"|",AF767)))),OR('Consulta de contratos'!$K$3="",C767='Consulta de contratos'!$K$3),OR('Consulta de contratos'!$K$4="",D767='Consulta de contratos'!$K$4),OR('Consulta de contratos'!$K$5="",E767='Consulta de contratos'!$K$5)),1,0)</f>
        <v>0</v>
      </c>
      <c r="W767">
        <f>IF(V767=1,SUM($V$2:V767),0)</f>
        <v>0</v>
      </c>
    </row>
    <row r="768" spans="22:23" x14ac:dyDescent="0.35">
      <c r="V768">
        <f>IF(AND(SUM(IF('Consulta de contratos'!$K$1="",0,1),IF('Consulta de contratos'!$K$2="",0,1),IF('Consulta de contratos'!$K$3="",0,1),IF('Consulta de contratos'!$K$4="",0,1),IF('Consulta de contratos'!$K$5="",0,1))&gt;0,OR('Consulta de contratos'!$K$1="",A768='Consulta de contratos'!$K$1),OR('Consulta de contratos'!$K$2="",I768='Consulta de contratos'!$K$2,AND(LEFT('Consulta de contratos'!$K$2,7)="Grupo: ",ISNUMBER(SEARCH("|"&amp;MID('Consulta de contratos'!$K$2,8,120)&amp;"|",AF768)))),OR('Consulta de contratos'!$K$3="",C768='Consulta de contratos'!$K$3),OR('Consulta de contratos'!$K$4="",D768='Consulta de contratos'!$K$4),OR('Consulta de contratos'!$K$5="",E768='Consulta de contratos'!$K$5)),1,0)</f>
        <v>0</v>
      </c>
      <c r="W768">
        <f>IF(V768=1,SUM($V$2:V768),0)</f>
        <v>0</v>
      </c>
    </row>
    <row r="769" spans="22:23" x14ac:dyDescent="0.35">
      <c r="V769">
        <f>IF(AND(SUM(IF('Consulta de contratos'!$K$1="",0,1),IF('Consulta de contratos'!$K$2="",0,1),IF('Consulta de contratos'!$K$3="",0,1),IF('Consulta de contratos'!$K$4="",0,1),IF('Consulta de contratos'!$K$5="",0,1))&gt;0,OR('Consulta de contratos'!$K$1="",A769='Consulta de contratos'!$K$1),OR('Consulta de contratos'!$K$2="",I769='Consulta de contratos'!$K$2,AND(LEFT('Consulta de contratos'!$K$2,7)="Grupo: ",ISNUMBER(SEARCH("|"&amp;MID('Consulta de contratos'!$K$2,8,120)&amp;"|",AF769)))),OR('Consulta de contratos'!$K$3="",C769='Consulta de contratos'!$K$3),OR('Consulta de contratos'!$K$4="",D769='Consulta de contratos'!$K$4),OR('Consulta de contratos'!$K$5="",E769='Consulta de contratos'!$K$5)),1,0)</f>
        <v>0</v>
      </c>
      <c r="W769">
        <f>IF(V769=1,SUM($V$2:V769),0)</f>
        <v>0</v>
      </c>
    </row>
    <row r="770" spans="22:23" x14ac:dyDescent="0.35">
      <c r="V770">
        <f>IF(AND(SUM(IF('Consulta de contratos'!$K$1="",0,1),IF('Consulta de contratos'!$K$2="",0,1),IF('Consulta de contratos'!$K$3="",0,1),IF('Consulta de contratos'!$K$4="",0,1),IF('Consulta de contratos'!$K$5="",0,1))&gt;0,OR('Consulta de contratos'!$K$1="",A770='Consulta de contratos'!$K$1),OR('Consulta de contratos'!$K$2="",I770='Consulta de contratos'!$K$2,AND(LEFT('Consulta de contratos'!$K$2,7)="Grupo: ",ISNUMBER(SEARCH("|"&amp;MID('Consulta de contratos'!$K$2,8,120)&amp;"|",AF770)))),OR('Consulta de contratos'!$K$3="",C770='Consulta de contratos'!$K$3),OR('Consulta de contratos'!$K$4="",D770='Consulta de contratos'!$K$4),OR('Consulta de contratos'!$K$5="",E770='Consulta de contratos'!$K$5)),1,0)</f>
        <v>0</v>
      </c>
      <c r="W770">
        <f>IF(V770=1,SUM($V$2:V770),0)</f>
        <v>0</v>
      </c>
    </row>
    <row r="771" spans="22:23" x14ac:dyDescent="0.35">
      <c r="V771">
        <f>IF(AND(SUM(IF('Consulta de contratos'!$K$1="",0,1),IF('Consulta de contratos'!$K$2="",0,1),IF('Consulta de contratos'!$K$3="",0,1),IF('Consulta de contratos'!$K$4="",0,1),IF('Consulta de contratos'!$K$5="",0,1))&gt;0,OR('Consulta de contratos'!$K$1="",A771='Consulta de contratos'!$K$1),OR('Consulta de contratos'!$K$2="",I771='Consulta de contratos'!$K$2,AND(LEFT('Consulta de contratos'!$K$2,7)="Grupo: ",ISNUMBER(SEARCH("|"&amp;MID('Consulta de contratos'!$K$2,8,120)&amp;"|",AF771)))),OR('Consulta de contratos'!$K$3="",C771='Consulta de contratos'!$K$3),OR('Consulta de contratos'!$K$4="",D771='Consulta de contratos'!$K$4),OR('Consulta de contratos'!$K$5="",E771='Consulta de contratos'!$K$5)),1,0)</f>
        <v>0</v>
      </c>
      <c r="W771">
        <f>IF(V771=1,SUM($V$2:V771),0)</f>
        <v>0</v>
      </c>
    </row>
    <row r="772" spans="22:23" x14ac:dyDescent="0.35">
      <c r="V772">
        <f>IF(AND(SUM(IF('Consulta de contratos'!$K$1="",0,1),IF('Consulta de contratos'!$K$2="",0,1),IF('Consulta de contratos'!$K$3="",0,1),IF('Consulta de contratos'!$K$4="",0,1),IF('Consulta de contratos'!$K$5="",0,1))&gt;0,OR('Consulta de contratos'!$K$1="",A772='Consulta de contratos'!$K$1),OR('Consulta de contratos'!$K$2="",I772='Consulta de contratos'!$K$2,AND(LEFT('Consulta de contratos'!$K$2,7)="Grupo: ",ISNUMBER(SEARCH("|"&amp;MID('Consulta de contratos'!$K$2,8,120)&amp;"|",AF772)))),OR('Consulta de contratos'!$K$3="",C772='Consulta de contratos'!$K$3),OR('Consulta de contratos'!$K$4="",D772='Consulta de contratos'!$K$4),OR('Consulta de contratos'!$K$5="",E772='Consulta de contratos'!$K$5)),1,0)</f>
        <v>0</v>
      </c>
      <c r="W772">
        <f>IF(V772=1,SUM($V$2:V772),0)</f>
        <v>0</v>
      </c>
    </row>
    <row r="773" spans="22:23" x14ac:dyDescent="0.35">
      <c r="V773">
        <f>IF(AND(SUM(IF('Consulta de contratos'!$K$1="",0,1),IF('Consulta de contratos'!$K$2="",0,1),IF('Consulta de contratos'!$K$3="",0,1),IF('Consulta de contratos'!$K$4="",0,1),IF('Consulta de contratos'!$K$5="",0,1))&gt;0,OR('Consulta de contratos'!$K$1="",A773='Consulta de contratos'!$K$1),OR('Consulta de contratos'!$K$2="",I773='Consulta de contratos'!$K$2,AND(LEFT('Consulta de contratos'!$K$2,7)="Grupo: ",ISNUMBER(SEARCH("|"&amp;MID('Consulta de contratos'!$K$2,8,120)&amp;"|",AF773)))),OR('Consulta de contratos'!$K$3="",C773='Consulta de contratos'!$K$3),OR('Consulta de contratos'!$K$4="",D773='Consulta de contratos'!$K$4),OR('Consulta de contratos'!$K$5="",E773='Consulta de contratos'!$K$5)),1,0)</f>
        <v>0</v>
      </c>
      <c r="W773">
        <f>IF(V773=1,SUM($V$2:V773),0)</f>
        <v>0</v>
      </c>
    </row>
    <row r="774" spans="22:23" x14ac:dyDescent="0.35">
      <c r="V774">
        <f>IF(AND(SUM(IF('Consulta de contratos'!$K$1="",0,1),IF('Consulta de contratos'!$K$2="",0,1),IF('Consulta de contratos'!$K$3="",0,1),IF('Consulta de contratos'!$K$4="",0,1),IF('Consulta de contratos'!$K$5="",0,1))&gt;0,OR('Consulta de contratos'!$K$1="",A774='Consulta de contratos'!$K$1),OR('Consulta de contratos'!$K$2="",I774='Consulta de contratos'!$K$2,AND(LEFT('Consulta de contratos'!$K$2,7)="Grupo: ",ISNUMBER(SEARCH("|"&amp;MID('Consulta de contratos'!$K$2,8,120)&amp;"|",AF774)))),OR('Consulta de contratos'!$K$3="",C774='Consulta de contratos'!$K$3),OR('Consulta de contratos'!$K$4="",D774='Consulta de contratos'!$K$4),OR('Consulta de contratos'!$K$5="",E774='Consulta de contratos'!$K$5)),1,0)</f>
        <v>0</v>
      </c>
      <c r="W774">
        <f>IF(V774=1,SUM($V$2:V774),0)</f>
        <v>0</v>
      </c>
    </row>
    <row r="775" spans="22:23" x14ac:dyDescent="0.35">
      <c r="V775">
        <f>IF(AND(SUM(IF('Consulta de contratos'!$K$1="",0,1),IF('Consulta de contratos'!$K$2="",0,1),IF('Consulta de contratos'!$K$3="",0,1),IF('Consulta de contratos'!$K$4="",0,1),IF('Consulta de contratos'!$K$5="",0,1))&gt;0,OR('Consulta de contratos'!$K$1="",A775='Consulta de contratos'!$K$1),OR('Consulta de contratos'!$K$2="",I775='Consulta de contratos'!$K$2,AND(LEFT('Consulta de contratos'!$K$2,7)="Grupo: ",ISNUMBER(SEARCH("|"&amp;MID('Consulta de contratos'!$K$2,8,120)&amp;"|",AF775)))),OR('Consulta de contratos'!$K$3="",C775='Consulta de contratos'!$K$3),OR('Consulta de contratos'!$K$4="",D775='Consulta de contratos'!$K$4),OR('Consulta de contratos'!$K$5="",E775='Consulta de contratos'!$K$5)),1,0)</f>
        <v>0</v>
      </c>
      <c r="W775">
        <f>IF(V775=1,SUM($V$2:V775),0)</f>
        <v>0</v>
      </c>
    </row>
    <row r="776" spans="22:23" x14ac:dyDescent="0.35">
      <c r="V776">
        <f>IF(AND(SUM(IF('Consulta de contratos'!$K$1="",0,1),IF('Consulta de contratos'!$K$2="",0,1),IF('Consulta de contratos'!$K$3="",0,1),IF('Consulta de contratos'!$K$4="",0,1),IF('Consulta de contratos'!$K$5="",0,1))&gt;0,OR('Consulta de contratos'!$K$1="",A776='Consulta de contratos'!$K$1),OR('Consulta de contratos'!$K$2="",I776='Consulta de contratos'!$K$2,AND(LEFT('Consulta de contratos'!$K$2,7)="Grupo: ",ISNUMBER(SEARCH("|"&amp;MID('Consulta de contratos'!$K$2,8,120)&amp;"|",AF776)))),OR('Consulta de contratos'!$K$3="",C776='Consulta de contratos'!$K$3),OR('Consulta de contratos'!$K$4="",D776='Consulta de contratos'!$K$4),OR('Consulta de contratos'!$K$5="",E776='Consulta de contratos'!$K$5)),1,0)</f>
        <v>0</v>
      </c>
      <c r="W776">
        <f>IF(V776=1,SUM($V$2:V776),0)</f>
        <v>0</v>
      </c>
    </row>
    <row r="777" spans="22:23" x14ac:dyDescent="0.35">
      <c r="V777">
        <f>IF(AND(SUM(IF('Consulta de contratos'!$K$1="",0,1),IF('Consulta de contratos'!$K$2="",0,1),IF('Consulta de contratos'!$K$3="",0,1),IF('Consulta de contratos'!$K$4="",0,1),IF('Consulta de contratos'!$K$5="",0,1))&gt;0,OR('Consulta de contratos'!$K$1="",A777='Consulta de contratos'!$K$1),OR('Consulta de contratos'!$K$2="",I777='Consulta de contratos'!$K$2,AND(LEFT('Consulta de contratos'!$K$2,7)="Grupo: ",ISNUMBER(SEARCH("|"&amp;MID('Consulta de contratos'!$K$2,8,120)&amp;"|",AF777)))),OR('Consulta de contratos'!$K$3="",C777='Consulta de contratos'!$K$3),OR('Consulta de contratos'!$K$4="",D777='Consulta de contratos'!$K$4),OR('Consulta de contratos'!$K$5="",E777='Consulta de contratos'!$K$5)),1,0)</f>
        <v>0</v>
      </c>
      <c r="W777">
        <f>IF(V777=1,SUM($V$2:V777),0)</f>
        <v>0</v>
      </c>
    </row>
    <row r="778" spans="22:23" x14ac:dyDescent="0.35">
      <c r="V778">
        <f>IF(AND(SUM(IF('Consulta de contratos'!$K$1="",0,1),IF('Consulta de contratos'!$K$2="",0,1),IF('Consulta de contratos'!$K$3="",0,1),IF('Consulta de contratos'!$K$4="",0,1),IF('Consulta de contratos'!$K$5="",0,1))&gt;0,OR('Consulta de contratos'!$K$1="",A778='Consulta de contratos'!$K$1),OR('Consulta de contratos'!$K$2="",I778='Consulta de contratos'!$K$2,AND(LEFT('Consulta de contratos'!$K$2,7)="Grupo: ",ISNUMBER(SEARCH("|"&amp;MID('Consulta de contratos'!$K$2,8,120)&amp;"|",AF778)))),OR('Consulta de contratos'!$K$3="",C778='Consulta de contratos'!$K$3),OR('Consulta de contratos'!$K$4="",D778='Consulta de contratos'!$K$4),OR('Consulta de contratos'!$K$5="",E778='Consulta de contratos'!$K$5)),1,0)</f>
        <v>0</v>
      </c>
      <c r="W778">
        <f>IF(V778=1,SUM($V$2:V778),0)</f>
        <v>0</v>
      </c>
    </row>
    <row r="779" spans="22:23" x14ac:dyDescent="0.35">
      <c r="V779">
        <f>IF(AND(SUM(IF('Consulta de contratos'!$K$1="",0,1),IF('Consulta de contratos'!$K$2="",0,1),IF('Consulta de contratos'!$K$3="",0,1),IF('Consulta de contratos'!$K$4="",0,1),IF('Consulta de contratos'!$K$5="",0,1))&gt;0,OR('Consulta de contratos'!$K$1="",A779='Consulta de contratos'!$K$1),OR('Consulta de contratos'!$K$2="",I779='Consulta de contratos'!$K$2,AND(LEFT('Consulta de contratos'!$K$2,7)="Grupo: ",ISNUMBER(SEARCH("|"&amp;MID('Consulta de contratos'!$K$2,8,120)&amp;"|",AF779)))),OR('Consulta de contratos'!$K$3="",C779='Consulta de contratos'!$K$3),OR('Consulta de contratos'!$K$4="",D779='Consulta de contratos'!$K$4),OR('Consulta de contratos'!$K$5="",E779='Consulta de contratos'!$K$5)),1,0)</f>
        <v>0</v>
      </c>
      <c r="W779">
        <f>IF(V779=1,SUM($V$2:V779),0)</f>
        <v>0</v>
      </c>
    </row>
    <row r="780" spans="22:23" x14ac:dyDescent="0.35">
      <c r="V780">
        <f>IF(AND(SUM(IF('Consulta de contratos'!$K$1="",0,1),IF('Consulta de contratos'!$K$2="",0,1),IF('Consulta de contratos'!$K$3="",0,1),IF('Consulta de contratos'!$K$4="",0,1),IF('Consulta de contratos'!$K$5="",0,1))&gt;0,OR('Consulta de contratos'!$K$1="",A780='Consulta de contratos'!$K$1),OR('Consulta de contratos'!$K$2="",I780='Consulta de contratos'!$K$2,AND(LEFT('Consulta de contratos'!$K$2,7)="Grupo: ",ISNUMBER(SEARCH("|"&amp;MID('Consulta de contratos'!$K$2,8,120)&amp;"|",AF780)))),OR('Consulta de contratos'!$K$3="",C780='Consulta de contratos'!$K$3),OR('Consulta de contratos'!$K$4="",D780='Consulta de contratos'!$K$4),OR('Consulta de contratos'!$K$5="",E780='Consulta de contratos'!$K$5)),1,0)</f>
        <v>0</v>
      </c>
      <c r="W780">
        <f>IF(V780=1,SUM($V$2:V780),0)</f>
        <v>0</v>
      </c>
    </row>
    <row r="781" spans="22:23" x14ac:dyDescent="0.35">
      <c r="V781">
        <f>IF(AND(SUM(IF('Consulta de contratos'!$K$1="",0,1),IF('Consulta de contratos'!$K$2="",0,1),IF('Consulta de contratos'!$K$3="",0,1),IF('Consulta de contratos'!$K$4="",0,1),IF('Consulta de contratos'!$K$5="",0,1))&gt;0,OR('Consulta de contratos'!$K$1="",A781='Consulta de contratos'!$K$1),OR('Consulta de contratos'!$K$2="",I781='Consulta de contratos'!$K$2,AND(LEFT('Consulta de contratos'!$K$2,7)="Grupo: ",ISNUMBER(SEARCH("|"&amp;MID('Consulta de contratos'!$K$2,8,120)&amp;"|",AF781)))),OR('Consulta de contratos'!$K$3="",C781='Consulta de contratos'!$K$3),OR('Consulta de contratos'!$K$4="",D781='Consulta de contratos'!$K$4),OR('Consulta de contratos'!$K$5="",E781='Consulta de contratos'!$K$5)),1,0)</f>
        <v>0</v>
      </c>
      <c r="W781">
        <f>IF(V781=1,SUM($V$2:V781),0)</f>
        <v>0</v>
      </c>
    </row>
    <row r="782" spans="22:23" x14ac:dyDescent="0.35">
      <c r="V782">
        <f>IF(AND(SUM(IF('Consulta de contratos'!$K$1="",0,1),IF('Consulta de contratos'!$K$2="",0,1),IF('Consulta de contratos'!$K$3="",0,1),IF('Consulta de contratos'!$K$4="",0,1),IF('Consulta de contratos'!$K$5="",0,1))&gt;0,OR('Consulta de contratos'!$K$1="",A782='Consulta de contratos'!$K$1),OR('Consulta de contratos'!$K$2="",I782='Consulta de contratos'!$K$2,AND(LEFT('Consulta de contratos'!$K$2,7)="Grupo: ",ISNUMBER(SEARCH("|"&amp;MID('Consulta de contratos'!$K$2,8,120)&amp;"|",AF782)))),OR('Consulta de contratos'!$K$3="",C782='Consulta de contratos'!$K$3),OR('Consulta de contratos'!$K$4="",D782='Consulta de contratos'!$K$4),OR('Consulta de contratos'!$K$5="",E782='Consulta de contratos'!$K$5)),1,0)</f>
        <v>0</v>
      </c>
      <c r="W782">
        <f>IF(V782=1,SUM($V$2:V782),0)</f>
        <v>0</v>
      </c>
    </row>
    <row r="783" spans="22:23" x14ac:dyDescent="0.35">
      <c r="V783">
        <f>IF(AND(SUM(IF('Consulta de contratos'!$K$1="",0,1),IF('Consulta de contratos'!$K$2="",0,1),IF('Consulta de contratos'!$K$3="",0,1),IF('Consulta de contratos'!$K$4="",0,1),IF('Consulta de contratos'!$K$5="",0,1))&gt;0,OR('Consulta de contratos'!$K$1="",A783='Consulta de contratos'!$K$1),OR('Consulta de contratos'!$K$2="",I783='Consulta de contratos'!$K$2,AND(LEFT('Consulta de contratos'!$K$2,7)="Grupo: ",ISNUMBER(SEARCH("|"&amp;MID('Consulta de contratos'!$K$2,8,120)&amp;"|",AF783)))),OR('Consulta de contratos'!$K$3="",C783='Consulta de contratos'!$K$3),OR('Consulta de contratos'!$K$4="",D783='Consulta de contratos'!$K$4),OR('Consulta de contratos'!$K$5="",E783='Consulta de contratos'!$K$5)),1,0)</f>
        <v>0</v>
      </c>
      <c r="W783">
        <f>IF(V783=1,SUM($V$2:V783),0)</f>
        <v>0</v>
      </c>
    </row>
    <row r="784" spans="22:23" x14ac:dyDescent="0.35">
      <c r="V784">
        <f>IF(AND(SUM(IF('Consulta de contratos'!$K$1="",0,1),IF('Consulta de contratos'!$K$2="",0,1),IF('Consulta de contratos'!$K$3="",0,1),IF('Consulta de contratos'!$K$4="",0,1),IF('Consulta de contratos'!$K$5="",0,1))&gt;0,OR('Consulta de contratos'!$K$1="",A784='Consulta de contratos'!$K$1),OR('Consulta de contratos'!$K$2="",I784='Consulta de contratos'!$K$2,AND(LEFT('Consulta de contratos'!$K$2,7)="Grupo: ",ISNUMBER(SEARCH("|"&amp;MID('Consulta de contratos'!$K$2,8,120)&amp;"|",AF784)))),OR('Consulta de contratos'!$K$3="",C784='Consulta de contratos'!$K$3),OR('Consulta de contratos'!$K$4="",D784='Consulta de contratos'!$K$4),OR('Consulta de contratos'!$K$5="",E784='Consulta de contratos'!$K$5)),1,0)</f>
        <v>0</v>
      </c>
      <c r="W784">
        <f>IF(V784=1,SUM($V$2:V784),0)</f>
        <v>0</v>
      </c>
    </row>
    <row r="785" spans="22:23" x14ac:dyDescent="0.35">
      <c r="V785">
        <f>IF(AND(SUM(IF('Consulta de contratos'!$K$1="",0,1),IF('Consulta de contratos'!$K$2="",0,1),IF('Consulta de contratos'!$K$3="",0,1),IF('Consulta de contratos'!$K$4="",0,1),IF('Consulta de contratos'!$K$5="",0,1))&gt;0,OR('Consulta de contratos'!$K$1="",A785='Consulta de contratos'!$K$1),OR('Consulta de contratos'!$K$2="",I785='Consulta de contratos'!$K$2,AND(LEFT('Consulta de contratos'!$K$2,7)="Grupo: ",ISNUMBER(SEARCH("|"&amp;MID('Consulta de contratos'!$K$2,8,120)&amp;"|",AF785)))),OR('Consulta de contratos'!$K$3="",C785='Consulta de contratos'!$K$3),OR('Consulta de contratos'!$K$4="",D785='Consulta de contratos'!$K$4),OR('Consulta de contratos'!$K$5="",E785='Consulta de contratos'!$K$5)),1,0)</f>
        <v>0</v>
      </c>
      <c r="W785">
        <f>IF(V785=1,SUM($V$2:V785),0)</f>
        <v>0</v>
      </c>
    </row>
    <row r="786" spans="22:23" x14ac:dyDescent="0.35">
      <c r="V786">
        <f>IF(AND(SUM(IF('Consulta de contratos'!$K$1="",0,1),IF('Consulta de contratos'!$K$2="",0,1),IF('Consulta de contratos'!$K$3="",0,1),IF('Consulta de contratos'!$K$4="",0,1),IF('Consulta de contratos'!$K$5="",0,1))&gt;0,OR('Consulta de contratos'!$K$1="",A786='Consulta de contratos'!$K$1),OR('Consulta de contratos'!$K$2="",I786='Consulta de contratos'!$K$2,AND(LEFT('Consulta de contratos'!$K$2,7)="Grupo: ",ISNUMBER(SEARCH("|"&amp;MID('Consulta de contratos'!$K$2,8,120)&amp;"|",AF786)))),OR('Consulta de contratos'!$K$3="",C786='Consulta de contratos'!$K$3),OR('Consulta de contratos'!$K$4="",D786='Consulta de contratos'!$K$4),OR('Consulta de contratos'!$K$5="",E786='Consulta de contratos'!$K$5)),1,0)</f>
        <v>0</v>
      </c>
      <c r="W786">
        <f>IF(V786=1,SUM($V$2:V786),0)</f>
        <v>0</v>
      </c>
    </row>
    <row r="787" spans="22:23" x14ac:dyDescent="0.35">
      <c r="V787">
        <f>IF(AND(SUM(IF('Consulta de contratos'!$K$1="",0,1),IF('Consulta de contratos'!$K$2="",0,1),IF('Consulta de contratos'!$K$3="",0,1),IF('Consulta de contratos'!$K$4="",0,1),IF('Consulta de contratos'!$K$5="",0,1))&gt;0,OR('Consulta de contratos'!$K$1="",A787='Consulta de contratos'!$K$1),OR('Consulta de contratos'!$K$2="",I787='Consulta de contratos'!$K$2,AND(LEFT('Consulta de contratos'!$K$2,7)="Grupo: ",ISNUMBER(SEARCH("|"&amp;MID('Consulta de contratos'!$K$2,8,120)&amp;"|",AF787)))),OR('Consulta de contratos'!$K$3="",C787='Consulta de contratos'!$K$3),OR('Consulta de contratos'!$K$4="",D787='Consulta de contratos'!$K$4),OR('Consulta de contratos'!$K$5="",E787='Consulta de contratos'!$K$5)),1,0)</f>
        <v>0</v>
      </c>
      <c r="W787">
        <f>IF(V787=1,SUM($V$2:V787),0)</f>
        <v>0</v>
      </c>
    </row>
    <row r="788" spans="22:23" x14ac:dyDescent="0.35">
      <c r="V788">
        <f>IF(AND(SUM(IF('Consulta de contratos'!$K$1="",0,1),IF('Consulta de contratos'!$K$2="",0,1),IF('Consulta de contratos'!$K$3="",0,1),IF('Consulta de contratos'!$K$4="",0,1),IF('Consulta de contratos'!$K$5="",0,1))&gt;0,OR('Consulta de contratos'!$K$1="",A788='Consulta de contratos'!$K$1),OR('Consulta de contratos'!$K$2="",I788='Consulta de contratos'!$K$2,AND(LEFT('Consulta de contratos'!$K$2,7)="Grupo: ",ISNUMBER(SEARCH("|"&amp;MID('Consulta de contratos'!$K$2,8,120)&amp;"|",AF788)))),OR('Consulta de contratos'!$K$3="",C788='Consulta de contratos'!$K$3),OR('Consulta de contratos'!$K$4="",D788='Consulta de contratos'!$K$4),OR('Consulta de contratos'!$K$5="",E788='Consulta de contratos'!$K$5)),1,0)</f>
        <v>0</v>
      </c>
      <c r="W788">
        <f>IF(V788=1,SUM($V$2:V788),0)</f>
        <v>0</v>
      </c>
    </row>
    <row r="789" spans="22:23" x14ac:dyDescent="0.35">
      <c r="V789">
        <f>IF(AND(SUM(IF('Consulta de contratos'!$K$1="",0,1),IF('Consulta de contratos'!$K$2="",0,1),IF('Consulta de contratos'!$K$3="",0,1),IF('Consulta de contratos'!$K$4="",0,1),IF('Consulta de contratos'!$K$5="",0,1))&gt;0,OR('Consulta de contratos'!$K$1="",A789='Consulta de contratos'!$K$1),OR('Consulta de contratos'!$K$2="",I789='Consulta de contratos'!$K$2,AND(LEFT('Consulta de contratos'!$K$2,7)="Grupo: ",ISNUMBER(SEARCH("|"&amp;MID('Consulta de contratos'!$K$2,8,120)&amp;"|",AF789)))),OR('Consulta de contratos'!$K$3="",C789='Consulta de contratos'!$K$3),OR('Consulta de contratos'!$K$4="",D789='Consulta de contratos'!$K$4),OR('Consulta de contratos'!$K$5="",E789='Consulta de contratos'!$K$5)),1,0)</f>
        <v>0</v>
      </c>
      <c r="W789">
        <f>IF(V789=1,SUM($V$2:V789),0)</f>
        <v>0</v>
      </c>
    </row>
    <row r="790" spans="22:23" x14ac:dyDescent="0.35">
      <c r="V790">
        <f>IF(AND(SUM(IF('Consulta de contratos'!$K$1="",0,1),IF('Consulta de contratos'!$K$2="",0,1),IF('Consulta de contratos'!$K$3="",0,1),IF('Consulta de contratos'!$K$4="",0,1),IF('Consulta de contratos'!$K$5="",0,1))&gt;0,OR('Consulta de contratos'!$K$1="",A790='Consulta de contratos'!$K$1),OR('Consulta de contratos'!$K$2="",I790='Consulta de contratos'!$K$2,AND(LEFT('Consulta de contratos'!$K$2,7)="Grupo: ",ISNUMBER(SEARCH("|"&amp;MID('Consulta de contratos'!$K$2,8,120)&amp;"|",AF790)))),OR('Consulta de contratos'!$K$3="",C790='Consulta de contratos'!$K$3),OR('Consulta de contratos'!$K$4="",D790='Consulta de contratos'!$K$4),OR('Consulta de contratos'!$K$5="",E790='Consulta de contratos'!$K$5)),1,0)</f>
        <v>0</v>
      </c>
      <c r="W790">
        <f>IF(V790=1,SUM($V$2:V790),0)</f>
        <v>0</v>
      </c>
    </row>
    <row r="791" spans="22:23" x14ac:dyDescent="0.35">
      <c r="V791">
        <f>IF(AND(SUM(IF('Consulta de contratos'!$K$1="",0,1),IF('Consulta de contratos'!$K$2="",0,1),IF('Consulta de contratos'!$K$3="",0,1),IF('Consulta de contratos'!$K$4="",0,1),IF('Consulta de contratos'!$K$5="",0,1))&gt;0,OR('Consulta de contratos'!$K$1="",A791='Consulta de contratos'!$K$1),OR('Consulta de contratos'!$K$2="",I791='Consulta de contratos'!$K$2,AND(LEFT('Consulta de contratos'!$K$2,7)="Grupo: ",ISNUMBER(SEARCH("|"&amp;MID('Consulta de contratos'!$K$2,8,120)&amp;"|",AF791)))),OR('Consulta de contratos'!$K$3="",C791='Consulta de contratos'!$K$3),OR('Consulta de contratos'!$K$4="",D791='Consulta de contratos'!$K$4),OR('Consulta de contratos'!$K$5="",E791='Consulta de contratos'!$K$5)),1,0)</f>
        <v>0</v>
      </c>
      <c r="W791">
        <f>IF(V791=1,SUM($V$2:V791),0)</f>
        <v>0</v>
      </c>
    </row>
    <row r="792" spans="22:23" x14ac:dyDescent="0.35">
      <c r="V792">
        <f>IF(AND(SUM(IF('Consulta de contratos'!$K$1="",0,1),IF('Consulta de contratos'!$K$2="",0,1),IF('Consulta de contratos'!$K$3="",0,1),IF('Consulta de contratos'!$K$4="",0,1),IF('Consulta de contratos'!$K$5="",0,1))&gt;0,OR('Consulta de contratos'!$K$1="",A792='Consulta de contratos'!$K$1),OR('Consulta de contratos'!$K$2="",I792='Consulta de contratos'!$K$2,AND(LEFT('Consulta de contratos'!$K$2,7)="Grupo: ",ISNUMBER(SEARCH("|"&amp;MID('Consulta de contratos'!$K$2,8,120)&amp;"|",AF792)))),OR('Consulta de contratos'!$K$3="",C792='Consulta de contratos'!$K$3),OR('Consulta de contratos'!$K$4="",D792='Consulta de contratos'!$K$4),OR('Consulta de contratos'!$K$5="",E792='Consulta de contratos'!$K$5)),1,0)</f>
        <v>0</v>
      </c>
      <c r="W792">
        <f>IF(V792=1,SUM($V$2:V792),0)</f>
        <v>0</v>
      </c>
    </row>
    <row r="793" spans="22:23" x14ac:dyDescent="0.35">
      <c r="V793">
        <f>IF(AND(SUM(IF('Consulta de contratos'!$K$1="",0,1),IF('Consulta de contratos'!$K$2="",0,1),IF('Consulta de contratos'!$K$3="",0,1),IF('Consulta de contratos'!$K$4="",0,1),IF('Consulta de contratos'!$K$5="",0,1))&gt;0,OR('Consulta de contratos'!$K$1="",A793='Consulta de contratos'!$K$1),OR('Consulta de contratos'!$K$2="",I793='Consulta de contratos'!$K$2,AND(LEFT('Consulta de contratos'!$K$2,7)="Grupo: ",ISNUMBER(SEARCH("|"&amp;MID('Consulta de contratos'!$K$2,8,120)&amp;"|",AF793)))),OR('Consulta de contratos'!$K$3="",C793='Consulta de contratos'!$K$3),OR('Consulta de contratos'!$K$4="",D793='Consulta de contratos'!$K$4),OR('Consulta de contratos'!$K$5="",E793='Consulta de contratos'!$K$5)),1,0)</f>
        <v>0</v>
      </c>
      <c r="W793">
        <f>IF(V793=1,SUM($V$2:V793),0)</f>
        <v>0</v>
      </c>
    </row>
    <row r="794" spans="22:23" x14ac:dyDescent="0.35">
      <c r="V794">
        <f>IF(AND(SUM(IF('Consulta de contratos'!$K$1="",0,1),IF('Consulta de contratos'!$K$2="",0,1),IF('Consulta de contratos'!$K$3="",0,1),IF('Consulta de contratos'!$K$4="",0,1),IF('Consulta de contratos'!$K$5="",0,1))&gt;0,OR('Consulta de contratos'!$K$1="",A794='Consulta de contratos'!$K$1),OR('Consulta de contratos'!$K$2="",I794='Consulta de contratos'!$K$2,AND(LEFT('Consulta de contratos'!$K$2,7)="Grupo: ",ISNUMBER(SEARCH("|"&amp;MID('Consulta de contratos'!$K$2,8,120)&amp;"|",AF794)))),OR('Consulta de contratos'!$K$3="",C794='Consulta de contratos'!$K$3),OR('Consulta de contratos'!$K$4="",D794='Consulta de contratos'!$K$4),OR('Consulta de contratos'!$K$5="",E794='Consulta de contratos'!$K$5)),1,0)</f>
        <v>0</v>
      </c>
      <c r="W794">
        <f>IF(V794=1,SUM($V$2:V794),0)</f>
        <v>0</v>
      </c>
    </row>
    <row r="795" spans="22:23" x14ac:dyDescent="0.35">
      <c r="V795">
        <f>IF(AND(SUM(IF('Consulta de contratos'!$K$1="",0,1),IF('Consulta de contratos'!$K$2="",0,1),IF('Consulta de contratos'!$K$3="",0,1),IF('Consulta de contratos'!$K$4="",0,1),IF('Consulta de contratos'!$K$5="",0,1))&gt;0,OR('Consulta de contratos'!$K$1="",A795='Consulta de contratos'!$K$1),OR('Consulta de contratos'!$K$2="",I795='Consulta de contratos'!$K$2,AND(LEFT('Consulta de contratos'!$K$2,7)="Grupo: ",ISNUMBER(SEARCH("|"&amp;MID('Consulta de contratos'!$K$2,8,120)&amp;"|",AF795)))),OR('Consulta de contratos'!$K$3="",C795='Consulta de contratos'!$K$3),OR('Consulta de contratos'!$K$4="",D795='Consulta de contratos'!$K$4),OR('Consulta de contratos'!$K$5="",E795='Consulta de contratos'!$K$5)),1,0)</f>
        <v>0</v>
      </c>
      <c r="W795">
        <f>IF(V795=1,SUM($V$2:V795),0)</f>
        <v>0</v>
      </c>
    </row>
    <row r="796" spans="22:23" x14ac:dyDescent="0.35">
      <c r="V796">
        <f>IF(AND(SUM(IF('Consulta de contratos'!$K$1="",0,1),IF('Consulta de contratos'!$K$2="",0,1),IF('Consulta de contratos'!$K$3="",0,1),IF('Consulta de contratos'!$K$4="",0,1),IF('Consulta de contratos'!$K$5="",0,1))&gt;0,OR('Consulta de contratos'!$K$1="",A796='Consulta de contratos'!$K$1),OR('Consulta de contratos'!$K$2="",I796='Consulta de contratos'!$K$2,AND(LEFT('Consulta de contratos'!$K$2,7)="Grupo: ",ISNUMBER(SEARCH("|"&amp;MID('Consulta de contratos'!$K$2,8,120)&amp;"|",AF796)))),OR('Consulta de contratos'!$K$3="",C796='Consulta de contratos'!$K$3),OR('Consulta de contratos'!$K$4="",D796='Consulta de contratos'!$K$4),OR('Consulta de contratos'!$K$5="",E796='Consulta de contratos'!$K$5)),1,0)</f>
        <v>0</v>
      </c>
      <c r="W796">
        <f>IF(V796=1,SUM($V$2:V796),0)</f>
        <v>0</v>
      </c>
    </row>
    <row r="797" spans="22:23" x14ac:dyDescent="0.35">
      <c r="V797">
        <f>IF(AND(SUM(IF('Consulta de contratos'!$K$1="",0,1),IF('Consulta de contratos'!$K$2="",0,1),IF('Consulta de contratos'!$K$3="",0,1),IF('Consulta de contratos'!$K$4="",0,1),IF('Consulta de contratos'!$K$5="",0,1))&gt;0,OR('Consulta de contratos'!$K$1="",A797='Consulta de contratos'!$K$1),OR('Consulta de contratos'!$K$2="",I797='Consulta de contratos'!$K$2,AND(LEFT('Consulta de contratos'!$K$2,7)="Grupo: ",ISNUMBER(SEARCH("|"&amp;MID('Consulta de contratos'!$K$2,8,120)&amp;"|",AF797)))),OR('Consulta de contratos'!$K$3="",C797='Consulta de contratos'!$K$3),OR('Consulta de contratos'!$K$4="",D797='Consulta de contratos'!$K$4),OR('Consulta de contratos'!$K$5="",E797='Consulta de contratos'!$K$5)),1,0)</f>
        <v>0</v>
      </c>
      <c r="W797">
        <f>IF(V797=1,SUM($V$2:V797),0)</f>
        <v>0</v>
      </c>
    </row>
    <row r="798" spans="22:23" x14ac:dyDescent="0.35">
      <c r="V798">
        <f>IF(AND(SUM(IF('Consulta de contratos'!$K$1="",0,1),IF('Consulta de contratos'!$K$2="",0,1),IF('Consulta de contratos'!$K$3="",0,1),IF('Consulta de contratos'!$K$4="",0,1),IF('Consulta de contratos'!$K$5="",0,1))&gt;0,OR('Consulta de contratos'!$K$1="",A798='Consulta de contratos'!$K$1),OR('Consulta de contratos'!$K$2="",I798='Consulta de contratos'!$K$2,AND(LEFT('Consulta de contratos'!$K$2,7)="Grupo: ",ISNUMBER(SEARCH("|"&amp;MID('Consulta de contratos'!$K$2,8,120)&amp;"|",AF798)))),OR('Consulta de contratos'!$K$3="",C798='Consulta de contratos'!$K$3),OR('Consulta de contratos'!$K$4="",D798='Consulta de contratos'!$K$4),OR('Consulta de contratos'!$K$5="",E798='Consulta de contratos'!$K$5)),1,0)</f>
        <v>0</v>
      </c>
      <c r="W798">
        <f>IF(V798=1,SUM($V$2:V798),0)</f>
        <v>0</v>
      </c>
    </row>
    <row r="799" spans="22:23" x14ac:dyDescent="0.35">
      <c r="V799">
        <f>IF(AND(SUM(IF('Consulta de contratos'!$K$1="",0,1),IF('Consulta de contratos'!$K$2="",0,1),IF('Consulta de contratos'!$K$3="",0,1),IF('Consulta de contratos'!$K$4="",0,1),IF('Consulta de contratos'!$K$5="",0,1))&gt;0,OR('Consulta de contratos'!$K$1="",A799='Consulta de contratos'!$K$1),OR('Consulta de contratos'!$K$2="",I799='Consulta de contratos'!$K$2,AND(LEFT('Consulta de contratos'!$K$2,7)="Grupo: ",ISNUMBER(SEARCH("|"&amp;MID('Consulta de contratos'!$K$2,8,120)&amp;"|",AF799)))),OR('Consulta de contratos'!$K$3="",C799='Consulta de contratos'!$K$3),OR('Consulta de contratos'!$K$4="",D799='Consulta de contratos'!$K$4),OR('Consulta de contratos'!$K$5="",E799='Consulta de contratos'!$K$5)),1,0)</f>
        <v>0</v>
      </c>
      <c r="W799">
        <f>IF(V799=1,SUM($V$2:V799),0)</f>
        <v>0</v>
      </c>
    </row>
    <row r="800" spans="22:23" x14ac:dyDescent="0.35">
      <c r="V800">
        <f>IF(AND(SUM(IF('Consulta de contratos'!$K$1="",0,1),IF('Consulta de contratos'!$K$2="",0,1),IF('Consulta de contratos'!$K$3="",0,1),IF('Consulta de contratos'!$K$4="",0,1),IF('Consulta de contratos'!$K$5="",0,1))&gt;0,OR('Consulta de contratos'!$K$1="",A800='Consulta de contratos'!$K$1),OR('Consulta de contratos'!$K$2="",I800='Consulta de contratos'!$K$2,AND(LEFT('Consulta de contratos'!$K$2,7)="Grupo: ",ISNUMBER(SEARCH("|"&amp;MID('Consulta de contratos'!$K$2,8,120)&amp;"|",AF800)))),OR('Consulta de contratos'!$K$3="",C800='Consulta de contratos'!$K$3),OR('Consulta de contratos'!$K$4="",D800='Consulta de contratos'!$K$4),OR('Consulta de contratos'!$K$5="",E800='Consulta de contratos'!$K$5)),1,0)</f>
        <v>0</v>
      </c>
      <c r="W800">
        <f>IF(V800=1,SUM($V$2:V800),0)</f>
        <v>0</v>
      </c>
    </row>
    <row r="801" spans="22:23" x14ac:dyDescent="0.35">
      <c r="V801">
        <f>IF(AND(SUM(IF('Consulta de contratos'!$K$1="",0,1),IF('Consulta de contratos'!$K$2="",0,1),IF('Consulta de contratos'!$K$3="",0,1),IF('Consulta de contratos'!$K$4="",0,1),IF('Consulta de contratos'!$K$5="",0,1))&gt;0,OR('Consulta de contratos'!$K$1="",A801='Consulta de contratos'!$K$1),OR('Consulta de contratos'!$K$2="",I801='Consulta de contratos'!$K$2,AND(LEFT('Consulta de contratos'!$K$2,7)="Grupo: ",ISNUMBER(SEARCH("|"&amp;MID('Consulta de contratos'!$K$2,8,120)&amp;"|",AF801)))),OR('Consulta de contratos'!$K$3="",C801='Consulta de contratos'!$K$3),OR('Consulta de contratos'!$K$4="",D801='Consulta de contratos'!$K$4),OR('Consulta de contratos'!$K$5="",E801='Consulta de contratos'!$K$5)),1,0)</f>
        <v>0</v>
      </c>
      <c r="W801">
        <f>IF(V801=1,SUM($V$2:V801),0)</f>
        <v>0</v>
      </c>
    </row>
    <row r="802" spans="22:23" x14ac:dyDescent="0.35">
      <c r="V802">
        <f>IF(AND(SUM(IF('Consulta de contratos'!$K$1="",0,1),IF('Consulta de contratos'!$K$2="",0,1),IF('Consulta de contratos'!$K$3="",0,1),IF('Consulta de contratos'!$K$4="",0,1),IF('Consulta de contratos'!$K$5="",0,1))&gt;0,OR('Consulta de contratos'!$K$1="",A802='Consulta de contratos'!$K$1),OR('Consulta de contratos'!$K$2="",I802='Consulta de contratos'!$K$2,AND(LEFT('Consulta de contratos'!$K$2,7)="Grupo: ",ISNUMBER(SEARCH("|"&amp;MID('Consulta de contratos'!$K$2,8,120)&amp;"|",AF802)))),OR('Consulta de contratos'!$K$3="",C802='Consulta de contratos'!$K$3),OR('Consulta de contratos'!$K$4="",D802='Consulta de contratos'!$K$4),OR('Consulta de contratos'!$K$5="",E802='Consulta de contratos'!$K$5)),1,0)</f>
        <v>0</v>
      </c>
      <c r="W802">
        <f>IF(V802=1,SUM($V$2:V802),0)</f>
        <v>0</v>
      </c>
    </row>
    <row r="803" spans="22:23" x14ac:dyDescent="0.35">
      <c r="V803">
        <f>IF(AND(SUM(IF('Consulta de contratos'!$K$1="",0,1),IF('Consulta de contratos'!$K$2="",0,1),IF('Consulta de contratos'!$K$3="",0,1),IF('Consulta de contratos'!$K$4="",0,1),IF('Consulta de contratos'!$K$5="",0,1))&gt;0,OR('Consulta de contratos'!$K$1="",A803='Consulta de contratos'!$K$1),OR('Consulta de contratos'!$K$2="",I803='Consulta de contratos'!$K$2,AND(LEFT('Consulta de contratos'!$K$2,7)="Grupo: ",ISNUMBER(SEARCH("|"&amp;MID('Consulta de contratos'!$K$2,8,120)&amp;"|",AF803)))),OR('Consulta de contratos'!$K$3="",C803='Consulta de contratos'!$K$3),OR('Consulta de contratos'!$K$4="",D803='Consulta de contratos'!$K$4),OR('Consulta de contratos'!$K$5="",E803='Consulta de contratos'!$K$5)),1,0)</f>
        <v>0</v>
      </c>
      <c r="W803">
        <f>IF(V803=1,SUM($V$2:V803),0)</f>
        <v>0</v>
      </c>
    </row>
    <row r="804" spans="22:23" x14ac:dyDescent="0.35">
      <c r="V804">
        <f>IF(AND(SUM(IF('Consulta de contratos'!$K$1="",0,1),IF('Consulta de contratos'!$K$2="",0,1),IF('Consulta de contratos'!$K$3="",0,1),IF('Consulta de contratos'!$K$4="",0,1),IF('Consulta de contratos'!$K$5="",0,1))&gt;0,OR('Consulta de contratos'!$K$1="",A804='Consulta de contratos'!$K$1),OR('Consulta de contratos'!$K$2="",I804='Consulta de contratos'!$K$2,AND(LEFT('Consulta de contratos'!$K$2,7)="Grupo: ",ISNUMBER(SEARCH("|"&amp;MID('Consulta de contratos'!$K$2,8,120)&amp;"|",AF804)))),OR('Consulta de contratos'!$K$3="",C804='Consulta de contratos'!$K$3),OR('Consulta de contratos'!$K$4="",D804='Consulta de contratos'!$K$4),OR('Consulta de contratos'!$K$5="",E804='Consulta de contratos'!$K$5)),1,0)</f>
        <v>0</v>
      </c>
      <c r="W804">
        <f>IF(V804=1,SUM($V$2:V804),0)</f>
        <v>0</v>
      </c>
    </row>
    <row r="805" spans="22:23" x14ac:dyDescent="0.35">
      <c r="V805">
        <f>IF(AND(SUM(IF('Consulta de contratos'!$K$1="",0,1),IF('Consulta de contratos'!$K$2="",0,1),IF('Consulta de contratos'!$K$3="",0,1),IF('Consulta de contratos'!$K$4="",0,1),IF('Consulta de contratos'!$K$5="",0,1))&gt;0,OR('Consulta de contratos'!$K$1="",A805='Consulta de contratos'!$K$1),OR('Consulta de contratos'!$K$2="",I805='Consulta de contratos'!$K$2,AND(LEFT('Consulta de contratos'!$K$2,7)="Grupo: ",ISNUMBER(SEARCH("|"&amp;MID('Consulta de contratos'!$K$2,8,120)&amp;"|",AF805)))),OR('Consulta de contratos'!$K$3="",C805='Consulta de contratos'!$K$3),OR('Consulta de contratos'!$K$4="",D805='Consulta de contratos'!$K$4),OR('Consulta de contratos'!$K$5="",E805='Consulta de contratos'!$K$5)),1,0)</f>
        <v>0</v>
      </c>
      <c r="W805">
        <f>IF(V805=1,SUM($V$2:V805),0)</f>
        <v>0</v>
      </c>
    </row>
    <row r="806" spans="22:23" x14ac:dyDescent="0.35">
      <c r="V806">
        <f>IF(AND(SUM(IF('Consulta de contratos'!$K$1="",0,1),IF('Consulta de contratos'!$K$2="",0,1),IF('Consulta de contratos'!$K$3="",0,1),IF('Consulta de contratos'!$K$4="",0,1),IF('Consulta de contratos'!$K$5="",0,1))&gt;0,OR('Consulta de contratos'!$K$1="",A806='Consulta de contratos'!$K$1),OR('Consulta de contratos'!$K$2="",I806='Consulta de contratos'!$K$2,AND(LEFT('Consulta de contratos'!$K$2,7)="Grupo: ",ISNUMBER(SEARCH("|"&amp;MID('Consulta de contratos'!$K$2,8,120)&amp;"|",AF806)))),OR('Consulta de contratos'!$K$3="",C806='Consulta de contratos'!$K$3),OR('Consulta de contratos'!$K$4="",D806='Consulta de contratos'!$K$4),OR('Consulta de contratos'!$K$5="",E806='Consulta de contratos'!$K$5)),1,0)</f>
        <v>0</v>
      </c>
      <c r="W806">
        <f>IF(V806=1,SUM($V$2:V806),0)</f>
        <v>0</v>
      </c>
    </row>
    <row r="807" spans="22:23" x14ac:dyDescent="0.35">
      <c r="V807">
        <f>IF(AND(SUM(IF('Consulta de contratos'!$K$1="",0,1),IF('Consulta de contratos'!$K$2="",0,1),IF('Consulta de contratos'!$K$3="",0,1),IF('Consulta de contratos'!$K$4="",0,1),IF('Consulta de contratos'!$K$5="",0,1))&gt;0,OR('Consulta de contratos'!$K$1="",A807='Consulta de contratos'!$K$1),OR('Consulta de contratos'!$K$2="",I807='Consulta de contratos'!$K$2,AND(LEFT('Consulta de contratos'!$K$2,7)="Grupo: ",ISNUMBER(SEARCH("|"&amp;MID('Consulta de contratos'!$K$2,8,120)&amp;"|",AF807)))),OR('Consulta de contratos'!$K$3="",C807='Consulta de contratos'!$K$3),OR('Consulta de contratos'!$K$4="",D807='Consulta de contratos'!$K$4),OR('Consulta de contratos'!$K$5="",E807='Consulta de contratos'!$K$5)),1,0)</f>
        <v>0</v>
      </c>
      <c r="W807">
        <f>IF(V807=1,SUM($V$2:V807),0)</f>
        <v>0</v>
      </c>
    </row>
    <row r="808" spans="22:23" x14ac:dyDescent="0.35">
      <c r="V808">
        <f>IF(AND(SUM(IF('Consulta de contratos'!$K$1="",0,1),IF('Consulta de contratos'!$K$2="",0,1),IF('Consulta de contratos'!$K$3="",0,1),IF('Consulta de contratos'!$K$4="",0,1),IF('Consulta de contratos'!$K$5="",0,1))&gt;0,OR('Consulta de contratos'!$K$1="",A808='Consulta de contratos'!$K$1),OR('Consulta de contratos'!$K$2="",I808='Consulta de contratos'!$K$2,AND(LEFT('Consulta de contratos'!$K$2,7)="Grupo: ",ISNUMBER(SEARCH("|"&amp;MID('Consulta de contratos'!$K$2,8,120)&amp;"|",AF808)))),OR('Consulta de contratos'!$K$3="",C808='Consulta de contratos'!$K$3),OR('Consulta de contratos'!$K$4="",D808='Consulta de contratos'!$K$4),OR('Consulta de contratos'!$K$5="",E808='Consulta de contratos'!$K$5)),1,0)</f>
        <v>0</v>
      </c>
      <c r="W808">
        <f>IF(V808=1,SUM($V$2:V808),0)</f>
        <v>0</v>
      </c>
    </row>
    <row r="809" spans="22:23" x14ac:dyDescent="0.35">
      <c r="V809">
        <f>IF(AND(SUM(IF('Consulta de contratos'!$K$1="",0,1),IF('Consulta de contratos'!$K$2="",0,1),IF('Consulta de contratos'!$K$3="",0,1),IF('Consulta de contratos'!$K$4="",0,1),IF('Consulta de contratos'!$K$5="",0,1))&gt;0,OR('Consulta de contratos'!$K$1="",A809='Consulta de contratos'!$K$1),OR('Consulta de contratos'!$K$2="",I809='Consulta de contratos'!$K$2,AND(LEFT('Consulta de contratos'!$K$2,7)="Grupo: ",ISNUMBER(SEARCH("|"&amp;MID('Consulta de contratos'!$K$2,8,120)&amp;"|",AF809)))),OR('Consulta de contratos'!$K$3="",C809='Consulta de contratos'!$K$3),OR('Consulta de contratos'!$K$4="",D809='Consulta de contratos'!$K$4),OR('Consulta de contratos'!$K$5="",E809='Consulta de contratos'!$K$5)),1,0)</f>
        <v>0</v>
      </c>
      <c r="W809">
        <f>IF(V809=1,SUM($V$2:V809),0)</f>
        <v>0</v>
      </c>
    </row>
    <row r="810" spans="22:23" x14ac:dyDescent="0.35">
      <c r="V810">
        <f>IF(AND(SUM(IF('Consulta de contratos'!$K$1="",0,1),IF('Consulta de contratos'!$K$2="",0,1),IF('Consulta de contratos'!$K$3="",0,1),IF('Consulta de contratos'!$K$4="",0,1),IF('Consulta de contratos'!$K$5="",0,1))&gt;0,OR('Consulta de contratos'!$K$1="",A810='Consulta de contratos'!$K$1),OR('Consulta de contratos'!$K$2="",I810='Consulta de contratos'!$K$2,AND(LEFT('Consulta de contratos'!$K$2,7)="Grupo: ",ISNUMBER(SEARCH("|"&amp;MID('Consulta de contratos'!$K$2,8,120)&amp;"|",AF810)))),OR('Consulta de contratos'!$K$3="",C810='Consulta de contratos'!$K$3),OR('Consulta de contratos'!$K$4="",D810='Consulta de contratos'!$K$4),OR('Consulta de contratos'!$K$5="",E810='Consulta de contratos'!$K$5)),1,0)</f>
        <v>0</v>
      </c>
      <c r="W810">
        <f>IF(V810=1,SUM($V$2:V810),0)</f>
        <v>0</v>
      </c>
    </row>
    <row r="811" spans="22:23" x14ac:dyDescent="0.35">
      <c r="V811">
        <f>IF(AND(SUM(IF('Consulta de contratos'!$K$1="",0,1),IF('Consulta de contratos'!$K$2="",0,1),IF('Consulta de contratos'!$K$3="",0,1),IF('Consulta de contratos'!$K$4="",0,1),IF('Consulta de contratos'!$K$5="",0,1))&gt;0,OR('Consulta de contratos'!$K$1="",A811='Consulta de contratos'!$K$1),OR('Consulta de contratos'!$K$2="",I811='Consulta de contratos'!$K$2,AND(LEFT('Consulta de contratos'!$K$2,7)="Grupo: ",ISNUMBER(SEARCH("|"&amp;MID('Consulta de contratos'!$K$2,8,120)&amp;"|",AF811)))),OR('Consulta de contratos'!$K$3="",C811='Consulta de contratos'!$K$3),OR('Consulta de contratos'!$K$4="",D811='Consulta de contratos'!$K$4),OR('Consulta de contratos'!$K$5="",E811='Consulta de contratos'!$K$5)),1,0)</f>
        <v>0</v>
      </c>
      <c r="W811">
        <f>IF(V811=1,SUM($V$2:V811),0)</f>
        <v>0</v>
      </c>
    </row>
    <row r="812" spans="22:23" x14ac:dyDescent="0.35">
      <c r="V812">
        <f>IF(AND(SUM(IF('Consulta de contratos'!$K$1="",0,1),IF('Consulta de contratos'!$K$2="",0,1),IF('Consulta de contratos'!$K$3="",0,1),IF('Consulta de contratos'!$K$4="",0,1),IF('Consulta de contratos'!$K$5="",0,1))&gt;0,OR('Consulta de contratos'!$K$1="",A812='Consulta de contratos'!$K$1),OR('Consulta de contratos'!$K$2="",I812='Consulta de contratos'!$K$2,AND(LEFT('Consulta de contratos'!$K$2,7)="Grupo: ",ISNUMBER(SEARCH("|"&amp;MID('Consulta de contratos'!$K$2,8,120)&amp;"|",AF812)))),OR('Consulta de contratos'!$K$3="",C812='Consulta de contratos'!$K$3),OR('Consulta de contratos'!$K$4="",D812='Consulta de contratos'!$K$4),OR('Consulta de contratos'!$K$5="",E812='Consulta de contratos'!$K$5)),1,0)</f>
        <v>0</v>
      </c>
      <c r="W812">
        <f>IF(V812=1,SUM($V$2:V812),0)</f>
        <v>0</v>
      </c>
    </row>
    <row r="813" spans="22:23" x14ac:dyDescent="0.35">
      <c r="V813">
        <f>IF(AND(SUM(IF('Consulta de contratos'!$K$1="",0,1),IF('Consulta de contratos'!$K$2="",0,1),IF('Consulta de contratos'!$K$3="",0,1),IF('Consulta de contratos'!$K$4="",0,1),IF('Consulta de contratos'!$K$5="",0,1))&gt;0,OR('Consulta de contratos'!$K$1="",A813='Consulta de contratos'!$K$1),OR('Consulta de contratos'!$K$2="",I813='Consulta de contratos'!$K$2,AND(LEFT('Consulta de contratos'!$K$2,7)="Grupo: ",ISNUMBER(SEARCH("|"&amp;MID('Consulta de contratos'!$K$2,8,120)&amp;"|",AF813)))),OR('Consulta de contratos'!$K$3="",C813='Consulta de contratos'!$K$3),OR('Consulta de contratos'!$K$4="",D813='Consulta de contratos'!$K$4),OR('Consulta de contratos'!$K$5="",E813='Consulta de contratos'!$K$5)),1,0)</f>
        <v>0</v>
      </c>
      <c r="W813">
        <f>IF(V813=1,SUM($V$2:V813),0)</f>
        <v>0</v>
      </c>
    </row>
    <row r="814" spans="22:23" x14ac:dyDescent="0.35">
      <c r="V814">
        <f>IF(AND(SUM(IF('Consulta de contratos'!$K$1="",0,1),IF('Consulta de contratos'!$K$2="",0,1),IF('Consulta de contratos'!$K$3="",0,1),IF('Consulta de contratos'!$K$4="",0,1),IF('Consulta de contratos'!$K$5="",0,1))&gt;0,OR('Consulta de contratos'!$K$1="",A814='Consulta de contratos'!$K$1),OR('Consulta de contratos'!$K$2="",I814='Consulta de contratos'!$K$2,AND(LEFT('Consulta de contratos'!$K$2,7)="Grupo: ",ISNUMBER(SEARCH("|"&amp;MID('Consulta de contratos'!$K$2,8,120)&amp;"|",AF814)))),OR('Consulta de contratos'!$K$3="",C814='Consulta de contratos'!$K$3),OR('Consulta de contratos'!$K$4="",D814='Consulta de contratos'!$K$4),OR('Consulta de contratos'!$K$5="",E814='Consulta de contratos'!$K$5)),1,0)</f>
        <v>0</v>
      </c>
      <c r="W814">
        <f>IF(V814=1,SUM($V$2:V814),0)</f>
        <v>0</v>
      </c>
    </row>
    <row r="815" spans="22:23" x14ac:dyDescent="0.35">
      <c r="V815">
        <f>IF(AND(SUM(IF('Consulta de contratos'!$K$1="",0,1),IF('Consulta de contratos'!$K$2="",0,1),IF('Consulta de contratos'!$K$3="",0,1),IF('Consulta de contratos'!$K$4="",0,1),IF('Consulta de contratos'!$K$5="",0,1))&gt;0,OR('Consulta de contratos'!$K$1="",A815='Consulta de contratos'!$K$1),OR('Consulta de contratos'!$K$2="",I815='Consulta de contratos'!$K$2,AND(LEFT('Consulta de contratos'!$K$2,7)="Grupo: ",ISNUMBER(SEARCH("|"&amp;MID('Consulta de contratos'!$K$2,8,120)&amp;"|",AF815)))),OR('Consulta de contratos'!$K$3="",C815='Consulta de contratos'!$K$3),OR('Consulta de contratos'!$K$4="",D815='Consulta de contratos'!$K$4),OR('Consulta de contratos'!$K$5="",E815='Consulta de contratos'!$K$5)),1,0)</f>
        <v>0</v>
      </c>
      <c r="W815">
        <f>IF(V815=1,SUM($V$2:V815),0)</f>
        <v>0</v>
      </c>
    </row>
    <row r="816" spans="22:23" x14ac:dyDescent="0.35">
      <c r="V816">
        <f>IF(AND(SUM(IF('Consulta de contratos'!$K$1="",0,1),IF('Consulta de contratos'!$K$2="",0,1),IF('Consulta de contratos'!$K$3="",0,1),IF('Consulta de contratos'!$K$4="",0,1),IF('Consulta de contratos'!$K$5="",0,1))&gt;0,OR('Consulta de contratos'!$K$1="",A816='Consulta de contratos'!$K$1),OR('Consulta de contratos'!$K$2="",I816='Consulta de contratos'!$K$2,AND(LEFT('Consulta de contratos'!$K$2,7)="Grupo: ",ISNUMBER(SEARCH("|"&amp;MID('Consulta de contratos'!$K$2,8,120)&amp;"|",AF816)))),OR('Consulta de contratos'!$K$3="",C816='Consulta de contratos'!$K$3),OR('Consulta de contratos'!$K$4="",D816='Consulta de contratos'!$K$4),OR('Consulta de contratos'!$K$5="",E816='Consulta de contratos'!$K$5)),1,0)</f>
        <v>0</v>
      </c>
      <c r="W816">
        <f>IF(V816=1,SUM($V$2:V816),0)</f>
        <v>0</v>
      </c>
    </row>
    <row r="817" spans="22:23" x14ac:dyDescent="0.35">
      <c r="V817">
        <f>IF(AND(SUM(IF('Consulta de contratos'!$K$1="",0,1),IF('Consulta de contratos'!$K$2="",0,1),IF('Consulta de contratos'!$K$3="",0,1),IF('Consulta de contratos'!$K$4="",0,1),IF('Consulta de contratos'!$K$5="",0,1))&gt;0,OR('Consulta de contratos'!$K$1="",A817='Consulta de contratos'!$K$1),OR('Consulta de contratos'!$K$2="",I817='Consulta de contratos'!$K$2,AND(LEFT('Consulta de contratos'!$K$2,7)="Grupo: ",ISNUMBER(SEARCH("|"&amp;MID('Consulta de contratos'!$K$2,8,120)&amp;"|",AF817)))),OR('Consulta de contratos'!$K$3="",C817='Consulta de contratos'!$K$3),OR('Consulta de contratos'!$K$4="",D817='Consulta de contratos'!$K$4),OR('Consulta de contratos'!$K$5="",E817='Consulta de contratos'!$K$5)),1,0)</f>
        <v>0</v>
      </c>
      <c r="W817">
        <f>IF(V817=1,SUM($V$2:V817),0)</f>
        <v>0</v>
      </c>
    </row>
    <row r="818" spans="22:23" x14ac:dyDescent="0.35">
      <c r="V818">
        <f>IF(AND(SUM(IF('Consulta de contratos'!$K$1="",0,1),IF('Consulta de contratos'!$K$2="",0,1),IF('Consulta de contratos'!$K$3="",0,1),IF('Consulta de contratos'!$K$4="",0,1),IF('Consulta de contratos'!$K$5="",0,1))&gt;0,OR('Consulta de contratos'!$K$1="",A818='Consulta de contratos'!$K$1),OR('Consulta de contratos'!$K$2="",I818='Consulta de contratos'!$K$2,AND(LEFT('Consulta de contratos'!$K$2,7)="Grupo: ",ISNUMBER(SEARCH("|"&amp;MID('Consulta de contratos'!$K$2,8,120)&amp;"|",AF818)))),OR('Consulta de contratos'!$K$3="",C818='Consulta de contratos'!$K$3),OR('Consulta de contratos'!$K$4="",D818='Consulta de contratos'!$K$4),OR('Consulta de contratos'!$K$5="",E818='Consulta de contratos'!$K$5)),1,0)</f>
        <v>0</v>
      </c>
      <c r="W818">
        <f>IF(V818=1,SUM($V$2:V818),0)</f>
        <v>0</v>
      </c>
    </row>
    <row r="819" spans="22:23" x14ac:dyDescent="0.35">
      <c r="V819">
        <f>IF(AND(SUM(IF('Consulta de contratos'!$K$1="",0,1),IF('Consulta de contratos'!$K$2="",0,1),IF('Consulta de contratos'!$K$3="",0,1),IF('Consulta de contratos'!$K$4="",0,1),IF('Consulta de contratos'!$K$5="",0,1))&gt;0,OR('Consulta de contratos'!$K$1="",A819='Consulta de contratos'!$K$1),OR('Consulta de contratos'!$K$2="",I819='Consulta de contratos'!$K$2,AND(LEFT('Consulta de contratos'!$K$2,7)="Grupo: ",ISNUMBER(SEARCH("|"&amp;MID('Consulta de contratos'!$K$2,8,120)&amp;"|",AF819)))),OR('Consulta de contratos'!$K$3="",C819='Consulta de contratos'!$K$3),OR('Consulta de contratos'!$K$4="",D819='Consulta de contratos'!$K$4),OR('Consulta de contratos'!$K$5="",E819='Consulta de contratos'!$K$5)),1,0)</f>
        <v>0</v>
      </c>
      <c r="W819">
        <f>IF(V819=1,SUM($V$2:V819),0)</f>
        <v>0</v>
      </c>
    </row>
    <row r="820" spans="22:23" x14ac:dyDescent="0.35">
      <c r="V820">
        <f>IF(AND(SUM(IF('Consulta de contratos'!$K$1="",0,1),IF('Consulta de contratos'!$K$2="",0,1),IF('Consulta de contratos'!$K$3="",0,1),IF('Consulta de contratos'!$K$4="",0,1),IF('Consulta de contratos'!$K$5="",0,1))&gt;0,OR('Consulta de contratos'!$K$1="",A820='Consulta de contratos'!$K$1),OR('Consulta de contratos'!$K$2="",I820='Consulta de contratos'!$K$2,AND(LEFT('Consulta de contratos'!$K$2,7)="Grupo: ",ISNUMBER(SEARCH("|"&amp;MID('Consulta de contratos'!$K$2,8,120)&amp;"|",AF820)))),OR('Consulta de contratos'!$K$3="",C820='Consulta de contratos'!$K$3),OR('Consulta de contratos'!$K$4="",D820='Consulta de contratos'!$K$4),OR('Consulta de contratos'!$K$5="",E820='Consulta de contratos'!$K$5)),1,0)</f>
        <v>0</v>
      </c>
      <c r="W820">
        <f>IF(V820=1,SUM($V$2:V820),0)</f>
        <v>0</v>
      </c>
    </row>
    <row r="821" spans="22:23" x14ac:dyDescent="0.35">
      <c r="V821">
        <f>IF(AND(SUM(IF('Consulta de contratos'!$K$1="",0,1),IF('Consulta de contratos'!$K$2="",0,1),IF('Consulta de contratos'!$K$3="",0,1),IF('Consulta de contratos'!$K$4="",0,1),IF('Consulta de contratos'!$K$5="",0,1))&gt;0,OR('Consulta de contratos'!$K$1="",A821='Consulta de contratos'!$K$1),OR('Consulta de contratos'!$K$2="",I821='Consulta de contratos'!$K$2,AND(LEFT('Consulta de contratos'!$K$2,7)="Grupo: ",ISNUMBER(SEARCH("|"&amp;MID('Consulta de contratos'!$K$2,8,120)&amp;"|",AF821)))),OR('Consulta de contratos'!$K$3="",C821='Consulta de contratos'!$K$3),OR('Consulta de contratos'!$K$4="",D821='Consulta de contratos'!$K$4),OR('Consulta de contratos'!$K$5="",E821='Consulta de contratos'!$K$5)),1,0)</f>
        <v>0</v>
      </c>
      <c r="W821">
        <f>IF(V821=1,SUM($V$2:V821),0)</f>
        <v>0</v>
      </c>
    </row>
    <row r="822" spans="22:23" x14ac:dyDescent="0.35">
      <c r="V822">
        <f>IF(AND(SUM(IF('Consulta de contratos'!$K$1="",0,1),IF('Consulta de contratos'!$K$2="",0,1),IF('Consulta de contratos'!$K$3="",0,1),IF('Consulta de contratos'!$K$4="",0,1),IF('Consulta de contratos'!$K$5="",0,1))&gt;0,OR('Consulta de contratos'!$K$1="",A822='Consulta de contratos'!$K$1),OR('Consulta de contratos'!$K$2="",I822='Consulta de contratos'!$K$2,AND(LEFT('Consulta de contratos'!$K$2,7)="Grupo: ",ISNUMBER(SEARCH("|"&amp;MID('Consulta de contratos'!$K$2,8,120)&amp;"|",AF822)))),OR('Consulta de contratos'!$K$3="",C822='Consulta de contratos'!$K$3),OR('Consulta de contratos'!$K$4="",D822='Consulta de contratos'!$K$4),OR('Consulta de contratos'!$K$5="",E822='Consulta de contratos'!$K$5)),1,0)</f>
        <v>0</v>
      </c>
      <c r="W822">
        <f>IF(V822=1,SUM($V$2:V822),0)</f>
        <v>0</v>
      </c>
    </row>
    <row r="823" spans="22:23" x14ac:dyDescent="0.35">
      <c r="V823">
        <f>IF(AND(SUM(IF('Consulta de contratos'!$K$1="",0,1),IF('Consulta de contratos'!$K$2="",0,1),IF('Consulta de contratos'!$K$3="",0,1),IF('Consulta de contratos'!$K$4="",0,1),IF('Consulta de contratos'!$K$5="",0,1))&gt;0,OR('Consulta de contratos'!$K$1="",A823='Consulta de contratos'!$K$1),OR('Consulta de contratos'!$K$2="",I823='Consulta de contratos'!$K$2,AND(LEFT('Consulta de contratos'!$K$2,7)="Grupo: ",ISNUMBER(SEARCH("|"&amp;MID('Consulta de contratos'!$K$2,8,120)&amp;"|",AF823)))),OR('Consulta de contratos'!$K$3="",C823='Consulta de contratos'!$K$3),OR('Consulta de contratos'!$K$4="",D823='Consulta de contratos'!$K$4),OR('Consulta de contratos'!$K$5="",E823='Consulta de contratos'!$K$5)),1,0)</f>
        <v>0</v>
      </c>
      <c r="W823">
        <f>IF(V823=1,SUM($V$2:V823),0)</f>
        <v>0</v>
      </c>
    </row>
    <row r="824" spans="22:23" x14ac:dyDescent="0.35">
      <c r="V824">
        <f>IF(AND(SUM(IF('Consulta de contratos'!$K$1="",0,1),IF('Consulta de contratos'!$K$2="",0,1),IF('Consulta de contratos'!$K$3="",0,1),IF('Consulta de contratos'!$K$4="",0,1),IF('Consulta de contratos'!$K$5="",0,1))&gt;0,OR('Consulta de contratos'!$K$1="",A824='Consulta de contratos'!$K$1),OR('Consulta de contratos'!$K$2="",I824='Consulta de contratos'!$K$2,AND(LEFT('Consulta de contratos'!$K$2,7)="Grupo: ",ISNUMBER(SEARCH("|"&amp;MID('Consulta de contratos'!$K$2,8,120)&amp;"|",AF824)))),OR('Consulta de contratos'!$K$3="",C824='Consulta de contratos'!$K$3),OR('Consulta de contratos'!$K$4="",D824='Consulta de contratos'!$K$4),OR('Consulta de contratos'!$K$5="",E824='Consulta de contratos'!$K$5)),1,0)</f>
        <v>0</v>
      </c>
      <c r="W824">
        <f>IF(V824=1,SUM($V$2:V824),0)</f>
        <v>0</v>
      </c>
    </row>
    <row r="825" spans="22:23" x14ac:dyDescent="0.35">
      <c r="V825">
        <f>IF(AND(SUM(IF('Consulta de contratos'!$K$1="",0,1),IF('Consulta de contratos'!$K$2="",0,1),IF('Consulta de contratos'!$K$3="",0,1),IF('Consulta de contratos'!$K$4="",0,1),IF('Consulta de contratos'!$K$5="",0,1))&gt;0,OR('Consulta de contratos'!$K$1="",A825='Consulta de contratos'!$K$1),OR('Consulta de contratos'!$K$2="",I825='Consulta de contratos'!$K$2,AND(LEFT('Consulta de contratos'!$K$2,7)="Grupo: ",ISNUMBER(SEARCH("|"&amp;MID('Consulta de contratos'!$K$2,8,120)&amp;"|",AF825)))),OR('Consulta de contratos'!$K$3="",C825='Consulta de contratos'!$K$3),OR('Consulta de contratos'!$K$4="",D825='Consulta de contratos'!$K$4),OR('Consulta de contratos'!$K$5="",E825='Consulta de contratos'!$K$5)),1,0)</f>
        <v>0</v>
      </c>
      <c r="W825">
        <f>IF(V825=1,SUM($V$2:V825),0)</f>
        <v>0</v>
      </c>
    </row>
    <row r="826" spans="22:23" x14ac:dyDescent="0.35">
      <c r="V826">
        <f>IF(AND(SUM(IF('Consulta de contratos'!$K$1="",0,1),IF('Consulta de contratos'!$K$2="",0,1),IF('Consulta de contratos'!$K$3="",0,1),IF('Consulta de contratos'!$K$4="",0,1),IF('Consulta de contratos'!$K$5="",0,1))&gt;0,OR('Consulta de contratos'!$K$1="",A826='Consulta de contratos'!$K$1),OR('Consulta de contratos'!$K$2="",I826='Consulta de contratos'!$K$2,AND(LEFT('Consulta de contratos'!$K$2,7)="Grupo: ",ISNUMBER(SEARCH("|"&amp;MID('Consulta de contratos'!$K$2,8,120)&amp;"|",AF826)))),OR('Consulta de contratos'!$K$3="",C826='Consulta de contratos'!$K$3),OR('Consulta de contratos'!$K$4="",D826='Consulta de contratos'!$K$4),OR('Consulta de contratos'!$K$5="",E826='Consulta de contratos'!$K$5)),1,0)</f>
        <v>0</v>
      </c>
      <c r="W826">
        <f>IF(V826=1,SUM($V$2:V826),0)</f>
        <v>0</v>
      </c>
    </row>
    <row r="827" spans="22:23" x14ac:dyDescent="0.35">
      <c r="V827">
        <f>IF(AND(SUM(IF('Consulta de contratos'!$K$1="",0,1),IF('Consulta de contratos'!$K$2="",0,1),IF('Consulta de contratos'!$K$3="",0,1),IF('Consulta de contratos'!$K$4="",0,1),IF('Consulta de contratos'!$K$5="",0,1))&gt;0,OR('Consulta de contratos'!$K$1="",A827='Consulta de contratos'!$K$1),OR('Consulta de contratos'!$K$2="",I827='Consulta de contratos'!$K$2,AND(LEFT('Consulta de contratos'!$K$2,7)="Grupo: ",ISNUMBER(SEARCH("|"&amp;MID('Consulta de contratos'!$K$2,8,120)&amp;"|",AF827)))),OR('Consulta de contratos'!$K$3="",C827='Consulta de contratos'!$K$3),OR('Consulta de contratos'!$K$4="",D827='Consulta de contratos'!$K$4),OR('Consulta de contratos'!$K$5="",E827='Consulta de contratos'!$K$5)),1,0)</f>
        <v>0</v>
      </c>
      <c r="W827">
        <f>IF(V827=1,SUM($V$2:V827),0)</f>
        <v>0</v>
      </c>
    </row>
    <row r="828" spans="22:23" x14ac:dyDescent="0.35">
      <c r="V828">
        <f>IF(AND(SUM(IF('Consulta de contratos'!$K$1="",0,1),IF('Consulta de contratos'!$K$2="",0,1),IF('Consulta de contratos'!$K$3="",0,1),IF('Consulta de contratos'!$K$4="",0,1),IF('Consulta de contratos'!$K$5="",0,1))&gt;0,OR('Consulta de contratos'!$K$1="",A828='Consulta de contratos'!$K$1),OR('Consulta de contratos'!$K$2="",I828='Consulta de contratos'!$K$2,AND(LEFT('Consulta de contratos'!$K$2,7)="Grupo: ",ISNUMBER(SEARCH("|"&amp;MID('Consulta de contratos'!$K$2,8,120)&amp;"|",AF828)))),OR('Consulta de contratos'!$K$3="",C828='Consulta de contratos'!$K$3),OR('Consulta de contratos'!$K$4="",D828='Consulta de contratos'!$K$4),OR('Consulta de contratos'!$K$5="",E828='Consulta de contratos'!$K$5)),1,0)</f>
        <v>0</v>
      </c>
      <c r="W828">
        <f>IF(V828=1,SUM($V$2:V828),0)</f>
        <v>0</v>
      </c>
    </row>
    <row r="829" spans="22:23" x14ac:dyDescent="0.35">
      <c r="V829">
        <f>IF(AND(SUM(IF('Consulta de contratos'!$K$1="",0,1),IF('Consulta de contratos'!$K$2="",0,1),IF('Consulta de contratos'!$K$3="",0,1),IF('Consulta de contratos'!$K$4="",0,1),IF('Consulta de contratos'!$K$5="",0,1))&gt;0,OR('Consulta de contratos'!$K$1="",A829='Consulta de contratos'!$K$1),OR('Consulta de contratos'!$K$2="",I829='Consulta de contratos'!$K$2,AND(LEFT('Consulta de contratos'!$K$2,7)="Grupo: ",ISNUMBER(SEARCH("|"&amp;MID('Consulta de contratos'!$K$2,8,120)&amp;"|",AF829)))),OR('Consulta de contratos'!$K$3="",C829='Consulta de contratos'!$K$3),OR('Consulta de contratos'!$K$4="",D829='Consulta de contratos'!$K$4),OR('Consulta de contratos'!$K$5="",E829='Consulta de contratos'!$K$5)),1,0)</f>
        <v>0</v>
      </c>
      <c r="W829">
        <f>IF(V829=1,SUM($V$2:V829),0)</f>
        <v>0</v>
      </c>
    </row>
    <row r="830" spans="22:23" x14ac:dyDescent="0.35">
      <c r="V830">
        <f>IF(AND(SUM(IF('Consulta de contratos'!$K$1="",0,1),IF('Consulta de contratos'!$K$2="",0,1),IF('Consulta de contratos'!$K$3="",0,1),IF('Consulta de contratos'!$K$4="",0,1),IF('Consulta de contratos'!$K$5="",0,1))&gt;0,OR('Consulta de contratos'!$K$1="",A830='Consulta de contratos'!$K$1),OR('Consulta de contratos'!$K$2="",I830='Consulta de contratos'!$K$2,AND(LEFT('Consulta de contratos'!$K$2,7)="Grupo: ",ISNUMBER(SEARCH("|"&amp;MID('Consulta de contratos'!$K$2,8,120)&amp;"|",AF830)))),OR('Consulta de contratos'!$K$3="",C830='Consulta de contratos'!$K$3),OR('Consulta de contratos'!$K$4="",D830='Consulta de contratos'!$K$4),OR('Consulta de contratos'!$K$5="",E830='Consulta de contratos'!$K$5)),1,0)</f>
        <v>0</v>
      </c>
      <c r="W830">
        <f>IF(V830=1,SUM($V$2:V830),0)</f>
        <v>0</v>
      </c>
    </row>
    <row r="831" spans="22:23" x14ac:dyDescent="0.35">
      <c r="V831">
        <f>IF(AND(SUM(IF('Consulta de contratos'!$K$1="",0,1),IF('Consulta de contratos'!$K$2="",0,1),IF('Consulta de contratos'!$K$3="",0,1),IF('Consulta de contratos'!$K$4="",0,1),IF('Consulta de contratos'!$K$5="",0,1))&gt;0,OR('Consulta de contratos'!$K$1="",A831='Consulta de contratos'!$K$1),OR('Consulta de contratos'!$K$2="",I831='Consulta de contratos'!$K$2,AND(LEFT('Consulta de contratos'!$K$2,7)="Grupo: ",ISNUMBER(SEARCH("|"&amp;MID('Consulta de contratos'!$K$2,8,120)&amp;"|",AF831)))),OR('Consulta de contratos'!$K$3="",C831='Consulta de contratos'!$K$3),OR('Consulta de contratos'!$K$4="",D831='Consulta de contratos'!$K$4),OR('Consulta de contratos'!$K$5="",E831='Consulta de contratos'!$K$5)),1,0)</f>
        <v>0</v>
      </c>
      <c r="W831">
        <f>IF(V831=1,SUM($V$2:V831),0)</f>
        <v>0</v>
      </c>
    </row>
    <row r="832" spans="22:23" x14ac:dyDescent="0.35">
      <c r="V832">
        <f>IF(AND(SUM(IF('Consulta de contratos'!$K$1="",0,1),IF('Consulta de contratos'!$K$2="",0,1),IF('Consulta de contratos'!$K$3="",0,1),IF('Consulta de contratos'!$K$4="",0,1),IF('Consulta de contratos'!$K$5="",0,1))&gt;0,OR('Consulta de contratos'!$K$1="",A832='Consulta de contratos'!$K$1),OR('Consulta de contratos'!$K$2="",I832='Consulta de contratos'!$K$2,AND(LEFT('Consulta de contratos'!$K$2,7)="Grupo: ",ISNUMBER(SEARCH("|"&amp;MID('Consulta de contratos'!$K$2,8,120)&amp;"|",AF832)))),OR('Consulta de contratos'!$K$3="",C832='Consulta de contratos'!$K$3),OR('Consulta de contratos'!$K$4="",D832='Consulta de contratos'!$K$4),OR('Consulta de contratos'!$K$5="",E832='Consulta de contratos'!$K$5)),1,0)</f>
        <v>0</v>
      </c>
      <c r="W832">
        <f>IF(V832=1,SUM($V$2:V832),0)</f>
        <v>0</v>
      </c>
    </row>
    <row r="833" spans="22:23" x14ac:dyDescent="0.35">
      <c r="V833">
        <f>IF(AND(SUM(IF('Consulta de contratos'!$K$1="",0,1),IF('Consulta de contratos'!$K$2="",0,1),IF('Consulta de contratos'!$K$3="",0,1),IF('Consulta de contratos'!$K$4="",0,1),IF('Consulta de contratos'!$K$5="",0,1))&gt;0,OR('Consulta de contratos'!$K$1="",A833='Consulta de contratos'!$K$1),OR('Consulta de contratos'!$K$2="",I833='Consulta de contratos'!$K$2,AND(LEFT('Consulta de contratos'!$K$2,7)="Grupo: ",ISNUMBER(SEARCH("|"&amp;MID('Consulta de contratos'!$K$2,8,120)&amp;"|",AF833)))),OR('Consulta de contratos'!$K$3="",C833='Consulta de contratos'!$K$3),OR('Consulta de contratos'!$K$4="",D833='Consulta de contratos'!$K$4),OR('Consulta de contratos'!$K$5="",E833='Consulta de contratos'!$K$5)),1,0)</f>
        <v>0</v>
      </c>
      <c r="W833">
        <f>IF(V833=1,SUM($V$2:V833),0)</f>
        <v>0</v>
      </c>
    </row>
    <row r="834" spans="22:23" x14ac:dyDescent="0.35">
      <c r="V834">
        <f>IF(AND(SUM(IF('Consulta de contratos'!$K$1="",0,1),IF('Consulta de contratos'!$K$2="",0,1),IF('Consulta de contratos'!$K$3="",0,1),IF('Consulta de contratos'!$K$4="",0,1),IF('Consulta de contratos'!$K$5="",0,1))&gt;0,OR('Consulta de contratos'!$K$1="",A834='Consulta de contratos'!$K$1),OR('Consulta de contratos'!$K$2="",I834='Consulta de contratos'!$K$2,AND(LEFT('Consulta de contratos'!$K$2,7)="Grupo: ",ISNUMBER(SEARCH("|"&amp;MID('Consulta de contratos'!$K$2,8,120)&amp;"|",AF834)))),OR('Consulta de contratos'!$K$3="",C834='Consulta de contratos'!$K$3),OR('Consulta de contratos'!$K$4="",D834='Consulta de contratos'!$K$4),OR('Consulta de contratos'!$K$5="",E834='Consulta de contratos'!$K$5)),1,0)</f>
        <v>0</v>
      </c>
      <c r="W834">
        <f>IF(V834=1,SUM($V$2:V834),0)</f>
        <v>0</v>
      </c>
    </row>
    <row r="835" spans="22:23" x14ac:dyDescent="0.35">
      <c r="V835">
        <f>IF(AND(SUM(IF('Consulta de contratos'!$K$1="",0,1),IF('Consulta de contratos'!$K$2="",0,1),IF('Consulta de contratos'!$K$3="",0,1),IF('Consulta de contratos'!$K$4="",0,1),IF('Consulta de contratos'!$K$5="",0,1))&gt;0,OR('Consulta de contratos'!$K$1="",A835='Consulta de contratos'!$K$1),OR('Consulta de contratos'!$K$2="",I835='Consulta de contratos'!$K$2,AND(LEFT('Consulta de contratos'!$K$2,7)="Grupo: ",ISNUMBER(SEARCH("|"&amp;MID('Consulta de contratos'!$K$2,8,120)&amp;"|",AF835)))),OR('Consulta de contratos'!$K$3="",C835='Consulta de contratos'!$K$3),OR('Consulta de contratos'!$K$4="",D835='Consulta de contratos'!$K$4),OR('Consulta de contratos'!$K$5="",E835='Consulta de contratos'!$K$5)),1,0)</f>
        <v>0</v>
      </c>
      <c r="W835">
        <f>IF(V835=1,SUM($V$2:V835),0)</f>
        <v>0</v>
      </c>
    </row>
    <row r="836" spans="22:23" x14ac:dyDescent="0.35">
      <c r="V836">
        <f>IF(AND(SUM(IF('Consulta de contratos'!$K$1="",0,1),IF('Consulta de contratos'!$K$2="",0,1),IF('Consulta de contratos'!$K$3="",0,1),IF('Consulta de contratos'!$K$4="",0,1),IF('Consulta de contratos'!$K$5="",0,1))&gt;0,OR('Consulta de contratos'!$K$1="",A836='Consulta de contratos'!$K$1),OR('Consulta de contratos'!$K$2="",I836='Consulta de contratos'!$K$2,AND(LEFT('Consulta de contratos'!$K$2,7)="Grupo: ",ISNUMBER(SEARCH("|"&amp;MID('Consulta de contratos'!$K$2,8,120)&amp;"|",AF836)))),OR('Consulta de contratos'!$K$3="",C836='Consulta de contratos'!$K$3),OR('Consulta de contratos'!$K$4="",D836='Consulta de contratos'!$K$4),OR('Consulta de contratos'!$K$5="",E836='Consulta de contratos'!$K$5)),1,0)</f>
        <v>0</v>
      </c>
      <c r="W836">
        <f>IF(V836=1,SUM($V$2:V836),0)</f>
        <v>0</v>
      </c>
    </row>
    <row r="837" spans="22:23" x14ac:dyDescent="0.35">
      <c r="V837">
        <f>IF(AND(SUM(IF('Consulta de contratos'!$K$1="",0,1),IF('Consulta de contratos'!$K$2="",0,1),IF('Consulta de contratos'!$K$3="",0,1),IF('Consulta de contratos'!$K$4="",0,1),IF('Consulta de contratos'!$K$5="",0,1))&gt;0,OR('Consulta de contratos'!$K$1="",A837='Consulta de contratos'!$K$1),OR('Consulta de contratos'!$K$2="",I837='Consulta de contratos'!$K$2,AND(LEFT('Consulta de contratos'!$K$2,7)="Grupo: ",ISNUMBER(SEARCH("|"&amp;MID('Consulta de contratos'!$K$2,8,120)&amp;"|",AF837)))),OR('Consulta de contratos'!$K$3="",C837='Consulta de contratos'!$K$3),OR('Consulta de contratos'!$K$4="",D837='Consulta de contratos'!$K$4),OR('Consulta de contratos'!$K$5="",E837='Consulta de contratos'!$K$5)),1,0)</f>
        <v>0</v>
      </c>
      <c r="W837">
        <f>IF(V837=1,SUM($V$2:V837),0)</f>
        <v>0</v>
      </c>
    </row>
    <row r="838" spans="22:23" x14ac:dyDescent="0.35">
      <c r="V838">
        <f>IF(AND(SUM(IF('Consulta de contratos'!$K$1="",0,1),IF('Consulta de contratos'!$K$2="",0,1),IF('Consulta de contratos'!$K$3="",0,1),IF('Consulta de contratos'!$K$4="",0,1),IF('Consulta de contratos'!$K$5="",0,1))&gt;0,OR('Consulta de contratos'!$K$1="",A838='Consulta de contratos'!$K$1),OR('Consulta de contratos'!$K$2="",I838='Consulta de contratos'!$K$2,AND(LEFT('Consulta de contratos'!$K$2,7)="Grupo: ",ISNUMBER(SEARCH("|"&amp;MID('Consulta de contratos'!$K$2,8,120)&amp;"|",AF838)))),OR('Consulta de contratos'!$K$3="",C838='Consulta de contratos'!$K$3),OR('Consulta de contratos'!$K$4="",D838='Consulta de contratos'!$K$4),OR('Consulta de contratos'!$K$5="",E838='Consulta de contratos'!$K$5)),1,0)</f>
        <v>0</v>
      </c>
      <c r="W838">
        <f>IF(V838=1,SUM($V$2:V838),0)</f>
        <v>0</v>
      </c>
    </row>
    <row r="839" spans="22:23" x14ac:dyDescent="0.35">
      <c r="V839">
        <f>IF(AND(SUM(IF('Consulta de contratos'!$K$1="",0,1),IF('Consulta de contratos'!$K$2="",0,1),IF('Consulta de contratos'!$K$3="",0,1),IF('Consulta de contratos'!$K$4="",0,1),IF('Consulta de contratos'!$K$5="",0,1))&gt;0,OR('Consulta de contratos'!$K$1="",A839='Consulta de contratos'!$K$1),OR('Consulta de contratos'!$K$2="",I839='Consulta de contratos'!$K$2,AND(LEFT('Consulta de contratos'!$K$2,7)="Grupo: ",ISNUMBER(SEARCH("|"&amp;MID('Consulta de contratos'!$K$2,8,120)&amp;"|",AF839)))),OR('Consulta de contratos'!$K$3="",C839='Consulta de contratos'!$K$3),OR('Consulta de contratos'!$K$4="",D839='Consulta de contratos'!$K$4),OR('Consulta de contratos'!$K$5="",E839='Consulta de contratos'!$K$5)),1,0)</f>
        <v>0</v>
      </c>
      <c r="W839">
        <f>IF(V839=1,SUM($V$2:V839),0)</f>
        <v>0</v>
      </c>
    </row>
    <row r="840" spans="22:23" x14ac:dyDescent="0.35">
      <c r="V840">
        <f>IF(AND(SUM(IF('Consulta de contratos'!$K$1="",0,1),IF('Consulta de contratos'!$K$2="",0,1),IF('Consulta de contratos'!$K$3="",0,1),IF('Consulta de contratos'!$K$4="",0,1),IF('Consulta de contratos'!$K$5="",0,1))&gt;0,OR('Consulta de contratos'!$K$1="",A840='Consulta de contratos'!$K$1),OR('Consulta de contratos'!$K$2="",I840='Consulta de contratos'!$K$2,AND(LEFT('Consulta de contratos'!$K$2,7)="Grupo: ",ISNUMBER(SEARCH("|"&amp;MID('Consulta de contratos'!$K$2,8,120)&amp;"|",AF840)))),OR('Consulta de contratos'!$K$3="",C840='Consulta de contratos'!$K$3),OR('Consulta de contratos'!$K$4="",D840='Consulta de contratos'!$K$4),OR('Consulta de contratos'!$K$5="",E840='Consulta de contratos'!$K$5)),1,0)</f>
        <v>0</v>
      </c>
      <c r="W840">
        <f>IF(V840=1,SUM($V$2:V840),0)</f>
        <v>0</v>
      </c>
    </row>
    <row r="841" spans="22:23" x14ac:dyDescent="0.35">
      <c r="V841">
        <f>IF(AND(SUM(IF('Consulta de contratos'!$K$1="",0,1),IF('Consulta de contratos'!$K$2="",0,1),IF('Consulta de contratos'!$K$3="",0,1),IF('Consulta de contratos'!$K$4="",0,1),IF('Consulta de contratos'!$K$5="",0,1))&gt;0,OR('Consulta de contratos'!$K$1="",A841='Consulta de contratos'!$K$1),OR('Consulta de contratos'!$K$2="",I841='Consulta de contratos'!$K$2,AND(LEFT('Consulta de contratos'!$K$2,7)="Grupo: ",ISNUMBER(SEARCH("|"&amp;MID('Consulta de contratos'!$K$2,8,120)&amp;"|",AF841)))),OR('Consulta de contratos'!$K$3="",C841='Consulta de contratos'!$K$3),OR('Consulta de contratos'!$K$4="",D841='Consulta de contratos'!$K$4),OR('Consulta de contratos'!$K$5="",E841='Consulta de contratos'!$K$5)),1,0)</f>
        <v>0</v>
      </c>
      <c r="W841">
        <f>IF(V841=1,SUM($V$2:V841),0)</f>
        <v>0</v>
      </c>
    </row>
    <row r="842" spans="22:23" x14ac:dyDescent="0.35">
      <c r="V842">
        <f>IF(AND(SUM(IF('Consulta de contratos'!$K$1="",0,1),IF('Consulta de contratos'!$K$2="",0,1),IF('Consulta de contratos'!$K$3="",0,1),IF('Consulta de contratos'!$K$4="",0,1),IF('Consulta de contratos'!$K$5="",0,1))&gt;0,OR('Consulta de contratos'!$K$1="",A842='Consulta de contratos'!$K$1),OR('Consulta de contratos'!$K$2="",I842='Consulta de contratos'!$K$2,AND(LEFT('Consulta de contratos'!$K$2,7)="Grupo: ",ISNUMBER(SEARCH("|"&amp;MID('Consulta de contratos'!$K$2,8,120)&amp;"|",AF842)))),OR('Consulta de contratos'!$K$3="",C842='Consulta de contratos'!$K$3),OR('Consulta de contratos'!$K$4="",D842='Consulta de contratos'!$K$4),OR('Consulta de contratos'!$K$5="",E842='Consulta de contratos'!$K$5)),1,0)</f>
        <v>0</v>
      </c>
      <c r="W842">
        <f>IF(V842=1,SUM($V$2:V842),0)</f>
        <v>0</v>
      </c>
    </row>
    <row r="843" spans="22:23" x14ac:dyDescent="0.35">
      <c r="V843">
        <f>IF(AND(SUM(IF('Consulta de contratos'!$K$1="",0,1),IF('Consulta de contratos'!$K$2="",0,1),IF('Consulta de contratos'!$K$3="",0,1),IF('Consulta de contratos'!$K$4="",0,1),IF('Consulta de contratos'!$K$5="",0,1))&gt;0,OR('Consulta de contratos'!$K$1="",A843='Consulta de contratos'!$K$1),OR('Consulta de contratos'!$K$2="",I843='Consulta de contratos'!$K$2,AND(LEFT('Consulta de contratos'!$K$2,7)="Grupo: ",ISNUMBER(SEARCH("|"&amp;MID('Consulta de contratos'!$K$2,8,120)&amp;"|",AF843)))),OR('Consulta de contratos'!$K$3="",C843='Consulta de contratos'!$K$3),OR('Consulta de contratos'!$K$4="",D843='Consulta de contratos'!$K$4),OR('Consulta de contratos'!$K$5="",E843='Consulta de contratos'!$K$5)),1,0)</f>
        <v>0</v>
      </c>
      <c r="W843">
        <f>IF(V843=1,SUM($V$2:V843),0)</f>
        <v>0</v>
      </c>
    </row>
    <row r="844" spans="22:23" x14ac:dyDescent="0.35">
      <c r="V844">
        <f>IF(AND(SUM(IF('Consulta de contratos'!$K$1="",0,1),IF('Consulta de contratos'!$K$2="",0,1),IF('Consulta de contratos'!$K$3="",0,1),IF('Consulta de contratos'!$K$4="",0,1),IF('Consulta de contratos'!$K$5="",0,1))&gt;0,OR('Consulta de contratos'!$K$1="",A844='Consulta de contratos'!$K$1),OR('Consulta de contratos'!$K$2="",I844='Consulta de contratos'!$K$2,AND(LEFT('Consulta de contratos'!$K$2,7)="Grupo: ",ISNUMBER(SEARCH("|"&amp;MID('Consulta de contratos'!$K$2,8,120)&amp;"|",AF844)))),OR('Consulta de contratos'!$K$3="",C844='Consulta de contratos'!$K$3),OR('Consulta de contratos'!$K$4="",D844='Consulta de contratos'!$K$4),OR('Consulta de contratos'!$K$5="",E844='Consulta de contratos'!$K$5)),1,0)</f>
        <v>0</v>
      </c>
      <c r="W844">
        <f>IF(V844=1,SUM($V$2:V844),0)</f>
        <v>0</v>
      </c>
    </row>
    <row r="845" spans="22:23" x14ac:dyDescent="0.35">
      <c r="V845">
        <f>IF(AND(SUM(IF('Consulta de contratos'!$K$1="",0,1),IF('Consulta de contratos'!$K$2="",0,1),IF('Consulta de contratos'!$K$3="",0,1),IF('Consulta de contratos'!$K$4="",0,1),IF('Consulta de contratos'!$K$5="",0,1))&gt;0,OR('Consulta de contratos'!$K$1="",A845='Consulta de contratos'!$K$1),OR('Consulta de contratos'!$K$2="",I845='Consulta de contratos'!$K$2,AND(LEFT('Consulta de contratos'!$K$2,7)="Grupo: ",ISNUMBER(SEARCH("|"&amp;MID('Consulta de contratos'!$K$2,8,120)&amp;"|",AF845)))),OR('Consulta de contratos'!$K$3="",C845='Consulta de contratos'!$K$3),OR('Consulta de contratos'!$K$4="",D845='Consulta de contratos'!$K$4),OR('Consulta de contratos'!$K$5="",E845='Consulta de contratos'!$K$5)),1,0)</f>
        <v>0</v>
      </c>
      <c r="W845">
        <f>IF(V845=1,SUM($V$2:V845),0)</f>
        <v>0</v>
      </c>
    </row>
    <row r="846" spans="22:23" x14ac:dyDescent="0.35">
      <c r="V846">
        <f>IF(AND(SUM(IF('Consulta de contratos'!$K$1="",0,1),IF('Consulta de contratos'!$K$2="",0,1),IF('Consulta de contratos'!$K$3="",0,1),IF('Consulta de contratos'!$K$4="",0,1),IF('Consulta de contratos'!$K$5="",0,1))&gt;0,OR('Consulta de contratos'!$K$1="",A846='Consulta de contratos'!$K$1),OR('Consulta de contratos'!$K$2="",I846='Consulta de contratos'!$K$2,AND(LEFT('Consulta de contratos'!$K$2,7)="Grupo: ",ISNUMBER(SEARCH("|"&amp;MID('Consulta de contratos'!$K$2,8,120)&amp;"|",AF846)))),OR('Consulta de contratos'!$K$3="",C846='Consulta de contratos'!$K$3),OR('Consulta de contratos'!$K$4="",D846='Consulta de contratos'!$K$4),OR('Consulta de contratos'!$K$5="",E846='Consulta de contratos'!$K$5)),1,0)</f>
        <v>0</v>
      </c>
      <c r="W846">
        <f>IF(V846=1,SUM($V$2:V846),0)</f>
        <v>0</v>
      </c>
    </row>
    <row r="847" spans="22:23" x14ac:dyDescent="0.35">
      <c r="V847">
        <f>IF(AND(SUM(IF('Consulta de contratos'!$K$1="",0,1),IF('Consulta de contratos'!$K$2="",0,1),IF('Consulta de contratos'!$K$3="",0,1),IF('Consulta de contratos'!$K$4="",0,1),IF('Consulta de contratos'!$K$5="",0,1))&gt;0,OR('Consulta de contratos'!$K$1="",A847='Consulta de contratos'!$K$1),OR('Consulta de contratos'!$K$2="",I847='Consulta de contratos'!$K$2,AND(LEFT('Consulta de contratos'!$K$2,7)="Grupo: ",ISNUMBER(SEARCH("|"&amp;MID('Consulta de contratos'!$K$2,8,120)&amp;"|",AF847)))),OR('Consulta de contratos'!$K$3="",C847='Consulta de contratos'!$K$3),OR('Consulta de contratos'!$K$4="",D847='Consulta de contratos'!$K$4),OR('Consulta de contratos'!$K$5="",E847='Consulta de contratos'!$K$5)),1,0)</f>
        <v>0</v>
      </c>
      <c r="W847">
        <f>IF(V847=1,SUM($V$2:V847),0)</f>
        <v>0</v>
      </c>
    </row>
    <row r="848" spans="22:23" x14ac:dyDescent="0.35">
      <c r="V848">
        <f>IF(AND(SUM(IF('Consulta de contratos'!$K$1="",0,1),IF('Consulta de contratos'!$K$2="",0,1),IF('Consulta de contratos'!$K$3="",0,1),IF('Consulta de contratos'!$K$4="",0,1),IF('Consulta de contratos'!$K$5="",0,1))&gt;0,OR('Consulta de contratos'!$K$1="",A848='Consulta de contratos'!$K$1),OR('Consulta de contratos'!$K$2="",I848='Consulta de contratos'!$K$2,AND(LEFT('Consulta de contratos'!$K$2,7)="Grupo: ",ISNUMBER(SEARCH("|"&amp;MID('Consulta de contratos'!$K$2,8,120)&amp;"|",AF848)))),OR('Consulta de contratos'!$K$3="",C848='Consulta de contratos'!$K$3),OR('Consulta de contratos'!$K$4="",D848='Consulta de contratos'!$K$4),OR('Consulta de contratos'!$K$5="",E848='Consulta de contratos'!$K$5)),1,0)</f>
        <v>0</v>
      </c>
      <c r="W848">
        <f>IF(V848=1,SUM($V$2:V848),0)</f>
        <v>0</v>
      </c>
    </row>
    <row r="849" spans="22:23" x14ac:dyDescent="0.35">
      <c r="V849">
        <f>IF(AND(SUM(IF('Consulta de contratos'!$K$1="",0,1),IF('Consulta de contratos'!$K$2="",0,1),IF('Consulta de contratos'!$K$3="",0,1),IF('Consulta de contratos'!$K$4="",0,1),IF('Consulta de contratos'!$K$5="",0,1))&gt;0,OR('Consulta de contratos'!$K$1="",A849='Consulta de contratos'!$K$1),OR('Consulta de contratos'!$K$2="",I849='Consulta de contratos'!$K$2,AND(LEFT('Consulta de contratos'!$K$2,7)="Grupo: ",ISNUMBER(SEARCH("|"&amp;MID('Consulta de contratos'!$K$2,8,120)&amp;"|",AF849)))),OR('Consulta de contratos'!$K$3="",C849='Consulta de contratos'!$K$3),OR('Consulta de contratos'!$K$4="",D849='Consulta de contratos'!$K$4),OR('Consulta de contratos'!$K$5="",E849='Consulta de contratos'!$K$5)),1,0)</f>
        <v>0</v>
      </c>
      <c r="W849">
        <f>IF(V849=1,SUM($V$2:V849),0)</f>
        <v>0</v>
      </c>
    </row>
    <row r="850" spans="22:23" x14ac:dyDescent="0.35">
      <c r="V850">
        <f>IF(AND(SUM(IF('Consulta de contratos'!$K$1="",0,1),IF('Consulta de contratos'!$K$2="",0,1),IF('Consulta de contratos'!$K$3="",0,1),IF('Consulta de contratos'!$K$4="",0,1),IF('Consulta de contratos'!$K$5="",0,1))&gt;0,OR('Consulta de contratos'!$K$1="",A850='Consulta de contratos'!$K$1),OR('Consulta de contratos'!$K$2="",I850='Consulta de contratos'!$K$2,AND(LEFT('Consulta de contratos'!$K$2,7)="Grupo: ",ISNUMBER(SEARCH("|"&amp;MID('Consulta de contratos'!$K$2,8,120)&amp;"|",AF850)))),OR('Consulta de contratos'!$K$3="",C850='Consulta de contratos'!$K$3),OR('Consulta de contratos'!$K$4="",D850='Consulta de contratos'!$K$4),OR('Consulta de contratos'!$K$5="",E850='Consulta de contratos'!$K$5)),1,0)</f>
        <v>0</v>
      </c>
      <c r="W850">
        <f>IF(V850=1,SUM($V$2:V850),0)</f>
        <v>0</v>
      </c>
    </row>
    <row r="851" spans="22:23" x14ac:dyDescent="0.35">
      <c r="V851">
        <f>IF(AND(SUM(IF('Consulta de contratos'!$K$1="",0,1),IF('Consulta de contratos'!$K$2="",0,1),IF('Consulta de contratos'!$K$3="",0,1),IF('Consulta de contratos'!$K$4="",0,1),IF('Consulta de contratos'!$K$5="",0,1))&gt;0,OR('Consulta de contratos'!$K$1="",A851='Consulta de contratos'!$K$1),OR('Consulta de contratos'!$K$2="",I851='Consulta de contratos'!$K$2,AND(LEFT('Consulta de contratos'!$K$2,7)="Grupo: ",ISNUMBER(SEARCH("|"&amp;MID('Consulta de contratos'!$K$2,8,120)&amp;"|",AF851)))),OR('Consulta de contratos'!$K$3="",C851='Consulta de contratos'!$K$3),OR('Consulta de contratos'!$K$4="",D851='Consulta de contratos'!$K$4),OR('Consulta de contratos'!$K$5="",E851='Consulta de contratos'!$K$5)),1,0)</f>
        <v>0</v>
      </c>
      <c r="W851">
        <f>IF(V851=1,SUM($V$2:V851),0)</f>
        <v>0</v>
      </c>
    </row>
    <row r="852" spans="22:23" x14ac:dyDescent="0.35">
      <c r="V852">
        <f>IF(AND(SUM(IF('Consulta de contratos'!$K$1="",0,1),IF('Consulta de contratos'!$K$2="",0,1),IF('Consulta de contratos'!$K$3="",0,1),IF('Consulta de contratos'!$K$4="",0,1),IF('Consulta de contratos'!$K$5="",0,1))&gt;0,OR('Consulta de contratos'!$K$1="",A852='Consulta de contratos'!$K$1),OR('Consulta de contratos'!$K$2="",I852='Consulta de contratos'!$K$2,AND(LEFT('Consulta de contratos'!$K$2,7)="Grupo: ",ISNUMBER(SEARCH("|"&amp;MID('Consulta de contratos'!$K$2,8,120)&amp;"|",AF852)))),OR('Consulta de contratos'!$K$3="",C852='Consulta de contratos'!$K$3),OR('Consulta de contratos'!$K$4="",D852='Consulta de contratos'!$K$4),OR('Consulta de contratos'!$K$5="",E852='Consulta de contratos'!$K$5)),1,0)</f>
        <v>0</v>
      </c>
      <c r="W852">
        <f>IF(V852=1,SUM($V$2:V852),0)</f>
        <v>0</v>
      </c>
    </row>
    <row r="853" spans="22:23" x14ac:dyDescent="0.35">
      <c r="V853">
        <f>IF(AND(SUM(IF('Consulta de contratos'!$K$1="",0,1),IF('Consulta de contratos'!$K$2="",0,1),IF('Consulta de contratos'!$K$3="",0,1),IF('Consulta de contratos'!$K$4="",0,1),IF('Consulta de contratos'!$K$5="",0,1))&gt;0,OR('Consulta de contratos'!$K$1="",A853='Consulta de contratos'!$K$1),OR('Consulta de contratos'!$K$2="",I853='Consulta de contratos'!$K$2,AND(LEFT('Consulta de contratos'!$K$2,7)="Grupo: ",ISNUMBER(SEARCH("|"&amp;MID('Consulta de contratos'!$K$2,8,120)&amp;"|",AF853)))),OR('Consulta de contratos'!$K$3="",C853='Consulta de contratos'!$K$3),OR('Consulta de contratos'!$K$4="",D853='Consulta de contratos'!$K$4),OR('Consulta de contratos'!$K$5="",E853='Consulta de contratos'!$K$5)),1,0)</f>
        <v>0</v>
      </c>
      <c r="W853">
        <f>IF(V853=1,SUM($V$2:V853),0)</f>
        <v>0</v>
      </c>
    </row>
    <row r="854" spans="22:23" x14ac:dyDescent="0.35">
      <c r="V854">
        <f>IF(AND(SUM(IF('Consulta de contratos'!$K$1="",0,1),IF('Consulta de contratos'!$K$2="",0,1),IF('Consulta de contratos'!$K$3="",0,1),IF('Consulta de contratos'!$K$4="",0,1),IF('Consulta de contratos'!$K$5="",0,1))&gt;0,OR('Consulta de contratos'!$K$1="",A854='Consulta de contratos'!$K$1),OR('Consulta de contratos'!$K$2="",I854='Consulta de contratos'!$K$2,AND(LEFT('Consulta de contratos'!$K$2,7)="Grupo: ",ISNUMBER(SEARCH("|"&amp;MID('Consulta de contratos'!$K$2,8,120)&amp;"|",AF854)))),OR('Consulta de contratos'!$K$3="",C854='Consulta de contratos'!$K$3),OR('Consulta de contratos'!$K$4="",D854='Consulta de contratos'!$K$4),OR('Consulta de contratos'!$K$5="",E854='Consulta de contratos'!$K$5)),1,0)</f>
        <v>0</v>
      </c>
      <c r="W854">
        <f>IF(V854=1,SUM($V$2:V854),0)</f>
        <v>0</v>
      </c>
    </row>
    <row r="855" spans="22:23" x14ac:dyDescent="0.35">
      <c r="V855">
        <f>IF(AND(SUM(IF('Consulta de contratos'!$K$1="",0,1),IF('Consulta de contratos'!$K$2="",0,1),IF('Consulta de contratos'!$K$3="",0,1),IF('Consulta de contratos'!$K$4="",0,1),IF('Consulta de contratos'!$K$5="",0,1))&gt;0,OR('Consulta de contratos'!$K$1="",A855='Consulta de contratos'!$K$1),OR('Consulta de contratos'!$K$2="",I855='Consulta de contratos'!$K$2,AND(LEFT('Consulta de contratos'!$K$2,7)="Grupo: ",ISNUMBER(SEARCH("|"&amp;MID('Consulta de contratos'!$K$2,8,120)&amp;"|",AF855)))),OR('Consulta de contratos'!$K$3="",C855='Consulta de contratos'!$K$3),OR('Consulta de contratos'!$K$4="",D855='Consulta de contratos'!$K$4),OR('Consulta de contratos'!$K$5="",E855='Consulta de contratos'!$K$5)),1,0)</f>
        <v>0</v>
      </c>
      <c r="W855">
        <f>IF(V855=1,SUM($V$2:V855),0)</f>
        <v>0</v>
      </c>
    </row>
    <row r="856" spans="22:23" x14ac:dyDescent="0.35">
      <c r="V856">
        <f>IF(AND(SUM(IF('Consulta de contratos'!$K$1="",0,1),IF('Consulta de contratos'!$K$2="",0,1),IF('Consulta de contratos'!$K$3="",0,1),IF('Consulta de contratos'!$K$4="",0,1),IF('Consulta de contratos'!$K$5="",0,1))&gt;0,OR('Consulta de contratos'!$K$1="",A856='Consulta de contratos'!$K$1),OR('Consulta de contratos'!$K$2="",I856='Consulta de contratos'!$K$2,AND(LEFT('Consulta de contratos'!$K$2,7)="Grupo: ",ISNUMBER(SEARCH("|"&amp;MID('Consulta de contratos'!$K$2,8,120)&amp;"|",AF856)))),OR('Consulta de contratos'!$K$3="",C856='Consulta de contratos'!$K$3),OR('Consulta de contratos'!$K$4="",D856='Consulta de contratos'!$K$4),OR('Consulta de contratos'!$K$5="",E856='Consulta de contratos'!$K$5)),1,0)</f>
        <v>0</v>
      </c>
      <c r="W856">
        <f>IF(V856=1,SUM($V$2:V856),0)</f>
        <v>0</v>
      </c>
    </row>
    <row r="857" spans="22:23" x14ac:dyDescent="0.35">
      <c r="V857">
        <f>IF(AND(SUM(IF('Consulta de contratos'!$K$1="",0,1),IF('Consulta de contratos'!$K$2="",0,1),IF('Consulta de contratos'!$K$3="",0,1),IF('Consulta de contratos'!$K$4="",0,1),IF('Consulta de contratos'!$K$5="",0,1))&gt;0,OR('Consulta de contratos'!$K$1="",A857='Consulta de contratos'!$K$1),OR('Consulta de contratos'!$K$2="",I857='Consulta de contratos'!$K$2,AND(LEFT('Consulta de contratos'!$K$2,7)="Grupo: ",ISNUMBER(SEARCH("|"&amp;MID('Consulta de contratos'!$K$2,8,120)&amp;"|",AF857)))),OR('Consulta de contratos'!$K$3="",C857='Consulta de contratos'!$K$3),OR('Consulta de contratos'!$K$4="",D857='Consulta de contratos'!$K$4),OR('Consulta de contratos'!$K$5="",E857='Consulta de contratos'!$K$5)),1,0)</f>
        <v>0</v>
      </c>
      <c r="W857">
        <f>IF(V857=1,SUM($V$2:V857),0)</f>
        <v>0</v>
      </c>
    </row>
    <row r="858" spans="22:23" x14ac:dyDescent="0.35">
      <c r="V858">
        <f>IF(AND(SUM(IF('Consulta de contratos'!$K$1="",0,1),IF('Consulta de contratos'!$K$2="",0,1),IF('Consulta de contratos'!$K$3="",0,1),IF('Consulta de contratos'!$K$4="",0,1),IF('Consulta de contratos'!$K$5="",0,1))&gt;0,OR('Consulta de contratos'!$K$1="",A858='Consulta de contratos'!$K$1),OR('Consulta de contratos'!$K$2="",I858='Consulta de contratos'!$K$2,AND(LEFT('Consulta de contratos'!$K$2,7)="Grupo: ",ISNUMBER(SEARCH("|"&amp;MID('Consulta de contratos'!$K$2,8,120)&amp;"|",AF858)))),OR('Consulta de contratos'!$K$3="",C858='Consulta de contratos'!$K$3),OR('Consulta de contratos'!$K$4="",D858='Consulta de contratos'!$K$4),OR('Consulta de contratos'!$K$5="",E858='Consulta de contratos'!$K$5)),1,0)</f>
        <v>0</v>
      </c>
      <c r="W858">
        <f>IF(V858=1,SUM($V$2:V858),0)</f>
        <v>0</v>
      </c>
    </row>
    <row r="859" spans="22:23" x14ac:dyDescent="0.35">
      <c r="V859">
        <f>IF(AND(SUM(IF('Consulta de contratos'!$K$1="",0,1),IF('Consulta de contratos'!$K$2="",0,1),IF('Consulta de contratos'!$K$3="",0,1),IF('Consulta de contratos'!$K$4="",0,1),IF('Consulta de contratos'!$K$5="",0,1))&gt;0,OR('Consulta de contratos'!$K$1="",A859='Consulta de contratos'!$K$1),OR('Consulta de contratos'!$K$2="",I859='Consulta de contratos'!$K$2,AND(LEFT('Consulta de contratos'!$K$2,7)="Grupo: ",ISNUMBER(SEARCH("|"&amp;MID('Consulta de contratos'!$K$2,8,120)&amp;"|",AF859)))),OR('Consulta de contratos'!$K$3="",C859='Consulta de contratos'!$K$3),OR('Consulta de contratos'!$K$4="",D859='Consulta de contratos'!$K$4),OR('Consulta de contratos'!$K$5="",E859='Consulta de contratos'!$K$5)),1,0)</f>
        <v>0</v>
      </c>
      <c r="W859">
        <f>IF(V859=1,SUM($V$2:V859),0)</f>
        <v>0</v>
      </c>
    </row>
    <row r="860" spans="22:23" x14ac:dyDescent="0.35">
      <c r="V860">
        <f>IF(AND(SUM(IF('Consulta de contratos'!$K$1="",0,1),IF('Consulta de contratos'!$K$2="",0,1),IF('Consulta de contratos'!$K$3="",0,1),IF('Consulta de contratos'!$K$4="",0,1),IF('Consulta de contratos'!$K$5="",0,1))&gt;0,OR('Consulta de contratos'!$K$1="",A860='Consulta de contratos'!$K$1),OR('Consulta de contratos'!$K$2="",I860='Consulta de contratos'!$K$2,AND(LEFT('Consulta de contratos'!$K$2,7)="Grupo: ",ISNUMBER(SEARCH("|"&amp;MID('Consulta de contratos'!$K$2,8,120)&amp;"|",AF860)))),OR('Consulta de contratos'!$K$3="",C860='Consulta de contratos'!$K$3),OR('Consulta de contratos'!$K$4="",D860='Consulta de contratos'!$K$4),OR('Consulta de contratos'!$K$5="",E860='Consulta de contratos'!$K$5)),1,0)</f>
        <v>0</v>
      </c>
      <c r="W860">
        <f>IF(V860=1,SUM($V$2:V860),0)</f>
        <v>0</v>
      </c>
    </row>
    <row r="861" spans="22:23" x14ac:dyDescent="0.35">
      <c r="V861">
        <f>IF(AND(SUM(IF('Consulta de contratos'!$K$1="",0,1),IF('Consulta de contratos'!$K$2="",0,1),IF('Consulta de contratos'!$K$3="",0,1),IF('Consulta de contratos'!$K$4="",0,1),IF('Consulta de contratos'!$K$5="",0,1))&gt;0,OR('Consulta de contratos'!$K$1="",A861='Consulta de contratos'!$K$1),OR('Consulta de contratos'!$K$2="",I861='Consulta de contratos'!$K$2,AND(LEFT('Consulta de contratos'!$K$2,7)="Grupo: ",ISNUMBER(SEARCH("|"&amp;MID('Consulta de contratos'!$K$2,8,120)&amp;"|",AF861)))),OR('Consulta de contratos'!$K$3="",C861='Consulta de contratos'!$K$3),OR('Consulta de contratos'!$K$4="",D861='Consulta de contratos'!$K$4),OR('Consulta de contratos'!$K$5="",E861='Consulta de contratos'!$K$5)),1,0)</f>
        <v>0</v>
      </c>
      <c r="W861">
        <f>IF(V861=1,SUM($V$2:V861),0)</f>
        <v>0</v>
      </c>
    </row>
    <row r="862" spans="22:23" x14ac:dyDescent="0.35">
      <c r="V862">
        <f>IF(AND(SUM(IF('Consulta de contratos'!$K$1="",0,1),IF('Consulta de contratos'!$K$2="",0,1),IF('Consulta de contratos'!$K$3="",0,1),IF('Consulta de contratos'!$K$4="",0,1),IF('Consulta de contratos'!$K$5="",0,1))&gt;0,OR('Consulta de contratos'!$K$1="",A862='Consulta de contratos'!$K$1),OR('Consulta de contratos'!$K$2="",I862='Consulta de contratos'!$K$2,AND(LEFT('Consulta de contratos'!$K$2,7)="Grupo: ",ISNUMBER(SEARCH("|"&amp;MID('Consulta de contratos'!$K$2,8,120)&amp;"|",AF862)))),OR('Consulta de contratos'!$K$3="",C862='Consulta de contratos'!$K$3),OR('Consulta de contratos'!$K$4="",D862='Consulta de contratos'!$K$4),OR('Consulta de contratos'!$K$5="",E862='Consulta de contratos'!$K$5)),1,0)</f>
        <v>0</v>
      </c>
      <c r="W862">
        <f>IF(V862=1,SUM($V$2:V862),0)</f>
        <v>0</v>
      </c>
    </row>
    <row r="863" spans="22:23" x14ac:dyDescent="0.35">
      <c r="V863">
        <f>IF(AND(SUM(IF('Consulta de contratos'!$K$1="",0,1),IF('Consulta de contratos'!$K$2="",0,1),IF('Consulta de contratos'!$K$3="",0,1),IF('Consulta de contratos'!$K$4="",0,1),IF('Consulta de contratos'!$K$5="",0,1))&gt;0,OR('Consulta de contratos'!$K$1="",A863='Consulta de contratos'!$K$1),OR('Consulta de contratos'!$K$2="",I863='Consulta de contratos'!$K$2,AND(LEFT('Consulta de contratos'!$K$2,7)="Grupo: ",ISNUMBER(SEARCH("|"&amp;MID('Consulta de contratos'!$K$2,8,120)&amp;"|",AF863)))),OR('Consulta de contratos'!$K$3="",C863='Consulta de contratos'!$K$3),OR('Consulta de contratos'!$K$4="",D863='Consulta de contratos'!$K$4),OR('Consulta de contratos'!$K$5="",E863='Consulta de contratos'!$K$5)),1,0)</f>
        <v>0</v>
      </c>
      <c r="W863">
        <f>IF(V863=1,SUM($V$2:V863),0)</f>
        <v>0</v>
      </c>
    </row>
    <row r="864" spans="22:23" x14ac:dyDescent="0.35">
      <c r="V864">
        <f>IF(AND(SUM(IF('Consulta de contratos'!$K$1="",0,1),IF('Consulta de contratos'!$K$2="",0,1),IF('Consulta de contratos'!$K$3="",0,1),IF('Consulta de contratos'!$K$4="",0,1),IF('Consulta de contratos'!$K$5="",0,1))&gt;0,OR('Consulta de contratos'!$K$1="",A864='Consulta de contratos'!$K$1),OR('Consulta de contratos'!$K$2="",I864='Consulta de contratos'!$K$2,AND(LEFT('Consulta de contratos'!$K$2,7)="Grupo: ",ISNUMBER(SEARCH("|"&amp;MID('Consulta de contratos'!$K$2,8,120)&amp;"|",AF864)))),OR('Consulta de contratos'!$K$3="",C864='Consulta de contratos'!$K$3),OR('Consulta de contratos'!$K$4="",D864='Consulta de contratos'!$K$4),OR('Consulta de contratos'!$K$5="",E864='Consulta de contratos'!$K$5)),1,0)</f>
        <v>0</v>
      </c>
      <c r="W864">
        <f>IF(V864=1,SUM($V$2:V864),0)</f>
        <v>0</v>
      </c>
    </row>
    <row r="865" spans="22:23" x14ac:dyDescent="0.35">
      <c r="V865">
        <f>IF(AND(SUM(IF('Consulta de contratos'!$K$1="",0,1),IF('Consulta de contratos'!$K$2="",0,1),IF('Consulta de contratos'!$K$3="",0,1),IF('Consulta de contratos'!$K$4="",0,1),IF('Consulta de contratos'!$K$5="",0,1))&gt;0,OR('Consulta de contratos'!$K$1="",A865='Consulta de contratos'!$K$1),OR('Consulta de contratos'!$K$2="",I865='Consulta de contratos'!$K$2,AND(LEFT('Consulta de contratos'!$K$2,7)="Grupo: ",ISNUMBER(SEARCH("|"&amp;MID('Consulta de contratos'!$K$2,8,120)&amp;"|",AF865)))),OR('Consulta de contratos'!$K$3="",C865='Consulta de contratos'!$K$3),OR('Consulta de contratos'!$K$4="",D865='Consulta de contratos'!$K$4),OR('Consulta de contratos'!$K$5="",E865='Consulta de contratos'!$K$5)),1,0)</f>
        <v>0</v>
      </c>
      <c r="W865">
        <f>IF(V865=1,SUM($V$2:V865),0)</f>
        <v>0</v>
      </c>
    </row>
    <row r="866" spans="22:23" x14ac:dyDescent="0.35">
      <c r="V866">
        <f>IF(AND(SUM(IF('Consulta de contratos'!$K$1="",0,1),IF('Consulta de contratos'!$K$2="",0,1),IF('Consulta de contratos'!$K$3="",0,1),IF('Consulta de contratos'!$K$4="",0,1),IF('Consulta de contratos'!$K$5="",0,1))&gt;0,OR('Consulta de contratos'!$K$1="",A866='Consulta de contratos'!$K$1),OR('Consulta de contratos'!$K$2="",I866='Consulta de contratos'!$K$2,AND(LEFT('Consulta de contratos'!$K$2,7)="Grupo: ",ISNUMBER(SEARCH("|"&amp;MID('Consulta de contratos'!$K$2,8,120)&amp;"|",AF866)))),OR('Consulta de contratos'!$K$3="",C866='Consulta de contratos'!$K$3),OR('Consulta de contratos'!$K$4="",D866='Consulta de contratos'!$K$4),OR('Consulta de contratos'!$K$5="",E866='Consulta de contratos'!$K$5)),1,0)</f>
        <v>0</v>
      </c>
      <c r="W866">
        <f>IF(V866=1,SUM($V$2:V866),0)</f>
        <v>0</v>
      </c>
    </row>
    <row r="867" spans="22:23" x14ac:dyDescent="0.35">
      <c r="V867">
        <f>IF(AND(SUM(IF('Consulta de contratos'!$K$1="",0,1),IF('Consulta de contratos'!$K$2="",0,1),IF('Consulta de contratos'!$K$3="",0,1),IF('Consulta de contratos'!$K$4="",0,1),IF('Consulta de contratos'!$K$5="",0,1))&gt;0,OR('Consulta de contratos'!$K$1="",A867='Consulta de contratos'!$K$1),OR('Consulta de contratos'!$K$2="",I867='Consulta de contratos'!$K$2,AND(LEFT('Consulta de contratos'!$K$2,7)="Grupo: ",ISNUMBER(SEARCH("|"&amp;MID('Consulta de contratos'!$K$2,8,120)&amp;"|",AF867)))),OR('Consulta de contratos'!$K$3="",C867='Consulta de contratos'!$K$3),OR('Consulta de contratos'!$K$4="",D867='Consulta de contratos'!$K$4),OR('Consulta de contratos'!$K$5="",E867='Consulta de contratos'!$K$5)),1,0)</f>
        <v>0</v>
      </c>
      <c r="W867">
        <f>IF(V867=1,SUM($V$2:V867),0)</f>
        <v>0</v>
      </c>
    </row>
    <row r="868" spans="22:23" x14ac:dyDescent="0.35">
      <c r="V868">
        <f>IF(AND(SUM(IF('Consulta de contratos'!$K$1="",0,1),IF('Consulta de contratos'!$K$2="",0,1),IF('Consulta de contratos'!$K$3="",0,1),IF('Consulta de contratos'!$K$4="",0,1),IF('Consulta de contratos'!$K$5="",0,1))&gt;0,OR('Consulta de contratos'!$K$1="",A868='Consulta de contratos'!$K$1),OR('Consulta de contratos'!$K$2="",I868='Consulta de contratos'!$K$2,AND(LEFT('Consulta de contratos'!$K$2,7)="Grupo: ",ISNUMBER(SEARCH("|"&amp;MID('Consulta de contratos'!$K$2,8,120)&amp;"|",AF868)))),OR('Consulta de contratos'!$K$3="",C868='Consulta de contratos'!$K$3),OR('Consulta de contratos'!$K$4="",D868='Consulta de contratos'!$K$4),OR('Consulta de contratos'!$K$5="",E868='Consulta de contratos'!$K$5)),1,0)</f>
        <v>0</v>
      </c>
      <c r="W868">
        <f>IF(V868=1,SUM($V$2:V868),0)</f>
        <v>0</v>
      </c>
    </row>
    <row r="869" spans="22:23" x14ac:dyDescent="0.35">
      <c r="V869">
        <f>IF(AND(SUM(IF('Consulta de contratos'!$K$1="",0,1),IF('Consulta de contratos'!$K$2="",0,1),IF('Consulta de contratos'!$K$3="",0,1),IF('Consulta de contratos'!$K$4="",0,1),IF('Consulta de contratos'!$K$5="",0,1))&gt;0,OR('Consulta de contratos'!$K$1="",A869='Consulta de contratos'!$K$1),OR('Consulta de contratos'!$K$2="",I869='Consulta de contratos'!$K$2,AND(LEFT('Consulta de contratos'!$K$2,7)="Grupo: ",ISNUMBER(SEARCH("|"&amp;MID('Consulta de contratos'!$K$2,8,120)&amp;"|",AF869)))),OR('Consulta de contratos'!$K$3="",C869='Consulta de contratos'!$K$3),OR('Consulta de contratos'!$K$4="",D869='Consulta de contratos'!$K$4),OR('Consulta de contratos'!$K$5="",E869='Consulta de contratos'!$K$5)),1,0)</f>
        <v>0</v>
      </c>
      <c r="W869">
        <f>IF(V869=1,SUM($V$2:V869),0)</f>
        <v>0</v>
      </c>
    </row>
    <row r="870" spans="22:23" x14ac:dyDescent="0.35">
      <c r="V870">
        <f>IF(AND(SUM(IF('Consulta de contratos'!$K$1="",0,1),IF('Consulta de contratos'!$K$2="",0,1),IF('Consulta de contratos'!$K$3="",0,1),IF('Consulta de contratos'!$K$4="",0,1),IF('Consulta de contratos'!$K$5="",0,1))&gt;0,OR('Consulta de contratos'!$K$1="",A870='Consulta de contratos'!$K$1),OR('Consulta de contratos'!$K$2="",I870='Consulta de contratos'!$K$2,AND(LEFT('Consulta de contratos'!$K$2,7)="Grupo: ",ISNUMBER(SEARCH("|"&amp;MID('Consulta de contratos'!$K$2,8,120)&amp;"|",AF870)))),OR('Consulta de contratos'!$K$3="",C870='Consulta de contratos'!$K$3),OR('Consulta de contratos'!$K$4="",D870='Consulta de contratos'!$K$4),OR('Consulta de contratos'!$K$5="",E870='Consulta de contratos'!$K$5)),1,0)</f>
        <v>0</v>
      </c>
      <c r="W870">
        <f>IF(V870=1,SUM($V$2:V870),0)</f>
        <v>0</v>
      </c>
    </row>
    <row r="871" spans="22:23" x14ac:dyDescent="0.35">
      <c r="V871">
        <f>IF(AND(SUM(IF('Consulta de contratos'!$K$1="",0,1),IF('Consulta de contratos'!$K$2="",0,1),IF('Consulta de contratos'!$K$3="",0,1),IF('Consulta de contratos'!$K$4="",0,1),IF('Consulta de contratos'!$K$5="",0,1))&gt;0,OR('Consulta de contratos'!$K$1="",A871='Consulta de contratos'!$K$1),OR('Consulta de contratos'!$K$2="",I871='Consulta de contratos'!$K$2,AND(LEFT('Consulta de contratos'!$K$2,7)="Grupo: ",ISNUMBER(SEARCH("|"&amp;MID('Consulta de contratos'!$K$2,8,120)&amp;"|",AF871)))),OR('Consulta de contratos'!$K$3="",C871='Consulta de contratos'!$K$3),OR('Consulta de contratos'!$K$4="",D871='Consulta de contratos'!$K$4),OR('Consulta de contratos'!$K$5="",E871='Consulta de contratos'!$K$5)),1,0)</f>
        <v>0</v>
      </c>
      <c r="W871">
        <f>IF(V871=1,SUM($V$2:V871),0)</f>
        <v>0</v>
      </c>
    </row>
    <row r="872" spans="22:23" x14ac:dyDescent="0.35">
      <c r="V872">
        <f>IF(AND(SUM(IF('Consulta de contratos'!$K$1="",0,1),IF('Consulta de contratos'!$K$2="",0,1),IF('Consulta de contratos'!$K$3="",0,1),IF('Consulta de contratos'!$K$4="",0,1),IF('Consulta de contratos'!$K$5="",0,1))&gt;0,OR('Consulta de contratos'!$K$1="",A872='Consulta de contratos'!$K$1),OR('Consulta de contratos'!$K$2="",I872='Consulta de contratos'!$K$2,AND(LEFT('Consulta de contratos'!$K$2,7)="Grupo: ",ISNUMBER(SEARCH("|"&amp;MID('Consulta de contratos'!$K$2,8,120)&amp;"|",AF872)))),OR('Consulta de contratos'!$K$3="",C872='Consulta de contratos'!$K$3),OR('Consulta de contratos'!$K$4="",D872='Consulta de contratos'!$K$4),OR('Consulta de contratos'!$K$5="",E872='Consulta de contratos'!$K$5)),1,0)</f>
        <v>0</v>
      </c>
      <c r="W872">
        <f>IF(V872=1,SUM($V$2:V872),0)</f>
        <v>0</v>
      </c>
    </row>
    <row r="873" spans="22:23" x14ac:dyDescent="0.35">
      <c r="V873">
        <f>IF(AND(SUM(IF('Consulta de contratos'!$K$1="",0,1),IF('Consulta de contratos'!$K$2="",0,1),IF('Consulta de contratos'!$K$3="",0,1),IF('Consulta de contratos'!$K$4="",0,1),IF('Consulta de contratos'!$K$5="",0,1))&gt;0,OR('Consulta de contratos'!$K$1="",A873='Consulta de contratos'!$K$1),OR('Consulta de contratos'!$K$2="",I873='Consulta de contratos'!$K$2,AND(LEFT('Consulta de contratos'!$K$2,7)="Grupo: ",ISNUMBER(SEARCH("|"&amp;MID('Consulta de contratos'!$K$2,8,120)&amp;"|",AF873)))),OR('Consulta de contratos'!$K$3="",C873='Consulta de contratos'!$K$3),OR('Consulta de contratos'!$K$4="",D873='Consulta de contratos'!$K$4),OR('Consulta de contratos'!$K$5="",E873='Consulta de contratos'!$K$5)),1,0)</f>
        <v>0</v>
      </c>
      <c r="W873">
        <f>IF(V873=1,SUM($V$2:V873),0)</f>
        <v>0</v>
      </c>
    </row>
    <row r="874" spans="22:23" x14ac:dyDescent="0.35">
      <c r="V874">
        <f>IF(AND(SUM(IF('Consulta de contratos'!$K$1="",0,1),IF('Consulta de contratos'!$K$2="",0,1),IF('Consulta de contratos'!$K$3="",0,1),IF('Consulta de contratos'!$K$4="",0,1),IF('Consulta de contratos'!$K$5="",0,1))&gt;0,OR('Consulta de contratos'!$K$1="",A874='Consulta de contratos'!$K$1),OR('Consulta de contratos'!$K$2="",I874='Consulta de contratos'!$K$2,AND(LEFT('Consulta de contratos'!$K$2,7)="Grupo: ",ISNUMBER(SEARCH("|"&amp;MID('Consulta de contratos'!$K$2,8,120)&amp;"|",AF874)))),OR('Consulta de contratos'!$K$3="",C874='Consulta de contratos'!$K$3),OR('Consulta de contratos'!$K$4="",D874='Consulta de contratos'!$K$4),OR('Consulta de contratos'!$K$5="",E874='Consulta de contratos'!$K$5)),1,0)</f>
        <v>0</v>
      </c>
      <c r="W874">
        <f>IF(V874=1,SUM($V$2:V874),0)</f>
        <v>0</v>
      </c>
    </row>
    <row r="875" spans="22:23" x14ac:dyDescent="0.35">
      <c r="V875">
        <f>IF(AND(SUM(IF('Consulta de contratos'!$K$1="",0,1),IF('Consulta de contratos'!$K$2="",0,1),IF('Consulta de contratos'!$K$3="",0,1),IF('Consulta de contratos'!$K$4="",0,1),IF('Consulta de contratos'!$K$5="",0,1))&gt;0,OR('Consulta de contratos'!$K$1="",A875='Consulta de contratos'!$K$1),OR('Consulta de contratos'!$K$2="",I875='Consulta de contratos'!$K$2,AND(LEFT('Consulta de contratos'!$K$2,7)="Grupo: ",ISNUMBER(SEARCH("|"&amp;MID('Consulta de contratos'!$K$2,8,120)&amp;"|",AF875)))),OR('Consulta de contratos'!$K$3="",C875='Consulta de contratos'!$K$3),OR('Consulta de contratos'!$K$4="",D875='Consulta de contratos'!$K$4),OR('Consulta de contratos'!$K$5="",E875='Consulta de contratos'!$K$5)),1,0)</f>
        <v>0</v>
      </c>
      <c r="W875">
        <f>IF(V875=1,SUM($V$2:V875),0)</f>
        <v>0</v>
      </c>
    </row>
    <row r="876" spans="22:23" x14ac:dyDescent="0.35">
      <c r="V876">
        <f>IF(AND(SUM(IF('Consulta de contratos'!$K$1="",0,1),IF('Consulta de contratos'!$K$2="",0,1),IF('Consulta de contratos'!$K$3="",0,1),IF('Consulta de contratos'!$K$4="",0,1),IF('Consulta de contratos'!$K$5="",0,1))&gt;0,OR('Consulta de contratos'!$K$1="",A876='Consulta de contratos'!$K$1),OR('Consulta de contratos'!$K$2="",I876='Consulta de contratos'!$K$2,AND(LEFT('Consulta de contratos'!$K$2,7)="Grupo: ",ISNUMBER(SEARCH("|"&amp;MID('Consulta de contratos'!$K$2,8,120)&amp;"|",AF876)))),OR('Consulta de contratos'!$K$3="",C876='Consulta de contratos'!$K$3),OR('Consulta de contratos'!$K$4="",D876='Consulta de contratos'!$K$4),OR('Consulta de contratos'!$K$5="",E876='Consulta de contratos'!$K$5)),1,0)</f>
        <v>0</v>
      </c>
      <c r="W876">
        <f>IF(V876=1,SUM($V$2:V876),0)</f>
        <v>0</v>
      </c>
    </row>
    <row r="877" spans="22:23" x14ac:dyDescent="0.35">
      <c r="V877">
        <f>IF(AND(SUM(IF('Consulta de contratos'!$K$1="",0,1),IF('Consulta de contratos'!$K$2="",0,1),IF('Consulta de contratos'!$K$3="",0,1),IF('Consulta de contratos'!$K$4="",0,1),IF('Consulta de contratos'!$K$5="",0,1))&gt;0,OR('Consulta de contratos'!$K$1="",A877='Consulta de contratos'!$K$1),OR('Consulta de contratos'!$K$2="",I877='Consulta de contratos'!$K$2,AND(LEFT('Consulta de contratos'!$K$2,7)="Grupo: ",ISNUMBER(SEARCH("|"&amp;MID('Consulta de contratos'!$K$2,8,120)&amp;"|",AF877)))),OR('Consulta de contratos'!$K$3="",C877='Consulta de contratos'!$K$3),OR('Consulta de contratos'!$K$4="",D877='Consulta de contratos'!$K$4),OR('Consulta de contratos'!$K$5="",E877='Consulta de contratos'!$K$5)),1,0)</f>
        <v>0</v>
      </c>
      <c r="W877">
        <f>IF(V877=1,SUM($V$2:V877),0)</f>
        <v>0</v>
      </c>
    </row>
    <row r="878" spans="22:23" x14ac:dyDescent="0.35">
      <c r="V878">
        <f>IF(AND(SUM(IF('Consulta de contratos'!$K$1="",0,1),IF('Consulta de contratos'!$K$2="",0,1),IF('Consulta de contratos'!$K$3="",0,1),IF('Consulta de contratos'!$K$4="",0,1),IF('Consulta de contratos'!$K$5="",0,1))&gt;0,OR('Consulta de contratos'!$K$1="",A878='Consulta de contratos'!$K$1),OR('Consulta de contratos'!$K$2="",I878='Consulta de contratos'!$K$2,AND(LEFT('Consulta de contratos'!$K$2,7)="Grupo: ",ISNUMBER(SEARCH("|"&amp;MID('Consulta de contratos'!$K$2,8,120)&amp;"|",AF878)))),OR('Consulta de contratos'!$K$3="",C878='Consulta de contratos'!$K$3),OR('Consulta de contratos'!$K$4="",D878='Consulta de contratos'!$K$4),OR('Consulta de contratos'!$K$5="",E878='Consulta de contratos'!$K$5)),1,0)</f>
        <v>0</v>
      </c>
      <c r="W878">
        <f>IF(V878=1,SUM($V$2:V878),0)</f>
        <v>0</v>
      </c>
    </row>
    <row r="879" spans="22:23" x14ac:dyDescent="0.35">
      <c r="V879">
        <f>IF(AND(SUM(IF('Consulta de contratos'!$K$1="",0,1),IF('Consulta de contratos'!$K$2="",0,1),IF('Consulta de contratos'!$K$3="",0,1),IF('Consulta de contratos'!$K$4="",0,1),IF('Consulta de contratos'!$K$5="",0,1))&gt;0,OR('Consulta de contratos'!$K$1="",A879='Consulta de contratos'!$K$1),OR('Consulta de contratos'!$K$2="",I879='Consulta de contratos'!$K$2,AND(LEFT('Consulta de contratos'!$K$2,7)="Grupo: ",ISNUMBER(SEARCH("|"&amp;MID('Consulta de contratos'!$K$2,8,120)&amp;"|",AF879)))),OR('Consulta de contratos'!$K$3="",C879='Consulta de contratos'!$K$3),OR('Consulta de contratos'!$K$4="",D879='Consulta de contratos'!$K$4),OR('Consulta de contratos'!$K$5="",E879='Consulta de contratos'!$K$5)),1,0)</f>
        <v>0</v>
      </c>
      <c r="W879">
        <f>IF(V879=1,SUM($V$2:V879),0)</f>
        <v>0</v>
      </c>
    </row>
    <row r="880" spans="22:23" x14ac:dyDescent="0.35">
      <c r="V880">
        <f>IF(AND(SUM(IF('Consulta de contratos'!$K$1="",0,1),IF('Consulta de contratos'!$K$2="",0,1),IF('Consulta de contratos'!$K$3="",0,1),IF('Consulta de contratos'!$K$4="",0,1),IF('Consulta de contratos'!$K$5="",0,1))&gt;0,OR('Consulta de contratos'!$K$1="",A880='Consulta de contratos'!$K$1),OR('Consulta de contratos'!$K$2="",I880='Consulta de contratos'!$K$2,AND(LEFT('Consulta de contratos'!$K$2,7)="Grupo: ",ISNUMBER(SEARCH("|"&amp;MID('Consulta de contratos'!$K$2,8,120)&amp;"|",AF880)))),OR('Consulta de contratos'!$K$3="",C880='Consulta de contratos'!$K$3),OR('Consulta de contratos'!$K$4="",D880='Consulta de contratos'!$K$4),OR('Consulta de contratos'!$K$5="",E880='Consulta de contratos'!$K$5)),1,0)</f>
        <v>0</v>
      </c>
      <c r="W880">
        <f>IF(V880=1,SUM($V$2:V880),0)</f>
        <v>0</v>
      </c>
    </row>
    <row r="881" spans="22:23" x14ac:dyDescent="0.35">
      <c r="V881">
        <f>IF(AND(SUM(IF('Consulta de contratos'!$K$1="",0,1),IF('Consulta de contratos'!$K$2="",0,1),IF('Consulta de contratos'!$K$3="",0,1),IF('Consulta de contratos'!$K$4="",0,1),IF('Consulta de contratos'!$K$5="",0,1))&gt;0,OR('Consulta de contratos'!$K$1="",A881='Consulta de contratos'!$K$1),OR('Consulta de contratos'!$K$2="",I881='Consulta de contratos'!$K$2,AND(LEFT('Consulta de contratos'!$K$2,7)="Grupo: ",ISNUMBER(SEARCH("|"&amp;MID('Consulta de contratos'!$K$2,8,120)&amp;"|",AF881)))),OR('Consulta de contratos'!$K$3="",C881='Consulta de contratos'!$K$3),OR('Consulta de contratos'!$K$4="",D881='Consulta de contratos'!$K$4),OR('Consulta de contratos'!$K$5="",E881='Consulta de contratos'!$K$5)),1,0)</f>
        <v>0</v>
      </c>
      <c r="W881">
        <f>IF(V881=1,SUM($V$2:V881),0)</f>
        <v>0</v>
      </c>
    </row>
    <row r="882" spans="22:23" x14ac:dyDescent="0.35">
      <c r="V882">
        <f>IF(AND(SUM(IF('Consulta de contratos'!$K$1="",0,1),IF('Consulta de contratos'!$K$2="",0,1),IF('Consulta de contratos'!$K$3="",0,1),IF('Consulta de contratos'!$K$4="",0,1),IF('Consulta de contratos'!$K$5="",0,1))&gt;0,OR('Consulta de contratos'!$K$1="",A882='Consulta de contratos'!$K$1),OR('Consulta de contratos'!$K$2="",I882='Consulta de contratos'!$K$2,AND(LEFT('Consulta de contratos'!$K$2,7)="Grupo: ",ISNUMBER(SEARCH("|"&amp;MID('Consulta de contratos'!$K$2,8,120)&amp;"|",AF882)))),OR('Consulta de contratos'!$K$3="",C882='Consulta de contratos'!$K$3),OR('Consulta de contratos'!$K$4="",D882='Consulta de contratos'!$K$4),OR('Consulta de contratos'!$K$5="",E882='Consulta de contratos'!$K$5)),1,0)</f>
        <v>0</v>
      </c>
      <c r="W882">
        <f>IF(V882=1,SUM($V$2:V882),0)</f>
        <v>0</v>
      </c>
    </row>
    <row r="883" spans="22:23" x14ac:dyDescent="0.35">
      <c r="V883">
        <f>IF(AND(SUM(IF('Consulta de contratos'!$K$1="",0,1),IF('Consulta de contratos'!$K$2="",0,1),IF('Consulta de contratos'!$K$3="",0,1),IF('Consulta de contratos'!$K$4="",0,1),IF('Consulta de contratos'!$K$5="",0,1))&gt;0,OR('Consulta de contratos'!$K$1="",A883='Consulta de contratos'!$K$1),OR('Consulta de contratos'!$K$2="",I883='Consulta de contratos'!$K$2,AND(LEFT('Consulta de contratos'!$K$2,7)="Grupo: ",ISNUMBER(SEARCH("|"&amp;MID('Consulta de contratos'!$K$2,8,120)&amp;"|",AF883)))),OR('Consulta de contratos'!$K$3="",C883='Consulta de contratos'!$K$3),OR('Consulta de contratos'!$K$4="",D883='Consulta de contratos'!$K$4),OR('Consulta de contratos'!$K$5="",E883='Consulta de contratos'!$K$5)),1,0)</f>
        <v>0</v>
      </c>
      <c r="W883">
        <f>IF(V883=1,SUM($V$2:V883),0)</f>
        <v>0</v>
      </c>
    </row>
    <row r="884" spans="22:23" x14ac:dyDescent="0.35">
      <c r="V884">
        <f>IF(AND(SUM(IF('Consulta de contratos'!$K$1="",0,1),IF('Consulta de contratos'!$K$2="",0,1),IF('Consulta de contratos'!$K$3="",0,1),IF('Consulta de contratos'!$K$4="",0,1),IF('Consulta de contratos'!$K$5="",0,1))&gt;0,OR('Consulta de contratos'!$K$1="",A884='Consulta de contratos'!$K$1),OR('Consulta de contratos'!$K$2="",I884='Consulta de contratos'!$K$2,AND(LEFT('Consulta de contratos'!$K$2,7)="Grupo: ",ISNUMBER(SEARCH("|"&amp;MID('Consulta de contratos'!$K$2,8,120)&amp;"|",AF884)))),OR('Consulta de contratos'!$K$3="",C884='Consulta de contratos'!$K$3),OR('Consulta de contratos'!$K$4="",D884='Consulta de contratos'!$K$4),OR('Consulta de contratos'!$K$5="",E884='Consulta de contratos'!$K$5)),1,0)</f>
        <v>0</v>
      </c>
      <c r="W884">
        <f>IF(V884=1,SUM($V$2:V884),0)</f>
        <v>0</v>
      </c>
    </row>
    <row r="885" spans="22:23" x14ac:dyDescent="0.35">
      <c r="V885">
        <f>IF(AND(SUM(IF('Consulta de contratos'!$K$1="",0,1),IF('Consulta de contratos'!$K$2="",0,1),IF('Consulta de contratos'!$K$3="",0,1),IF('Consulta de contratos'!$K$4="",0,1),IF('Consulta de contratos'!$K$5="",0,1))&gt;0,OR('Consulta de contratos'!$K$1="",A885='Consulta de contratos'!$K$1),OR('Consulta de contratos'!$K$2="",I885='Consulta de contratos'!$K$2,AND(LEFT('Consulta de contratos'!$K$2,7)="Grupo: ",ISNUMBER(SEARCH("|"&amp;MID('Consulta de contratos'!$K$2,8,120)&amp;"|",AF885)))),OR('Consulta de contratos'!$K$3="",C885='Consulta de contratos'!$K$3),OR('Consulta de contratos'!$K$4="",D885='Consulta de contratos'!$K$4),OR('Consulta de contratos'!$K$5="",E885='Consulta de contratos'!$K$5)),1,0)</f>
        <v>0</v>
      </c>
      <c r="W885">
        <f>IF(V885=1,SUM($V$2:V885),0)</f>
        <v>0</v>
      </c>
    </row>
    <row r="886" spans="22:23" x14ac:dyDescent="0.35">
      <c r="V886">
        <f>IF(AND(SUM(IF('Consulta de contratos'!$K$1="",0,1),IF('Consulta de contratos'!$K$2="",0,1),IF('Consulta de contratos'!$K$3="",0,1),IF('Consulta de contratos'!$K$4="",0,1),IF('Consulta de contratos'!$K$5="",0,1))&gt;0,OR('Consulta de contratos'!$K$1="",A886='Consulta de contratos'!$K$1),OR('Consulta de contratos'!$K$2="",I886='Consulta de contratos'!$K$2,AND(LEFT('Consulta de contratos'!$K$2,7)="Grupo: ",ISNUMBER(SEARCH("|"&amp;MID('Consulta de contratos'!$K$2,8,120)&amp;"|",AF886)))),OR('Consulta de contratos'!$K$3="",C886='Consulta de contratos'!$K$3),OR('Consulta de contratos'!$K$4="",D886='Consulta de contratos'!$K$4),OR('Consulta de contratos'!$K$5="",E886='Consulta de contratos'!$K$5)),1,0)</f>
        <v>0</v>
      </c>
      <c r="W886">
        <f>IF(V886=1,SUM($V$2:V886),0)</f>
        <v>0</v>
      </c>
    </row>
    <row r="887" spans="22:23" x14ac:dyDescent="0.35">
      <c r="V887">
        <f>IF(AND(SUM(IF('Consulta de contratos'!$K$1="",0,1),IF('Consulta de contratos'!$K$2="",0,1),IF('Consulta de contratos'!$K$3="",0,1),IF('Consulta de contratos'!$K$4="",0,1),IF('Consulta de contratos'!$K$5="",0,1))&gt;0,OR('Consulta de contratos'!$K$1="",A887='Consulta de contratos'!$K$1),OR('Consulta de contratos'!$K$2="",I887='Consulta de contratos'!$K$2,AND(LEFT('Consulta de contratos'!$K$2,7)="Grupo: ",ISNUMBER(SEARCH("|"&amp;MID('Consulta de contratos'!$K$2,8,120)&amp;"|",AF887)))),OR('Consulta de contratos'!$K$3="",C887='Consulta de contratos'!$K$3),OR('Consulta de contratos'!$K$4="",D887='Consulta de contratos'!$K$4),OR('Consulta de contratos'!$K$5="",E887='Consulta de contratos'!$K$5)),1,0)</f>
        <v>0</v>
      </c>
      <c r="W887">
        <f>IF(V887=1,SUM($V$2:V887),0)</f>
        <v>0</v>
      </c>
    </row>
    <row r="888" spans="22:23" x14ac:dyDescent="0.35">
      <c r="V888">
        <f>IF(AND(SUM(IF('Consulta de contratos'!$K$1="",0,1),IF('Consulta de contratos'!$K$2="",0,1),IF('Consulta de contratos'!$K$3="",0,1),IF('Consulta de contratos'!$K$4="",0,1),IF('Consulta de contratos'!$K$5="",0,1))&gt;0,OR('Consulta de contratos'!$K$1="",A888='Consulta de contratos'!$K$1),OR('Consulta de contratos'!$K$2="",I888='Consulta de contratos'!$K$2,AND(LEFT('Consulta de contratos'!$K$2,7)="Grupo: ",ISNUMBER(SEARCH("|"&amp;MID('Consulta de contratos'!$K$2,8,120)&amp;"|",AF888)))),OR('Consulta de contratos'!$K$3="",C888='Consulta de contratos'!$K$3),OR('Consulta de contratos'!$K$4="",D888='Consulta de contratos'!$K$4),OR('Consulta de contratos'!$K$5="",E888='Consulta de contratos'!$K$5)),1,0)</f>
        <v>0</v>
      </c>
      <c r="W888">
        <f>IF(V888=1,SUM($V$2:V888),0)</f>
        <v>0</v>
      </c>
    </row>
    <row r="889" spans="22:23" x14ac:dyDescent="0.35">
      <c r="V889">
        <f>IF(AND(SUM(IF('Consulta de contratos'!$K$1="",0,1),IF('Consulta de contratos'!$K$2="",0,1),IF('Consulta de contratos'!$K$3="",0,1),IF('Consulta de contratos'!$K$4="",0,1),IF('Consulta de contratos'!$K$5="",0,1))&gt;0,OR('Consulta de contratos'!$K$1="",A889='Consulta de contratos'!$K$1),OR('Consulta de contratos'!$K$2="",I889='Consulta de contratos'!$K$2,AND(LEFT('Consulta de contratos'!$K$2,7)="Grupo: ",ISNUMBER(SEARCH("|"&amp;MID('Consulta de contratos'!$K$2,8,120)&amp;"|",AF889)))),OR('Consulta de contratos'!$K$3="",C889='Consulta de contratos'!$K$3),OR('Consulta de contratos'!$K$4="",D889='Consulta de contratos'!$K$4),OR('Consulta de contratos'!$K$5="",E889='Consulta de contratos'!$K$5)),1,0)</f>
        <v>0</v>
      </c>
      <c r="W889">
        <f>IF(V889=1,SUM($V$2:V889),0)</f>
        <v>0</v>
      </c>
    </row>
    <row r="890" spans="22:23" x14ac:dyDescent="0.35">
      <c r="V890">
        <f>IF(AND(SUM(IF('Consulta de contratos'!$K$1="",0,1),IF('Consulta de contratos'!$K$2="",0,1),IF('Consulta de contratos'!$K$3="",0,1),IF('Consulta de contratos'!$K$4="",0,1),IF('Consulta de contratos'!$K$5="",0,1))&gt;0,OR('Consulta de contratos'!$K$1="",A890='Consulta de contratos'!$K$1),OR('Consulta de contratos'!$K$2="",I890='Consulta de contratos'!$K$2,AND(LEFT('Consulta de contratos'!$K$2,7)="Grupo: ",ISNUMBER(SEARCH("|"&amp;MID('Consulta de contratos'!$K$2,8,120)&amp;"|",AF890)))),OR('Consulta de contratos'!$K$3="",C890='Consulta de contratos'!$K$3),OR('Consulta de contratos'!$K$4="",D890='Consulta de contratos'!$K$4),OR('Consulta de contratos'!$K$5="",E890='Consulta de contratos'!$K$5)),1,0)</f>
        <v>0</v>
      </c>
      <c r="W890">
        <f>IF(V890=1,SUM($V$2:V890),0)</f>
        <v>0</v>
      </c>
    </row>
    <row r="891" spans="22:23" x14ac:dyDescent="0.35">
      <c r="V891">
        <f>IF(AND(SUM(IF('Consulta de contratos'!$K$1="",0,1),IF('Consulta de contratos'!$K$2="",0,1),IF('Consulta de contratos'!$K$3="",0,1),IF('Consulta de contratos'!$K$4="",0,1),IF('Consulta de contratos'!$K$5="",0,1))&gt;0,OR('Consulta de contratos'!$K$1="",A891='Consulta de contratos'!$K$1),OR('Consulta de contratos'!$K$2="",I891='Consulta de contratos'!$K$2,AND(LEFT('Consulta de contratos'!$K$2,7)="Grupo: ",ISNUMBER(SEARCH("|"&amp;MID('Consulta de contratos'!$K$2,8,120)&amp;"|",AF891)))),OR('Consulta de contratos'!$K$3="",C891='Consulta de contratos'!$K$3),OR('Consulta de contratos'!$K$4="",D891='Consulta de contratos'!$K$4),OR('Consulta de contratos'!$K$5="",E891='Consulta de contratos'!$K$5)),1,0)</f>
        <v>0</v>
      </c>
      <c r="W891">
        <f>IF(V891=1,SUM($V$2:V891),0)</f>
        <v>0</v>
      </c>
    </row>
    <row r="892" spans="22:23" x14ac:dyDescent="0.35">
      <c r="V892">
        <f>IF(AND(SUM(IF('Consulta de contratos'!$K$1="",0,1),IF('Consulta de contratos'!$K$2="",0,1),IF('Consulta de contratos'!$K$3="",0,1),IF('Consulta de contratos'!$K$4="",0,1),IF('Consulta de contratos'!$K$5="",0,1))&gt;0,OR('Consulta de contratos'!$K$1="",A892='Consulta de contratos'!$K$1),OR('Consulta de contratos'!$K$2="",I892='Consulta de contratos'!$K$2,AND(LEFT('Consulta de contratos'!$K$2,7)="Grupo: ",ISNUMBER(SEARCH("|"&amp;MID('Consulta de contratos'!$K$2,8,120)&amp;"|",AF892)))),OR('Consulta de contratos'!$K$3="",C892='Consulta de contratos'!$K$3),OR('Consulta de contratos'!$K$4="",D892='Consulta de contratos'!$K$4),OR('Consulta de contratos'!$K$5="",E892='Consulta de contratos'!$K$5)),1,0)</f>
        <v>0</v>
      </c>
      <c r="W892">
        <f>IF(V892=1,SUM($V$2:V892),0)</f>
        <v>0</v>
      </c>
    </row>
    <row r="893" spans="22:23" x14ac:dyDescent="0.35">
      <c r="V893">
        <f>IF(AND(SUM(IF('Consulta de contratos'!$K$1="",0,1),IF('Consulta de contratos'!$K$2="",0,1),IF('Consulta de contratos'!$K$3="",0,1),IF('Consulta de contratos'!$K$4="",0,1),IF('Consulta de contratos'!$K$5="",0,1))&gt;0,OR('Consulta de contratos'!$K$1="",A893='Consulta de contratos'!$K$1),OR('Consulta de contratos'!$K$2="",I893='Consulta de contratos'!$K$2,AND(LEFT('Consulta de contratos'!$K$2,7)="Grupo: ",ISNUMBER(SEARCH("|"&amp;MID('Consulta de contratos'!$K$2,8,120)&amp;"|",AF893)))),OR('Consulta de contratos'!$K$3="",C893='Consulta de contratos'!$K$3),OR('Consulta de contratos'!$K$4="",D893='Consulta de contratos'!$K$4),OR('Consulta de contratos'!$K$5="",E893='Consulta de contratos'!$K$5)),1,0)</f>
        <v>0</v>
      </c>
      <c r="W893">
        <f>IF(V893=1,SUM($V$2:V893),0)</f>
        <v>0</v>
      </c>
    </row>
    <row r="894" spans="22:23" x14ac:dyDescent="0.35">
      <c r="V894">
        <f>IF(AND(SUM(IF('Consulta de contratos'!$K$1="",0,1),IF('Consulta de contratos'!$K$2="",0,1),IF('Consulta de contratos'!$K$3="",0,1),IF('Consulta de contratos'!$K$4="",0,1),IF('Consulta de contratos'!$K$5="",0,1))&gt;0,OR('Consulta de contratos'!$K$1="",A894='Consulta de contratos'!$K$1),OR('Consulta de contratos'!$K$2="",I894='Consulta de contratos'!$K$2,AND(LEFT('Consulta de contratos'!$K$2,7)="Grupo: ",ISNUMBER(SEARCH("|"&amp;MID('Consulta de contratos'!$K$2,8,120)&amp;"|",AF894)))),OR('Consulta de contratos'!$K$3="",C894='Consulta de contratos'!$K$3),OR('Consulta de contratos'!$K$4="",D894='Consulta de contratos'!$K$4),OR('Consulta de contratos'!$K$5="",E894='Consulta de contratos'!$K$5)),1,0)</f>
        <v>0</v>
      </c>
      <c r="W894">
        <f>IF(V894=1,SUM($V$2:V894),0)</f>
        <v>0</v>
      </c>
    </row>
    <row r="895" spans="22:23" x14ac:dyDescent="0.35">
      <c r="V895">
        <f>IF(AND(SUM(IF('Consulta de contratos'!$K$1="",0,1),IF('Consulta de contratos'!$K$2="",0,1),IF('Consulta de contratos'!$K$3="",0,1),IF('Consulta de contratos'!$K$4="",0,1),IF('Consulta de contratos'!$K$5="",0,1))&gt;0,OR('Consulta de contratos'!$K$1="",A895='Consulta de contratos'!$K$1),OR('Consulta de contratos'!$K$2="",I895='Consulta de contratos'!$K$2,AND(LEFT('Consulta de contratos'!$K$2,7)="Grupo: ",ISNUMBER(SEARCH("|"&amp;MID('Consulta de contratos'!$K$2,8,120)&amp;"|",AF895)))),OR('Consulta de contratos'!$K$3="",C895='Consulta de contratos'!$K$3),OR('Consulta de contratos'!$K$4="",D895='Consulta de contratos'!$K$4),OR('Consulta de contratos'!$K$5="",E895='Consulta de contratos'!$K$5)),1,0)</f>
        <v>0</v>
      </c>
      <c r="W895">
        <f>IF(V895=1,SUM($V$2:V895),0)</f>
        <v>0</v>
      </c>
    </row>
    <row r="896" spans="22:23" x14ac:dyDescent="0.35">
      <c r="V896">
        <f>IF(AND(SUM(IF('Consulta de contratos'!$K$1="",0,1),IF('Consulta de contratos'!$K$2="",0,1),IF('Consulta de contratos'!$K$3="",0,1),IF('Consulta de contratos'!$K$4="",0,1),IF('Consulta de contratos'!$K$5="",0,1))&gt;0,OR('Consulta de contratos'!$K$1="",A896='Consulta de contratos'!$K$1),OR('Consulta de contratos'!$K$2="",I896='Consulta de contratos'!$K$2,AND(LEFT('Consulta de contratos'!$K$2,7)="Grupo: ",ISNUMBER(SEARCH("|"&amp;MID('Consulta de contratos'!$K$2,8,120)&amp;"|",AF896)))),OR('Consulta de contratos'!$K$3="",C896='Consulta de contratos'!$K$3),OR('Consulta de contratos'!$K$4="",D896='Consulta de contratos'!$K$4),OR('Consulta de contratos'!$K$5="",E896='Consulta de contratos'!$K$5)),1,0)</f>
        <v>0</v>
      </c>
      <c r="W896">
        <f>IF(V896=1,SUM($V$2:V896),0)</f>
        <v>0</v>
      </c>
    </row>
    <row r="897" spans="22:23" x14ac:dyDescent="0.35">
      <c r="V897">
        <f>IF(AND(SUM(IF('Consulta de contratos'!$K$1="",0,1),IF('Consulta de contratos'!$K$2="",0,1),IF('Consulta de contratos'!$K$3="",0,1),IF('Consulta de contratos'!$K$4="",0,1),IF('Consulta de contratos'!$K$5="",0,1))&gt;0,OR('Consulta de contratos'!$K$1="",A897='Consulta de contratos'!$K$1),OR('Consulta de contratos'!$K$2="",I897='Consulta de contratos'!$K$2,AND(LEFT('Consulta de contratos'!$K$2,7)="Grupo: ",ISNUMBER(SEARCH("|"&amp;MID('Consulta de contratos'!$K$2,8,120)&amp;"|",AF897)))),OR('Consulta de contratos'!$K$3="",C897='Consulta de contratos'!$K$3),OR('Consulta de contratos'!$K$4="",D897='Consulta de contratos'!$K$4),OR('Consulta de contratos'!$K$5="",E897='Consulta de contratos'!$K$5)),1,0)</f>
        <v>0</v>
      </c>
      <c r="W897">
        <f>IF(V897=1,SUM($V$2:V897),0)</f>
        <v>0</v>
      </c>
    </row>
    <row r="898" spans="22:23" x14ac:dyDescent="0.35">
      <c r="V898">
        <f>IF(AND(SUM(IF('Consulta de contratos'!$K$1="",0,1),IF('Consulta de contratos'!$K$2="",0,1),IF('Consulta de contratos'!$K$3="",0,1),IF('Consulta de contratos'!$K$4="",0,1),IF('Consulta de contratos'!$K$5="",0,1))&gt;0,OR('Consulta de contratos'!$K$1="",A898='Consulta de contratos'!$K$1),OR('Consulta de contratos'!$K$2="",I898='Consulta de contratos'!$K$2,AND(LEFT('Consulta de contratos'!$K$2,7)="Grupo: ",ISNUMBER(SEARCH("|"&amp;MID('Consulta de contratos'!$K$2,8,120)&amp;"|",AF898)))),OR('Consulta de contratos'!$K$3="",C898='Consulta de contratos'!$K$3),OR('Consulta de contratos'!$K$4="",D898='Consulta de contratos'!$K$4),OR('Consulta de contratos'!$K$5="",E898='Consulta de contratos'!$K$5)),1,0)</f>
        <v>0</v>
      </c>
      <c r="W898">
        <f>IF(V898=1,SUM($V$2:V898),0)</f>
        <v>0</v>
      </c>
    </row>
    <row r="899" spans="22:23" x14ac:dyDescent="0.35">
      <c r="V899">
        <f>IF(AND(SUM(IF('Consulta de contratos'!$K$1="",0,1),IF('Consulta de contratos'!$K$2="",0,1),IF('Consulta de contratos'!$K$3="",0,1),IF('Consulta de contratos'!$K$4="",0,1),IF('Consulta de contratos'!$K$5="",0,1))&gt;0,OR('Consulta de contratos'!$K$1="",A899='Consulta de contratos'!$K$1),OR('Consulta de contratos'!$K$2="",I899='Consulta de contratos'!$K$2,AND(LEFT('Consulta de contratos'!$K$2,7)="Grupo: ",ISNUMBER(SEARCH("|"&amp;MID('Consulta de contratos'!$K$2,8,120)&amp;"|",AF899)))),OR('Consulta de contratos'!$K$3="",C899='Consulta de contratos'!$K$3),OR('Consulta de contratos'!$K$4="",D899='Consulta de contratos'!$K$4),OR('Consulta de contratos'!$K$5="",E899='Consulta de contratos'!$K$5)),1,0)</f>
        <v>0</v>
      </c>
      <c r="W899">
        <f>IF(V899=1,SUM($V$2:V899),0)</f>
        <v>0</v>
      </c>
    </row>
    <row r="900" spans="22:23" x14ac:dyDescent="0.35">
      <c r="V900">
        <f>IF(AND(SUM(IF('Consulta de contratos'!$K$1="",0,1),IF('Consulta de contratos'!$K$2="",0,1),IF('Consulta de contratos'!$K$3="",0,1),IF('Consulta de contratos'!$K$4="",0,1),IF('Consulta de contratos'!$K$5="",0,1))&gt;0,OR('Consulta de contratos'!$K$1="",A900='Consulta de contratos'!$K$1),OR('Consulta de contratos'!$K$2="",I900='Consulta de contratos'!$K$2,AND(LEFT('Consulta de contratos'!$K$2,7)="Grupo: ",ISNUMBER(SEARCH("|"&amp;MID('Consulta de contratos'!$K$2,8,120)&amp;"|",AF900)))),OR('Consulta de contratos'!$K$3="",C900='Consulta de contratos'!$K$3),OR('Consulta de contratos'!$K$4="",D900='Consulta de contratos'!$K$4),OR('Consulta de contratos'!$K$5="",E900='Consulta de contratos'!$K$5)),1,0)</f>
        <v>0</v>
      </c>
      <c r="W900">
        <f>IF(V900=1,SUM($V$2:V900),0)</f>
        <v>0</v>
      </c>
    </row>
    <row r="901" spans="22:23" x14ac:dyDescent="0.35">
      <c r="V901">
        <f>IF(AND(SUM(IF('Consulta de contratos'!$K$1="",0,1),IF('Consulta de contratos'!$K$2="",0,1),IF('Consulta de contratos'!$K$3="",0,1),IF('Consulta de contratos'!$K$4="",0,1),IF('Consulta de contratos'!$K$5="",0,1))&gt;0,OR('Consulta de contratos'!$K$1="",A901='Consulta de contratos'!$K$1),OR('Consulta de contratos'!$K$2="",I901='Consulta de contratos'!$K$2,AND(LEFT('Consulta de contratos'!$K$2,7)="Grupo: ",ISNUMBER(SEARCH("|"&amp;MID('Consulta de contratos'!$K$2,8,120)&amp;"|",AF901)))),OR('Consulta de contratos'!$K$3="",C901='Consulta de contratos'!$K$3),OR('Consulta de contratos'!$K$4="",D901='Consulta de contratos'!$K$4),OR('Consulta de contratos'!$K$5="",E901='Consulta de contratos'!$K$5)),1,0)</f>
        <v>0</v>
      </c>
      <c r="W901">
        <f>IF(V901=1,SUM($V$2:V901),0)</f>
        <v>0</v>
      </c>
    </row>
    <row r="902" spans="22:23" x14ac:dyDescent="0.35">
      <c r="V902">
        <f>IF(AND(SUM(IF('Consulta de contratos'!$K$1="",0,1),IF('Consulta de contratos'!$K$2="",0,1),IF('Consulta de contratos'!$K$3="",0,1),IF('Consulta de contratos'!$K$4="",0,1),IF('Consulta de contratos'!$K$5="",0,1))&gt;0,OR('Consulta de contratos'!$K$1="",A902='Consulta de contratos'!$K$1),OR('Consulta de contratos'!$K$2="",I902='Consulta de contratos'!$K$2,AND(LEFT('Consulta de contratos'!$K$2,7)="Grupo: ",ISNUMBER(SEARCH("|"&amp;MID('Consulta de contratos'!$K$2,8,120)&amp;"|",AF902)))),OR('Consulta de contratos'!$K$3="",C902='Consulta de contratos'!$K$3),OR('Consulta de contratos'!$K$4="",D902='Consulta de contratos'!$K$4),OR('Consulta de contratos'!$K$5="",E902='Consulta de contratos'!$K$5)),1,0)</f>
        <v>0</v>
      </c>
      <c r="W902">
        <f>IF(V902=1,SUM($V$2:V902),0)</f>
        <v>0</v>
      </c>
    </row>
    <row r="903" spans="22:23" x14ac:dyDescent="0.35">
      <c r="V903">
        <f>IF(AND(SUM(IF('Consulta de contratos'!$K$1="",0,1),IF('Consulta de contratos'!$K$2="",0,1),IF('Consulta de contratos'!$K$3="",0,1),IF('Consulta de contratos'!$K$4="",0,1),IF('Consulta de contratos'!$K$5="",0,1))&gt;0,OR('Consulta de contratos'!$K$1="",A903='Consulta de contratos'!$K$1),OR('Consulta de contratos'!$K$2="",I903='Consulta de contratos'!$K$2,AND(LEFT('Consulta de contratos'!$K$2,7)="Grupo: ",ISNUMBER(SEARCH("|"&amp;MID('Consulta de contratos'!$K$2,8,120)&amp;"|",AF903)))),OR('Consulta de contratos'!$K$3="",C903='Consulta de contratos'!$K$3),OR('Consulta de contratos'!$K$4="",D903='Consulta de contratos'!$K$4),OR('Consulta de contratos'!$K$5="",E903='Consulta de contratos'!$K$5)),1,0)</f>
        <v>0</v>
      </c>
      <c r="W903">
        <f>IF(V903=1,SUM($V$2:V903),0)</f>
        <v>0</v>
      </c>
    </row>
    <row r="904" spans="22:23" x14ac:dyDescent="0.35">
      <c r="V904">
        <f>IF(AND(SUM(IF('Consulta de contratos'!$K$1="",0,1),IF('Consulta de contratos'!$K$2="",0,1),IF('Consulta de contratos'!$K$3="",0,1),IF('Consulta de contratos'!$K$4="",0,1),IF('Consulta de contratos'!$K$5="",0,1))&gt;0,OR('Consulta de contratos'!$K$1="",A904='Consulta de contratos'!$K$1),OR('Consulta de contratos'!$K$2="",I904='Consulta de contratos'!$K$2,AND(LEFT('Consulta de contratos'!$K$2,7)="Grupo: ",ISNUMBER(SEARCH("|"&amp;MID('Consulta de contratos'!$K$2,8,120)&amp;"|",AF904)))),OR('Consulta de contratos'!$K$3="",C904='Consulta de contratos'!$K$3),OR('Consulta de contratos'!$K$4="",D904='Consulta de contratos'!$K$4),OR('Consulta de contratos'!$K$5="",E904='Consulta de contratos'!$K$5)),1,0)</f>
        <v>0</v>
      </c>
      <c r="W904">
        <f>IF(V904=1,SUM($V$2:V904),0)</f>
        <v>0</v>
      </c>
    </row>
    <row r="905" spans="22:23" x14ac:dyDescent="0.35">
      <c r="V905">
        <f>IF(AND(SUM(IF('Consulta de contratos'!$K$1="",0,1),IF('Consulta de contratos'!$K$2="",0,1),IF('Consulta de contratos'!$K$3="",0,1),IF('Consulta de contratos'!$K$4="",0,1),IF('Consulta de contratos'!$K$5="",0,1))&gt;0,OR('Consulta de contratos'!$K$1="",A905='Consulta de contratos'!$K$1),OR('Consulta de contratos'!$K$2="",I905='Consulta de contratos'!$K$2,AND(LEFT('Consulta de contratos'!$K$2,7)="Grupo: ",ISNUMBER(SEARCH("|"&amp;MID('Consulta de contratos'!$K$2,8,120)&amp;"|",AF905)))),OR('Consulta de contratos'!$K$3="",C905='Consulta de contratos'!$K$3),OR('Consulta de contratos'!$K$4="",D905='Consulta de contratos'!$K$4),OR('Consulta de contratos'!$K$5="",E905='Consulta de contratos'!$K$5)),1,0)</f>
        <v>0</v>
      </c>
      <c r="W905">
        <f>IF(V905=1,SUM($V$2:V905),0)</f>
        <v>0</v>
      </c>
    </row>
    <row r="906" spans="22:23" x14ac:dyDescent="0.35">
      <c r="V906">
        <f>IF(AND(SUM(IF('Consulta de contratos'!$K$1="",0,1),IF('Consulta de contratos'!$K$2="",0,1),IF('Consulta de contratos'!$K$3="",0,1),IF('Consulta de contratos'!$K$4="",0,1),IF('Consulta de contratos'!$K$5="",0,1))&gt;0,OR('Consulta de contratos'!$K$1="",A906='Consulta de contratos'!$K$1),OR('Consulta de contratos'!$K$2="",I906='Consulta de contratos'!$K$2,AND(LEFT('Consulta de contratos'!$K$2,7)="Grupo: ",ISNUMBER(SEARCH("|"&amp;MID('Consulta de contratos'!$K$2,8,120)&amp;"|",AF906)))),OR('Consulta de contratos'!$K$3="",C906='Consulta de contratos'!$K$3),OR('Consulta de contratos'!$K$4="",D906='Consulta de contratos'!$K$4),OR('Consulta de contratos'!$K$5="",E906='Consulta de contratos'!$K$5)),1,0)</f>
        <v>0</v>
      </c>
      <c r="W906">
        <f>IF(V906=1,SUM($V$2:V906),0)</f>
        <v>0</v>
      </c>
    </row>
    <row r="907" spans="22:23" x14ac:dyDescent="0.35">
      <c r="V907">
        <f>IF(AND(SUM(IF('Consulta de contratos'!$K$1="",0,1),IF('Consulta de contratos'!$K$2="",0,1),IF('Consulta de contratos'!$K$3="",0,1),IF('Consulta de contratos'!$K$4="",0,1),IF('Consulta de contratos'!$K$5="",0,1))&gt;0,OR('Consulta de contratos'!$K$1="",A907='Consulta de contratos'!$K$1),OR('Consulta de contratos'!$K$2="",I907='Consulta de contratos'!$K$2,AND(LEFT('Consulta de contratos'!$K$2,7)="Grupo: ",ISNUMBER(SEARCH("|"&amp;MID('Consulta de contratos'!$K$2,8,120)&amp;"|",AF907)))),OR('Consulta de contratos'!$K$3="",C907='Consulta de contratos'!$K$3),OR('Consulta de contratos'!$K$4="",D907='Consulta de contratos'!$K$4),OR('Consulta de contratos'!$K$5="",E907='Consulta de contratos'!$K$5)),1,0)</f>
        <v>0</v>
      </c>
      <c r="W907">
        <f>IF(V907=1,SUM($V$2:V907),0)</f>
        <v>0</v>
      </c>
    </row>
    <row r="908" spans="22:23" x14ac:dyDescent="0.35">
      <c r="V908">
        <f>IF(AND(SUM(IF('Consulta de contratos'!$K$1="",0,1),IF('Consulta de contratos'!$K$2="",0,1),IF('Consulta de contratos'!$K$3="",0,1),IF('Consulta de contratos'!$K$4="",0,1),IF('Consulta de contratos'!$K$5="",0,1))&gt;0,OR('Consulta de contratos'!$K$1="",A908='Consulta de contratos'!$K$1),OR('Consulta de contratos'!$K$2="",I908='Consulta de contratos'!$K$2,AND(LEFT('Consulta de contratos'!$K$2,7)="Grupo: ",ISNUMBER(SEARCH("|"&amp;MID('Consulta de contratos'!$K$2,8,120)&amp;"|",AF908)))),OR('Consulta de contratos'!$K$3="",C908='Consulta de contratos'!$K$3),OR('Consulta de contratos'!$K$4="",D908='Consulta de contratos'!$K$4),OR('Consulta de contratos'!$K$5="",E908='Consulta de contratos'!$K$5)),1,0)</f>
        <v>0</v>
      </c>
      <c r="W908">
        <f>IF(V908=1,SUM($V$2:V908),0)</f>
        <v>0</v>
      </c>
    </row>
    <row r="909" spans="22:23" x14ac:dyDescent="0.35">
      <c r="V909">
        <f>IF(AND(SUM(IF('Consulta de contratos'!$K$1="",0,1),IF('Consulta de contratos'!$K$2="",0,1),IF('Consulta de contratos'!$K$3="",0,1),IF('Consulta de contratos'!$K$4="",0,1),IF('Consulta de contratos'!$K$5="",0,1))&gt;0,OR('Consulta de contratos'!$K$1="",A909='Consulta de contratos'!$K$1),OR('Consulta de contratos'!$K$2="",I909='Consulta de contratos'!$K$2,AND(LEFT('Consulta de contratos'!$K$2,7)="Grupo: ",ISNUMBER(SEARCH("|"&amp;MID('Consulta de contratos'!$K$2,8,120)&amp;"|",AF909)))),OR('Consulta de contratos'!$K$3="",C909='Consulta de contratos'!$K$3),OR('Consulta de contratos'!$K$4="",D909='Consulta de contratos'!$K$4),OR('Consulta de contratos'!$K$5="",E909='Consulta de contratos'!$K$5)),1,0)</f>
        <v>0</v>
      </c>
      <c r="W909">
        <f>IF(V909=1,SUM($V$2:V909),0)</f>
        <v>0</v>
      </c>
    </row>
    <row r="910" spans="22:23" x14ac:dyDescent="0.35">
      <c r="V910">
        <f>IF(AND(SUM(IF('Consulta de contratos'!$K$1="",0,1),IF('Consulta de contratos'!$K$2="",0,1),IF('Consulta de contratos'!$K$3="",0,1),IF('Consulta de contratos'!$K$4="",0,1),IF('Consulta de contratos'!$K$5="",0,1))&gt;0,OR('Consulta de contratos'!$K$1="",A910='Consulta de contratos'!$K$1),OR('Consulta de contratos'!$K$2="",I910='Consulta de contratos'!$K$2,AND(LEFT('Consulta de contratos'!$K$2,7)="Grupo: ",ISNUMBER(SEARCH("|"&amp;MID('Consulta de contratos'!$K$2,8,120)&amp;"|",AF910)))),OR('Consulta de contratos'!$K$3="",C910='Consulta de contratos'!$K$3),OR('Consulta de contratos'!$K$4="",D910='Consulta de contratos'!$K$4),OR('Consulta de contratos'!$K$5="",E910='Consulta de contratos'!$K$5)),1,0)</f>
        <v>0</v>
      </c>
      <c r="W910">
        <f>IF(V910=1,SUM($V$2:V910),0)</f>
        <v>0</v>
      </c>
    </row>
    <row r="911" spans="22:23" x14ac:dyDescent="0.35">
      <c r="V911">
        <f>IF(AND(SUM(IF('Consulta de contratos'!$K$1="",0,1),IF('Consulta de contratos'!$K$2="",0,1),IF('Consulta de contratos'!$K$3="",0,1),IF('Consulta de contratos'!$K$4="",0,1),IF('Consulta de contratos'!$K$5="",0,1))&gt;0,OR('Consulta de contratos'!$K$1="",A911='Consulta de contratos'!$K$1),OR('Consulta de contratos'!$K$2="",I911='Consulta de contratos'!$K$2,AND(LEFT('Consulta de contratos'!$K$2,7)="Grupo: ",ISNUMBER(SEARCH("|"&amp;MID('Consulta de contratos'!$K$2,8,120)&amp;"|",AF911)))),OR('Consulta de contratos'!$K$3="",C911='Consulta de contratos'!$K$3),OR('Consulta de contratos'!$K$4="",D911='Consulta de contratos'!$K$4),OR('Consulta de contratos'!$K$5="",E911='Consulta de contratos'!$K$5)),1,0)</f>
        <v>0</v>
      </c>
      <c r="W911">
        <f>IF(V911=1,SUM($V$2:V911),0)</f>
        <v>0</v>
      </c>
    </row>
    <row r="912" spans="22:23" x14ac:dyDescent="0.35">
      <c r="V912">
        <f>IF(AND(SUM(IF('Consulta de contratos'!$K$1="",0,1),IF('Consulta de contratos'!$K$2="",0,1),IF('Consulta de contratos'!$K$3="",0,1),IF('Consulta de contratos'!$K$4="",0,1),IF('Consulta de contratos'!$K$5="",0,1))&gt;0,OR('Consulta de contratos'!$K$1="",A912='Consulta de contratos'!$K$1),OR('Consulta de contratos'!$K$2="",I912='Consulta de contratos'!$K$2,AND(LEFT('Consulta de contratos'!$K$2,7)="Grupo: ",ISNUMBER(SEARCH("|"&amp;MID('Consulta de contratos'!$K$2,8,120)&amp;"|",AF912)))),OR('Consulta de contratos'!$K$3="",C912='Consulta de contratos'!$K$3),OR('Consulta de contratos'!$K$4="",D912='Consulta de contratos'!$K$4),OR('Consulta de contratos'!$K$5="",E912='Consulta de contratos'!$K$5)),1,0)</f>
        <v>0</v>
      </c>
      <c r="W912">
        <f>IF(V912=1,SUM($V$2:V912),0)</f>
        <v>0</v>
      </c>
    </row>
    <row r="913" spans="22:23" x14ac:dyDescent="0.35">
      <c r="V913">
        <f>IF(AND(SUM(IF('Consulta de contratos'!$K$1="",0,1),IF('Consulta de contratos'!$K$2="",0,1),IF('Consulta de contratos'!$K$3="",0,1),IF('Consulta de contratos'!$K$4="",0,1),IF('Consulta de contratos'!$K$5="",0,1))&gt;0,OR('Consulta de contratos'!$K$1="",A913='Consulta de contratos'!$K$1),OR('Consulta de contratos'!$K$2="",I913='Consulta de contratos'!$K$2,AND(LEFT('Consulta de contratos'!$K$2,7)="Grupo: ",ISNUMBER(SEARCH("|"&amp;MID('Consulta de contratos'!$K$2,8,120)&amp;"|",AF913)))),OR('Consulta de contratos'!$K$3="",C913='Consulta de contratos'!$K$3),OR('Consulta de contratos'!$K$4="",D913='Consulta de contratos'!$K$4),OR('Consulta de contratos'!$K$5="",E913='Consulta de contratos'!$K$5)),1,0)</f>
        <v>0</v>
      </c>
      <c r="W913">
        <f>IF(V913=1,SUM($V$2:V913),0)</f>
        <v>0</v>
      </c>
    </row>
    <row r="914" spans="22:23" x14ac:dyDescent="0.35">
      <c r="V914">
        <f>IF(AND(SUM(IF('Consulta de contratos'!$K$1="",0,1),IF('Consulta de contratos'!$K$2="",0,1),IF('Consulta de contratos'!$K$3="",0,1),IF('Consulta de contratos'!$K$4="",0,1),IF('Consulta de contratos'!$K$5="",0,1))&gt;0,OR('Consulta de contratos'!$K$1="",A914='Consulta de contratos'!$K$1),OR('Consulta de contratos'!$K$2="",I914='Consulta de contratos'!$K$2,AND(LEFT('Consulta de contratos'!$K$2,7)="Grupo: ",ISNUMBER(SEARCH("|"&amp;MID('Consulta de contratos'!$K$2,8,120)&amp;"|",AF914)))),OR('Consulta de contratos'!$K$3="",C914='Consulta de contratos'!$K$3),OR('Consulta de contratos'!$K$4="",D914='Consulta de contratos'!$K$4),OR('Consulta de contratos'!$K$5="",E914='Consulta de contratos'!$K$5)),1,0)</f>
        <v>0</v>
      </c>
      <c r="W914">
        <f>IF(V914=1,SUM($V$2:V914),0)</f>
        <v>0</v>
      </c>
    </row>
    <row r="915" spans="22:23" x14ac:dyDescent="0.35">
      <c r="V915">
        <f>IF(AND(SUM(IF('Consulta de contratos'!$K$1="",0,1),IF('Consulta de contratos'!$K$2="",0,1),IF('Consulta de contratos'!$K$3="",0,1),IF('Consulta de contratos'!$K$4="",0,1),IF('Consulta de contratos'!$K$5="",0,1))&gt;0,OR('Consulta de contratos'!$K$1="",A915='Consulta de contratos'!$K$1),OR('Consulta de contratos'!$K$2="",I915='Consulta de contratos'!$K$2,AND(LEFT('Consulta de contratos'!$K$2,7)="Grupo: ",ISNUMBER(SEARCH("|"&amp;MID('Consulta de contratos'!$K$2,8,120)&amp;"|",AF915)))),OR('Consulta de contratos'!$K$3="",C915='Consulta de contratos'!$K$3),OR('Consulta de contratos'!$K$4="",D915='Consulta de contratos'!$K$4),OR('Consulta de contratos'!$K$5="",E915='Consulta de contratos'!$K$5)),1,0)</f>
        <v>0</v>
      </c>
      <c r="W915">
        <f>IF(V915=1,SUM($V$2:V915),0)</f>
        <v>0</v>
      </c>
    </row>
    <row r="916" spans="22:23" x14ac:dyDescent="0.35">
      <c r="V916">
        <f>IF(AND(SUM(IF('Consulta de contratos'!$K$1="",0,1),IF('Consulta de contratos'!$K$2="",0,1),IF('Consulta de contratos'!$K$3="",0,1),IF('Consulta de contratos'!$K$4="",0,1),IF('Consulta de contratos'!$K$5="",0,1))&gt;0,OR('Consulta de contratos'!$K$1="",A916='Consulta de contratos'!$K$1),OR('Consulta de contratos'!$K$2="",I916='Consulta de contratos'!$K$2,AND(LEFT('Consulta de contratos'!$K$2,7)="Grupo: ",ISNUMBER(SEARCH("|"&amp;MID('Consulta de contratos'!$K$2,8,120)&amp;"|",AF916)))),OR('Consulta de contratos'!$K$3="",C916='Consulta de contratos'!$K$3),OR('Consulta de contratos'!$K$4="",D916='Consulta de contratos'!$K$4),OR('Consulta de contratos'!$K$5="",E916='Consulta de contratos'!$K$5)),1,0)</f>
        <v>0</v>
      </c>
      <c r="W916">
        <f>IF(V916=1,SUM($V$2:V916),0)</f>
        <v>0</v>
      </c>
    </row>
    <row r="917" spans="22:23" x14ac:dyDescent="0.35">
      <c r="V917">
        <f>IF(AND(SUM(IF('Consulta de contratos'!$K$1="",0,1),IF('Consulta de contratos'!$K$2="",0,1),IF('Consulta de contratos'!$K$3="",0,1),IF('Consulta de contratos'!$K$4="",0,1),IF('Consulta de contratos'!$K$5="",0,1))&gt;0,OR('Consulta de contratos'!$K$1="",A917='Consulta de contratos'!$K$1),OR('Consulta de contratos'!$K$2="",I917='Consulta de contratos'!$K$2,AND(LEFT('Consulta de contratos'!$K$2,7)="Grupo: ",ISNUMBER(SEARCH("|"&amp;MID('Consulta de contratos'!$K$2,8,120)&amp;"|",AF917)))),OR('Consulta de contratos'!$K$3="",C917='Consulta de contratos'!$K$3),OR('Consulta de contratos'!$K$4="",D917='Consulta de contratos'!$K$4),OR('Consulta de contratos'!$K$5="",E917='Consulta de contratos'!$K$5)),1,0)</f>
        <v>0</v>
      </c>
      <c r="W917">
        <f>IF(V917=1,SUM($V$2:V917),0)</f>
        <v>0</v>
      </c>
    </row>
    <row r="918" spans="22:23" x14ac:dyDescent="0.35">
      <c r="V918">
        <f>IF(AND(SUM(IF('Consulta de contratos'!$K$1="",0,1),IF('Consulta de contratos'!$K$2="",0,1),IF('Consulta de contratos'!$K$3="",0,1),IF('Consulta de contratos'!$K$4="",0,1),IF('Consulta de contratos'!$K$5="",0,1))&gt;0,OR('Consulta de contratos'!$K$1="",A918='Consulta de contratos'!$K$1),OR('Consulta de contratos'!$K$2="",I918='Consulta de contratos'!$K$2,AND(LEFT('Consulta de contratos'!$K$2,7)="Grupo: ",ISNUMBER(SEARCH("|"&amp;MID('Consulta de contratos'!$K$2,8,120)&amp;"|",AF918)))),OR('Consulta de contratos'!$K$3="",C918='Consulta de contratos'!$K$3),OR('Consulta de contratos'!$K$4="",D918='Consulta de contratos'!$K$4),OR('Consulta de contratos'!$K$5="",E918='Consulta de contratos'!$K$5)),1,0)</f>
        <v>0</v>
      </c>
      <c r="W918">
        <f>IF(V918=1,SUM($V$2:V918),0)</f>
        <v>0</v>
      </c>
    </row>
    <row r="919" spans="22:23" x14ac:dyDescent="0.35">
      <c r="V919">
        <f>IF(AND(SUM(IF('Consulta de contratos'!$K$1="",0,1),IF('Consulta de contratos'!$K$2="",0,1),IF('Consulta de contratos'!$K$3="",0,1),IF('Consulta de contratos'!$K$4="",0,1),IF('Consulta de contratos'!$K$5="",0,1))&gt;0,OR('Consulta de contratos'!$K$1="",A919='Consulta de contratos'!$K$1),OR('Consulta de contratos'!$K$2="",I919='Consulta de contratos'!$K$2,AND(LEFT('Consulta de contratos'!$K$2,7)="Grupo: ",ISNUMBER(SEARCH("|"&amp;MID('Consulta de contratos'!$K$2,8,120)&amp;"|",AF919)))),OR('Consulta de contratos'!$K$3="",C919='Consulta de contratos'!$K$3),OR('Consulta de contratos'!$K$4="",D919='Consulta de contratos'!$K$4),OR('Consulta de contratos'!$K$5="",E919='Consulta de contratos'!$K$5)),1,0)</f>
        <v>0</v>
      </c>
      <c r="W919">
        <f>IF(V919=1,SUM($V$2:V919),0)</f>
        <v>0</v>
      </c>
    </row>
    <row r="920" spans="22:23" x14ac:dyDescent="0.35">
      <c r="V920">
        <f>IF(AND(SUM(IF('Consulta de contratos'!$K$1="",0,1),IF('Consulta de contratos'!$K$2="",0,1),IF('Consulta de contratos'!$K$3="",0,1),IF('Consulta de contratos'!$K$4="",0,1),IF('Consulta de contratos'!$K$5="",0,1))&gt;0,OR('Consulta de contratos'!$K$1="",A920='Consulta de contratos'!$K$1),OR('Consulta de contratos'!$K$2="",I920='Consulta de contratos'!$K$2,AND(LEFT('Consulta de contratos'!$K$2,7)="Grupo: ",ISNUMBER(SEARCH("|"&amp;MID('Consulta de contratos'!$K$2,8,120)&amp;"|",AF920)))),OR('Consulta de contratos'!$K$3="",C920='Consulta de contratos'!$K$3),OR('Consulta de contratos'!$K$4="",D920='Consulta de contratos'!$K$4),OR('Consulta de contratos'!$K$5="",E920='Consulta de contratos'!$K$5)),1,0)</f>
        <v>0</v>
      </c>
      <c r="W920">
        <f>IF(V920=1,SUM($V$2:V920),0)</f>
        <v>0</v>
      </c>
    </row>
    <row r="921" spans="22:23" x14ac:dyDescent="0.35">
      <c r="V921">
        <f>IF(AND(SUM(IF('Consulta de contratos'!$K$1="",0,1),IF('Consulta de contratos'!$K$2="",0,1),IF('Consulta de contratos'!$K$3="",0,1),IF('Consulta de contratos'!$K$4="",0,1),IF('Consulta de contratos'!$K$5="",0,1))&gt;0,OR('Consulta de contratos'!$K$1="",A921='Consulta de contratos'!$K$1),OR('Consulta de contratos'!$K$2="",I921='Consulta de contratos'!$K$2,AND(LEFT('Consulta de contratos'!$K$2,7)="Grupo: ",ISNUMBER(SEARCH("|"&amp;MID('Consulta de contratos'!$K$2,8,120)&amp;"|",AF921)))),OR('Consulta de contratos'!$K$3="",C921='Consulta de contratos'!$K$3),OR('Consulta de contratos'!$K$4="",D921='Consulta de contratos'!$K$4),OR('Consulta de contratos'!$K$5="",E921='Consulta de contratos'!$K$5)),1,0)</f>
        <v>0</v>
      </c>
      <c r="W921">
        <f>IF(V921=1,SUM($V$2:V921),0)</f>
        <v>0</v>
      </c>
    </row>
    <row r="922" spans="22:23" x14ac:dyDescent="0.35">
      <c r="V922">
        <f>IF(AND(SUM(IF('Consulta de contratos'!$K$1="",0,1),IF('Consulta de contratos'!$K$2="",0,1),IF('Consulta de contratos'!$K$3="",0,1),IF('Consulta de contratos'!$K$4="",0,1),IF('Consulta de contratos'!$K$5="",0,1))&gt;0,OR('Consulta de contratos'!$K$1="",A922='Consulta de contratos'!$K$1),OR('Consulta de contratos'!$K$2="",I922='Consulta de contratos'!$K$2,AND(LEFT('Consulta de contratos'!$K$2,7)="Grupo: ",ISNUMBER(SEARCH("|"&amp;MID('Consulta de contratos'!$K$2,8,120)&amp;"|",AF922)))),OR('Consulta de contratos'!$K$3="",C922='Consulta de contratos'!$K$3),OR('Consulta de contratos'!$K$4="",D922='Consulta de contratos'!$K$4),OR('Consulta de contratos'!$K$5="",E922='Consulta de contratos'!$K$5)),1,0)</f>
        <v>0</v>
      </c>
      <c r="W922">
        <f>IF(V922=1,SUM($V$2:V922),0)</f>
        <v>0</v>
      </c>
    </row>
    <row r="923" spans="22:23" x14ac:dyDescent="0.35">
      <c r="V923">
        <f>IF(AND(SUM(IF('Consulta de contratos'!$K$1="",0,1),IF('Consulta de contratos'!$K$2="",0,1),IF('Consulta de contratos'!$K$3="",0,1),IF('Consulta de contratos'!$K$4="",0,1),IF('Consulta de contratos'!$K$5="",0,1))&gt;0,OR('Consulta de contratos'!$K$1="",A923='Consulta de contratos'!$K$1),OR('Consulta de contratos'!$K$2="",I923='Consulta de contratos'!$K$2,AND(LEFT('Consulta de contratos'!$K$2,7)="Grupo: ",ISNUMBER(SEARCH("|"&amp;MID('Consulta de contratos'!$K$2,8,120)&amp;"|",AF923)))),OR('Consulta de contratos'!$K$3="",C923='Consulta de contratos'!$K$3),OR('Consulta de contratos'!$K$4="",D923='Consulta de contratos'!$K$4),OR('Consulta de contratos'!$K$5="",E923='Consulta de contratos'!$K$5)),1,0)</f>
        <v>0</v>
      </c>
      <c r="W923">
        <f>IF(V923=1,SUM($V$2:V923),0)</f>
        <v>0</v>
      </c>
    </row>
    <row r="924" spans="22:23" x14ac:dyDescent="0.35">
      <c r="V924">
        <f>IF(AND(SUM(IF('Consulta de contratos'!$K$1="",0,1),IF('Consulta de contratos'!$K$2="",0,1),IF('Consulta de contratos'!$K$3="",0,1),IF('Consulta de contratos'!$K$4="",0,1),IF('Consulta de contratos'!$K$5="",0,1))&gt;0,OR('Consulta de contratos'!$K$1="",A924='Consulta de contratos'!$K$1),OR('Consulta de contratos'!$K$2="",I924='Consulta de contratos'!$K$2,AND(LEFT('Consulta de contratos'!$K$2,7)="Grupo: ",ISNUMBER(SEARCH("|"&amp;MID('Consulta de contratos'!$K$2,8,120)&amp;"|",AF924)))),OR('Consulta de contratos'!$K$3="",C924='Consulta de contratos'!$K$3),OR('Consulta de contratos'!$K$4="",D924='Consulta de contratos'!$K$4),OR('Consulta de contratos'!$K$5="",E924='Consulta de contratos'!$K$5)),1,0)</f>
        <v>0</v>
      </c>
      <c r="W924">
        <f>IF(V924=1,SUM($V$2:V924),0)</f>
        <v>0</v>
      </c>
    </row>
    <row r="925" spans="22:23" x14ac:dyDescent="0.35">
      <c r="V925">
        <f>IF(AND(SUM(IF('Consulta de contratos'!$K$1="",0,1),IF('Consulta de contratos'!$K$2="",0,1),IF('Consulta de contratos'!$K$3="",0,1),IF('Consulta de contratos'!$K$4="",0,1),IF('Consulta de contratos'!$K$5="",0,1))&gt;0,OR('Consulta de contratos'!$K$1="",A925='Consulta de contratos'!$K$1),OR('Consulta de contratos'!$K$2="",I925='Consulta de contratos'!$K$2,AND(LEFT('Consulta de contratos'!$K$2,7)="Grupo: ",ISNUMBER(SEARCH("|"&amp;MID('Consulta de contratos'!$K$2,8,120)&amp;"|",AF925)))),OR('Consulta de contratos'!$K$3="",C925='Consulta de contratos'!$K$3),OR('Consulta de contratos'!$K$4="",D925='Consulta de contratos'!$K$4),OR('Consulta de contratos'!$K$5="",E925='Consulta de contratos'!$K$5)),1,0)</f>
        <v>0</v>
      </c>
      <c r="W925">
        <f>IF(V925=1,SUM($V$2:V925),0)</f>
        <v>0</v>
      </c>
    </row>
    <row r="926" spans="22:23" x14ac:dyDescent="0.35">
      <c r="V926">
        <f>IF(AND(SUM(IF('Consulta de contratos'!$K$1="",0,1),IF('Consulta de contratos'!$K$2="",0,1),IF('Consulta de contratos'!$K$3="",0,1),IF('Consulta de contratos'!$K$4="",0,1),IF('Consulta de contratos'!$K$5="",0,1))&gt;0,OR('Consulta de contratos'!$K$1="",A926='Consulta de contratos'!$K$1),OR('Consulta de contratos'!$K$2="",I926='Consulta de contratos'!$K$2,AND(LEFT('Consulta de contratos'!$K$2,7)="Grupo: ",ISNUMBER(SEARCH("|"&amp;MID('Consulta de contratos'!$K$2,8,120)&amp;"|",AF926)))),OR('Consulta de contratos'!$K$3="",C926='Consulta de contratos'!$K$3),OR('Consulta de contratos'!$K$4="",D926='Consulta de contratos'!$K$4),OR('Consulta de contratos'!$K$5="",E926='Consulta de contratos'!$K$5)),1,0)</f>
        <v>0</v>
      </c>
      <c r="W926">
        <f>IF(V926=1,SUM($V$2:V926),0)</f>
        <v>0</v>
      </c>
    </row>
    <row r="927" spans="22:23" x14ac:dyDescent="0.35">
      <c r="V927">
        <f>IF(AND(SUM(IF('Consulta de contratos'!$K$1="",0,1),IF('Consulta de contratos'!$K$2="",0,1),IF('Consulta de contratos'!$K$3="",0,1),IF('Consulta de contratos'!$K$4="",0,1),IF('Consulta de contratos'!$K$5="",0,1))&gt;0,OR('Consulta de contratos'!$K$1="",A927='Consulta de contratos'!$K$1),OR('Consulta de contratos'!$K$2="",I927='Consulta de contratos'!$K$2,AND(LEFT('Consulta de contratos'!$K$2,7)="Grupo: ",ISNUMBER(SEARCH("|"&amp;MID('Consulta de contratos'!$K$2,8,120)&amp;"|",AF927)))),OR('Consulta de contratos'!$K$3="",C927='Consulta de contratos'!$K$3),OR('Consulta de contratos'!$K$4="",D927='Consulta de contratos'!$K$4),OR('Consulta de contratos'!$K$5="",E927='Consulta de contratos'!$K$5)),1,0)</f>
        <v>0</v>
      </c>
      <c r="W927">
        <f>IF(V927=1,SUM($V$2:V927),0)</f>
        <v>0</v>
      </c>
    </row>
    <row r="928" spans="22:23" x14ac:dyDescent="0.35">
      <c r="V928">
        <f>IF(AND(SUM(IF('Consulta de contratos'!$K$1="",0,1),IF('Consulta de contratos'!$K$2="",0,1),IF('Consulta de contratos'!$K$3="",0,1),IF('Consulta de contratos'!$K$4="",0,1),IF('Consulta de contratos'!$K$5="",0,1))&gt;0,OR('Consulta de contratos'!$K$1="",A928='Consulta de contratos'!$K$1),OR('Consulta de contratos'!$K$2="",I928='Consulta de contratos'!$K$2,AND(LEFT('Consulta de contratos'!$K$2,7)="Grupo: ",ISNUMBER(SEARCH("|"&amp;MID('Consulta de contratos'!$K$2,8,120)&amp;"|",AF928)))),OR('Consulta de contratos'!$K$3="",C928='Consulta de contratos'!$K$3),OR('Consulta de contratos'!$K$4="",D928='Consulta de contratos'!$K$4),OR('Consulta de contratos'!$K$5="",E928='Consulta de contratos'!$K$5)),1,0)</f>
        <v>0</v>
      </c>
      <c r="W928">
        <f>IF(V928=1,SUM($V$2:V928),0)</f>
        <v>0</v>
      </c>
    </row>
    <row r="929" spans="22:23" x14ac:dyDescent="0.35">
      <c r="V929">
        <f>IF(AND(SUM(IF('Consulta de contratos'!$K$1="",0,1),IF('Consulta de contratos'!$K$2="",0,1),IF('Consulta de contratos'!$K$3="",0,1),IF('Consulta de contratos'!$K$4="",0,1),IF('Consulta de contratos'!$K$5="",0,1))&gt;0,OR('Consulta de contratos'!$K$1="",A929='Consulta de contratos'!$K$1),OR('Consulta de contratos'!$K$2="",I929='Consulta de contratos'!$K$2,AND(LEFT('Consulta de contratos'!$K$2,7)="Grupo: ",ISNUMBER(SEARCH("|"&amp;MID('Consulta de contratos'!$K$2,8,120)&amp;"|",AF929)))),OR('Consulta de contratos'!$K$3="",C929='Consulta de contratos'!$K$3),OR('Consulta de contratos'!$K$4="",D929='Consulta de contratos'!$K$4),OR('Consulta de contratos'!$K$5="",E929='Consulta de contratos'!$K$5)),1,0)</f>
        <v>0</v>
      </c>
      <c r="W929">
        <f>IF(V929=1,SUM($V$2:V929),0)</f>
        <v>0</v>
      </c>
    </row>
    <row r="930" spans="22:23" x14ac:dyDescent="0.35">
      <c r="V930">
        <f>IF(AND(SUM(IF('Consulta de contratos'!$K$1="",0,1),IF('Consulta de contratos'!$K$2="",0,1),IF('Consulta de contratos'!$K$3="",0,1),IF('Consulta de contratos'!$K$4="",0,1),IF('Consulta de contratos'!$K$5="",0,1))&gt;0,OR('Consulta de contratos'!$K$1="",A930='Consulta de contratos'!$K$1),OR('Consulta de contratos'!$K$2="",I930='Consulta de contratos'!$K$2,AND(LEFT('Consulta de contratos'!$K$2,7)="Grupo: ",ISNUMBER(SEARCH("|"&amp;MID('Consulta de contratos'!$K$2,8,120)&amp;"|",AF930)))),OR('Consulta de contratos'!$K$3="",C930='Consulta de contratos'!$K$3),OR('Consulta de contratos'!$K$4="",D930='Consulta de contratos'!$K$4),OR('Consulta de contratos'!$K$5="",E930='Consulta de contratos'!$K$5)),1,0)</f>
        <v>0</v>
      </c>
      <c r="W930">
        <f>IF(V930=1,SUM($V$2:V930),0)</f>
        <v>0</v>
      </c>
    </row>
    <row r="931" spans="22:23" x14ac:dyDescent="0.35">
      <c r="V931">
        <f>IF(AND(SUM(IF('Consulta de contratos'!$K$1="",0,1),IF('Consulta de contratos'!$K$2="",0,1),IF('Consulta de contratos'!$K$3="",0,1),IF('Consulta de contratos'!$K$4="",0,1),IF('Consulta de contratos'!$K$5="",0,1))&gt;0,OR('Consulta de contratos'!$K$1="",A931='Consulta de contratos'!$K$1),OR('Consulta de contratos'!$K$2="",I931='Consulta de contratos'!$K$2,AND(LEFT('Consulta de contratos'!$K$2,7)="Grupo: ",ISNUMBER(SEARCH("|"&amp;MID('Consulta de contratos'!$K$2,8,120)&amp;"|",AF931)))),OR('Consulta de contratos'!$K$3="",C931='Consulta de contratos'!$K$3),OR('Consulta de contratos'!$K$4="",D931='Consulta de contratos'!$K$4),OR('Consulta de contratos'!$K$5="",E931='Consulta de contratos'!$K$5)),1,0)</f>
        <v>0</v>
      </c>
      <c r="W931">
        <f>IF(V931=1,SUM($V$2:V931),0)</f>
        <v>0</v>
      </c>
    </row>
    <row r="932" spans="22:23" x14ac:dyDescent="0.35">
      <c r="V932">
        <f>IF(AND(SUM(IF('Consulta de contratos'!$K$1="",0,1),IF('Consulta de contratos'!$K$2="",0,1),IF('Consulta de contratos'!$K$3="",0,1),IF('Consulta de contratos'!$K$4="",0,1),IF('Consulta de contratos'!$K$5="",0,1))&gt;0,OR('Consulta de contratos'!$K$1="",A932='Consulta de contratos'!$K$1),OR('Consulta de contratos'!$K$2="",I932='Consulta de contratos'!$K$2,AND(LEFT('Consulta de contratos'!$K$2,7)="Grupo: ",ISNUMBER(SEARCH("|"&amp;MID('Consulta de contratos'!$K$2,8,120)&amp;"|",AF932)))),OR('Consulta de contratos'!$K$3="",C932='Consulta de contratos'!$K$3),OR('Consulta de contratos'!$K$4="",D932='Consulta de contratos'!$K$4),OR('Consulta de contratos'!$K$5="",E932='Consulta de contratos'!$K$5)),1,0)</f>
        <v>0</v>
      </c>
      <c r="W932">
        <f>IF(V932=1,SUM($V$2:V932),0)</f>
        <v>0</v>
      </c>
    </row>
    <row r="933" spans="22:23" x14ac:dyDescent="0.35">
      <c r="V933">
        <f>IF(AND(SUM(IF('Consulta de contratos'!$K$1="",0,1),IF('Consulta de contratos'!$K$2="",0,1),IF('Consulta de contratos'!$K$3="",0,1),IF('Consulta de contratos'!$K$4="",0,1),IF('Consulta de contratos'!$K$5="",0,1))&gt;0,OR('Consulta de contratos'!$K$1="",A933='Consulta de contratos'!$K$1),OR('Consulta de contratos'!$K$2="",I933='Consulta de contratos'!$K$2,AND(LEFT('Consulta de contratos'!$K$2,7)="Grupo: ",ISNUMBER(SEARCH("|"&amp;MID('Consulta de contratos'!$K$2,8,120)&amp;"|",AF933)))),OR('Consulta de contratos'!$K$3="",C933='Consulta de contratos'!$K$3),OR('Consulta de contratos'!$K$4="",D933='Consulta de contratos'!$K$4),OR('Consulta de contratos'!$K$5="",E933='Consulta de contratos'!$K$5)),1,0)</f>
        <v>0</v>
      </c>
      <c r="W933">
        <f>IF(V933=1,SUM($V$2:V933),0)</f>
        <v>0</v>
      </c>
    </row>
    <row r="934" spans="22:23" x14ac:dyDescent="0.35">
      <c r="V934">
        <f>IF(AND(SUM(IF('Consulta de contratos'!$K$1="",0,1),IF('Consulta de contratos'!$K$2="",0,1),IF('Consulta de contratos'!$K$3="",0,1),IF('Consulta de contratos'!$K$4="",0,1),IF('Consulta de contratos'!$K$5="",0,1))&gt;0,OR('Consulta de contratos'!$K$1="",A934='Consulta de contratos'!$K$1),OR('Consulta de contratos'!$K$2="",I934='Consulta de contratos'!$K$2,AND(LEFT('Consulta de contratos'!$K$2,7)="Grupo: ",ISNUMBER(SEARCH("|"&amp;MID('Consulta de contratos'!$K$2,8,120)&amp;"|",AF934)))),OR('Consulta de contratos'!$K$3="",C934='Consulta de contratos'!$K$3),OR('Consulta de contratos'!$K$4="",D934='Consulta de contratos'!$K$4),OR('Consulta de contratos'!$K$5="",E934='Consulta de contratos'!$K$5)),1,0)</f>
        <v>0</v>
      </c>
      <c r="W934">
        <f>IF(V934=1,SUM($V$2:V934),0)</f>
        <v>0</v>
      </c>
    </row>
    <row r="935" spans="22:23" x14ac:dyDescent="0.35">
      <c r="V935">
        <f>IF(AND(SUM(IF('Consulta de contratos'!$K$1="",0,1),IF('Consulta de contratos'!$K$2="",0,1),IF('Consulta de contratos'!$K$3="",0,1),IF('Consulta de contratos'!$K$4="",0,1),IF('Consulta de contratos'!$K$5="",0,1))&gt;0,OR('Consulta de contratos'!$K$1="",A935='Consulta de contratos'!$K$1),OR('Consulta de contratos'!$K$2="",I935='Consulta de contratos'!$K$2,AND(LEFT('Consulta de contratos'!$K$2,7)="Grupo: ",ISNUMBER(SEARCH("|"&amp;MID('Consulta de contratos'!$K$2,8,120)&amp;"|",AF935)))),OR('Consulta de contratos'!$K$3="",C935='Consulta de contratos'!$K$3),OR('Consulta de contratos'!$K$4="",D935='Consulta de contratos'!$K$4),OR('Consulta de contratos'!$K$5="",E935='Consulta de contratos'!$K$5)),1,0)</f>
        <v>0</v>
      </c>
      <c r="W935">
        <f>IF(V935=1,SUM($V$2:V935),0)</f>
        <v>0</v>
      </c>
    </row>
    <row r="936" spans="22:23" x14ac:dyDescent="0.35">
      <c r="V936">
        <f>IF(AND(SUM(IF('Consulta de contratos'!$K$1="",0,1),IF('Consulta de contratos'!$K$2="",0,1),IF('Consulta de contratos'!$K$3="",0,1),IF('Consulta de contratos'!$K$4="",0,1),IF('Consulta de contratos'!$K$5="",0,1))&gt;0,OR('Consulta de contratos'!$K$1="",A936='Consulta de contratos'!$K$1),OR('Consulta de contratos'!$K$2="",I936='Consulta de contratos'!$K$2,AND(LEFT('Consulta de contratos'!$K$2,7)="Grupo: ",ISNUMBER(SEARCH("|"&amp;MID('Consulta de contratos'!$K$2,8,120)&amp;"|",AF936)))),OR('Consulta de contratos'!$K$3="",C936='Consulta de contratos'!$K$3),OR('Consulta de contratos'!$K$4="",D936='Consulta de contratos'!$K$4),OR('Consulta de contratos'!$K$5="",E936='Consulta de contratos'!$K$5)),1,0)</f>
        <v>0</v>
      </c>
      <c r="W936">
        <f>IF(V936=1,SUM($V$2:V936),0)</f>
        <v>0</v>
      </c>
    </row>
    <row r="937" spans="22:23" x14ac:dyDescent="0.35">
      <c r="V937">
        <f>IF(AND(SUM(IF('Consulta de contratos'!$K$1="",0,1),IF('Consulta de contratos'!$K$2="",0,1),IF('Consulta de contratos'!$K$3="",0,1),IF('Consulta de contratos'!$K$4="",0,1),IF('Consulta de contratos'!$K$5="",0,1))&gt;0,OR('Consulta de contratos'!$K$1="",A937='Consulta de contratos'!$K$1),OR('Consulta de contratos'!$K$2="",I937='Consulta de contratos'!$K$2,AND(LEFT('Consulta de contratos'!$K$2,7)="Grupo: ",ISNUMBER(SEARCH("|"&amp;MID('Consulta de contratos'!$K$2,8,120)&amp;"|",AF937)))),OR('Consulta de contratos'!$K$3="",C937='Consulta de contratos'!$K$3),OR('Consulta de contratos'!$K$4="",D937='Consulta de contratos'!$K$4),OR('Consulta de contratos'!$K$5="",E937='Consulta de contratos'!$K$5)),1,0)</f>
        <v>0</v>
      </c>
      <c r="W937">
        <f>IF(V937=1,SUM($V$2:V937),0)</f>
        <v>0</v>
      </c>
    </row>
    <row r="938" spans="22:23" x14ac:dyDescent="0.35">
      <c r="V938">
        <f>IF(AND(SUM(IF('Consulta de contratos'!$K$1="",0,1),IF('Consulta de contratos'!$K$2="",0,1),IF('Consulta de contratos'!$K$3="",0,1),IF('Consulta de contratos'!$K$4="",0,1),IF('Consulta de contratos'!$K$5="",0,1))&gt;0,OR('Consulta de contratos'!$K$1="",A938='Consulta de contratos'!$K$1),OR('Consulta de contratos'!$K$2="",I938='Consulta de contratos'!$K$2,AND(LEFT('Consulta de contratos'!$K$2,7)="Grupo: ",ISNUMBER(SEARCH("|"&amp;MID('Consulta de contratos'!$K$2,8,120)&amp;"|",AF938)))),OR('Consulta de contratos'!$K$3="",C938='Consulta de contratos'!$K$3),OR('Consulta de contratos'!$K$4="",D938='Consulta de contratos'!$K$4),OR('Consulta de contratos'!$K$5="",E938='Consulta de contratos'!$K$5)),1,0)</f>
        <v>0</v>
      </c>
      <c r="W938">
        <f>IF(V938=1,SUM($V$2:V938),0)</f>
        <v>0</v>
      </c>
    </row>
    <row r="939" spans="22:23" x14ac:dyDescent="0.35">
      <c r="V939">
        <f>IF(AND(SUM(IF('Consulta de contratos'!$K$1="",0,1),IF('Consulta de contratos'!$K$2="",0,1),IF('Consulta de contratos'!$K$3="",0,1),IF('Consulta de contratos'!$K$4="",0,1),IF('Consulta de contratos'!$K$5="",0,1))&gt;0,OR('Consulta de contratos'!$K$1="",A939='Consulta de contratos'!$K$1),OR('Consulta de contratos'!$K$2="",I939='Consulta de contratos'!$K$2,AND(LEFT('Consulta de contratos'!$K$2,7)="Grupo: ",ISNUMBER(SEARCH("|"&amp;MID('Consulta de contratos'!$K$2,8,120)&amp;"|",AF939)))),OR('Consulta de contratos'!$K$3="",C939='Consulta de contratos'!$K$3),OR('Consulta de contratos'!$K$4="",D939='Consulta de contratos'!$K$4),OR('Consulta de contratos'!$K$5="",E939='Consulta de contratos'!$K$5)),1,0)</f>
        <v>0</v>
      </c>
      <c r="W939">
        <f>IF(V939=1,SUM($V$2:V939),0)</f>
        <v>0</v>
      </c>
    </row>
    <row r="940" spans="22:23" x14ac:dyDescent="0.35">
      <c r="V940">
        <f>IF(AND(SUM(IF('Consulta de contratos'!$K$1="",0,1),IF('Consulta de contratos'!$K$2="",0,1),IF('Consulta de contratos'!$K$3="",0,1),IF('Consulta de contratos'!$K$4="",0,1),IF('Consulta de contratos'!$K$5="",0,1))&gt;0,OR('Consulta de contratos'!$K$1="",A940='Consulta de contratos'!$K$1),OR('Consulta de contratos'!$K$2="",I940='Consulta de contratos'!$K$2,AND(LEFT('Consulta de contratos'!$K$2,7)="Grupo: ",ISNUMBER(SEARCH("|"&amp;MID('Consulta de contratos'!$K$2,8,120)&amp;"|",AF940)))),OR('Consulta de contratos'!$K$3="",C940='Consulta de contratos'!$K$3),OR('Consulta de contratos'!$K$4="",D940='Consulta de contratos'!$K$4),OR('Consulta de contratos'!$K$5="",E940='Consulta de contratos'!$K$5)),1,0)</f>
        <v>0</v>
      </c>
      <c r="W940">
        <f>IF(V940=1,SUM($V$2:V940),0)</f>
        <v>0</v>
      </c>
    </row>
    <row r="941" spans="22:23" x14ac:dyDescent="0.35">
      <c r="V941">
        <f>IF(AND(SUM(IF('Consulta de contratos'!$K$1="",0,1),IF('Consulta de contratos'!$K$2="",0,1),IF('Consulta de contratos'!$K$3="",0,1),IF('Consulta de contratos'!$K$4="",0,1),IF('Consulta de contratos'!$K$5="",0,1))&gt;0,OR('Consulta de contratos'!$K$1="",A941='Consulta de contratos'!$K$1),OR('Consulta de contratos'!$K$2="",I941='Consulta de contratos'!$K$2,AND(LEFT('Consulta de contratos'!$K$2,7)="Grupo: ",ISNUMBER(SEARCH("|"&amp;MID('Consulta de contratos'!$K$2,8,120)&amp;"|",AF941)))),OR('Consulta de contratos'!$K$3="",C941='Consulta de contratos'!$K$3),OR('Consulta de contratos'!$K$4="",D941='Consulta de contratos'!$K$4),OR('Consulta de contratos'!$K$5="",E941='Consulta de contratos'!$K$5)),1,0)</f>
        <v>0</v>
      </c>
      <c r="W941">
        <f>IF(V941=1,SUM($V$2:V941),0)</f>
        <v>0</v>
      </c>
    </row>
    <row r="942" spans="22:23" x14ac:dyDescent="0.35">
      <c r="V942">
        <f>IF(AND(SUM(IF('Consulta de contratos'!$K$1="",0,1),IF('Consulta de contratos'!$K$2="",0,1),IF('Consulta de contratos'!$K$3="",0,1),IF('Consulta de contratos'!$K$4="",0,1),IF('Consulta de contratos'!$K$5="",0,1))&gt;0,OR('Consulta de contratos'!$K$1="",A942='Consulta de contratos'!$K$1),OR('Consulta de contratos'!$K$2="",I942='Consulta de contratos'!$K$2,AND(LEFT('Consulta de contratos'!$K$2,7)="Grupo: ",ISNUMBER(SEARCH("|"&amp;MID('Consulta de contratos'!$K$2,8,120)&amp;"|",AF942)))),OR('Consulta de contratos'!$K$3="",C942='Consulta de contratos'!$K$3),OR('Consulta de contratos'!$K$4="",D942='Consulta de contratos'!$K$4),OR('Consulta de contratos'!$K$5="",E942='Consulta de contratos'!$K$5)),1,0)</f>
        <v>0</v>
      </c>
      <c r="W942">
        <f>IF(V942=1,SUM($V$2:V942),0)</f>
        <v>0</v>
      </c>
    </row>
    <row r="943" spans="22:23" x14ac:dyDescent="0.35">
      <c r="V943">
        <f>IF(AND(SUM(IF('Consulta de contratos'!$K$1="",0,1),IF('Consulta de contratos'!$K$2="",0,1),IF('Consulta de contratos'!$K$3="",0,1),IF('Consulta de contratos'!$K$4="",0,1),IF('Consulta de contratos'!$K$5="",0,1))&gt;0,OR('Consulta de contratos'!$K$1="",A943='Consulta de contratos'!$K$1),OR('Consulta de contratos'!$K$2="",I943='Consulta de contratos'!$K$2,AND(LEFT('Consulta de contratos'!$K$2,7)="Grupo: ",ISNUMBER(SEARCH("|"&amp;MID('Consulta de contratos'!$K$2,8,120)&amp;"|",AF943)))),OR('Consulta de contratos'!$K$3="",C943='Consulta de contratos'!$K$3),OR('Consulta de contratos'!$K$4="",D943='Consulta de contratos'!$K$4),OR('Consulta de contratos'!$K$5="",E943='Consulta de contratos'!$K$5)),1,0)</f>
        <v>0</v>
      </c>
      <c r="W943">
        <f>IF(V943=1,SUM($V$2:V943),0)</f>
        <v>0</v>
      </c>
    </row>
    <row r="944" spans="22:23" x14ac:dyDescent="0.35">
      <c r="V944">
        <f>IF(AND(SUM(IF('Consulta de contratos'!$K$1="",0,1),IF('Consulta de contratos'!$K$2="",0,1),IF('Consulta de contratos'!$K$3="",0,1),IF('Consulta de contratos'!$K$4="",0,1),IF('Consulta de contratos'!$K$5="",0,1))&gt;0,OR('Consulta de contratos'!$K$1="",A944='Consulta de contratos'!$K$1),OR('Consulta de contratos'!$K$2="",I944='Consulta de contratos'!$K$2,AND(LEFT('Consulta de contratos'!$K$2,7)="Grupo: ",ISNUMBER(SEARCH("|"&amp;MID('Consulta de contratos'!$K$2,8,120)&amp;"|",AF944)))),OR('Consulta de contratos'!$K$3="",C944='Consulta de contratos'!$K$3),OR('Consulta de contratos'!$K$4="",D944='Consulta de contratos'!$K$4),OR('Consulta de contratos'!$K$5="",E944='Consulta de contratos'!$K$5)),1,0)</f>
        <v>0</v>
      </c>
      <c r="W944">
        <f>IF(V944=1,SUM($V$2:V944),0)</f>
        <v>0</v>
      </c>
    </row>
    <row r="945" spans="22:23" x14ac:dyDescent="0.35">
      <c r="V945">
        <f>IF(AND(SUM(IF('Consulta de contratos'!$K$1="",0,1),IF('Consulta de contratos'!$K$2="",0,1),IF('Consulta de contratos'!$K$3="",0,1),IF('Consulta de contratos'!$K$4="",0,1),IF('Consulta de contratos'!$K$5="",0,1))&gt;0,OR('Consulta de contratos'!$K$1="",A945='Consulta de contratos'!$K$1),OR('Consulta de contratos'!$K$2="",I945='Consulta de contratos'!$K$2,AND(LEFT('Consulta de contratos'!$K$2,7)="Grupo: ",ISNUMBER(SEARCH("|"&amp;MID('Consulta de contratos'!$K$2,8,120)&amp;"|",AF945)))),OR('Consulta de contratos'!$K$3="",C945='Consulta de contratos'!$K$3),OR('Consulta de contratos'!$K$4="",D945='Consulta de contratos'!$K$4),OR('Consulta de contratos'!$K$5="",E945='Consulta de contratos'!$K$5)),1,0)</f>
        <v>0</v>
      </c>
      <c r="W945">
        <f>IF(V945=1,SUM($V$2:V945),0)</f>
        <v>0</v>
      </c>
    </row>
    <row r="946" spans="22:23" x14ac:dyDescent="0.35">
      <c r="V946">
        <f>IF(AND(SUM(IF('Consulta de contratos'!$K$1="",0,1),IF('Consulta de contratos'!$K$2="",0,1),IF('Consulta de contratos'!$K$3="",0,1),IF('Consulta de contratos'!$K$4="",0,1),IF('Consulta de contratos'!$K$5="",0,1))&gt;0,OR('Consulta de contratos'!$K$1="",A946='Consulta de contratos'!$K$1),OR('Consulta de contratos'!$K$2="",I946='Consulta de contratos'!$K$2,AND(LEFT('Consulta de contratos'!$K$2,7)="Grupo: ",ISNUMBER(SEARCH("|"&amp;MID('Consulta de contratos'!$K$2,8,120)&amp;"|",AF946)))),OR('Consulta de contratos'!$K$3="",C946='Consulta de contratos'!$K$3),OR('Consulta de contratos'!$K$4="",D946='Consulta de contratos'!$K$4),OR('Consulta de contratos'!$K$5="",E946='Consulta de contratos'!$K$5)),1,0)</f>
        <v>0</v>
      </c>
      <c r="W946">
        <f>IF(V946=1,SUM($V$2:V946),0)</f>
        <v>0</v>
      </c>
    </row>
    <row r="947" spans="22:23" x14ac:dyDescent="0.35">
      <c r="V947">
        <f>IF(AND(SUM(IF('Consulta de contratos'!$K$1="",0,1),IF('Consulta de contratos'!$K$2="",0,1),IF('Consulta de contratos'!$K$3="",0,1),IF('Consulta de contratos'!$K$4="",0,1),IF('Consulta de contratos'!$K$5="",0,1))&gt;0,OR('Consulta de contratos'!$K$1="",A947='Consulta de contratos'!$K$1),OR('Consulta de contratos'!$K$2="",I947='Consulta de contratos'!$K$2,AND(LEFT('Consulta de contratos'!$K$2,7)="Grupo: ",ISNUMBER(SEARCH("|"&amp;MID('Consulta de contratos'!$K$2,8,120)&amp;"|",AF947)))),OR('Consulta de contratos'!$K$3="",C947='Consulta de contratos'!$K$3),OR('Consulta de contratos'!$K$4="",D947='Consulta de contratos'!$K$4),OR('Consulta de contratos'!$K$5="",E947='Consulta de contratos'!$K$5)),1,0)</f>
        <v>0</v>
      </c>
      <c r="W947">
        <f>IF(V947=1,SUM($V$2:V947),0)</f>
        <v>0</v>
      </c>
    </row>
    <row r="948" spans="22:23" x14ac:dyDescent="0.35">
      <c r="V948">
        <f>IF(AND(SUM(IF('Consulta de contratos'!$K$1="",0,1),IF('Consulta de contratos'!$K$2="",0,1),IF('Consulta de contratos'!$K$3="",0,1),IF('Consulta de contratos'!$K$4="",0,1),IF('Consulta de contratos'!$K$5="",0,1))&gt;0,OR('Consulta de contratos'!$K$1="",A948='Consulta de contratos'!$K$1),OR('Consulta de contratos'!$K$2="",I948='Consulta de contratos'!$K$2,AND(LEFT('Consulta de contratos'!$K$2,7)="Grupo: ",ISNUMBER(SEARCH("|"&amp;MID('Consulta de contratos'!$K$2,8,120)&amp;"|",AF948)))),OR('Consulta de contratos'!$K$3="",C948='Consulta de contratos'!$K$3),OR('Consulta de contratos'!$K$4="",D948='Consulta de contratos'!$K$4),OR('Consulta de contratos'!$K$5="",E948='Consulta de contratos'!$K$5)),1,0)</f>
        <v>0</v>
      </c>
      <c r="W948">
        <f>IF(V948=1,SUM($V$2:V948),0)</f>
        <v>0</v>
      </c>
    </row>
    <row r="949" spans="22:23" x14ac:dyDescent="0.35">
      <c r="V949">
        <f>IF(AND(SUM(IF('Consulta de contratos'!$K$1="",0,1),IF('Consulta de contratos'!$K$2="",0,1),IF('Consulta de contratos'!$K$3="",0,1),IF('Consulta de contratos'!$K$4="",0,1),IF('Consulta de contratos'!$K$5="",0,1))&gt;0,OR('Consulta de contratos'!$K$1="",A949='Consulta de contratos'!$K$1),OR('Consulta de contratos'!$K$2="",I949='Consulta de contratos'!$K$2,AND(LEFT('Consulta de contratos'!$K$2,7)="Grupo: ",ISNUMBER(SEARCH("|"&amp;MID('Consulta de contratos'!$K$2,8,120)&amp;"|",AF949)))),OR('Consulta de contratos'!$K$3="",C949='Consulta de contratos'!$K$3),OR('Consulta de contratos'!$K$4="",D949='Consulta de contratos'!$K$4),OR('Consulta de contratos'!$K$5="",E949='Consulta de contratos'!$K$5)),1,0)</f>
        <v>0</v>
      </c>
      <c r="W949">
        <f>IF(V949=1,SUM($V$2:V949),0)</f>
        <v>0</v>
      </c>
    </row>
    <row r="950" spans="22:23" x14ac:dyDescent="0.35">
      <c r="V950">
        <f>IF(AND(SUM(IF('Consulta de contratos'!$K$1="",0,1),IF('Consulta de contratos'!$K$2="",0,1),IF('Consulta de contratos'!$K$3="",0,1),IF('Consulta de contratos'!$K$4="",0,1),IF('Consulta de contratos'!$K$5="",0,1))&gt;0,OR('Consulta de contratos'!$K$1="",A950='Consulta de contratos'!$K$1),OR('Consulta de contratos'!$K$2="",I950='Consulta de contratos'!$K$2,AND(LEFT('Consulta de contratos'!$K$2,7)="Grupo: ",ISNUMBER(SEARCH("|"&amp;MID('Consulta de contratos'!$K$2,8,120)&amp;"|",AF950)))),OR('Consulta de contratos'!$K$3="",C950='Consulta de contratos'!$K$3),OR('Consulta de contratos'!$K$4="",D950='Consulta de contratos'!$K$4),OR('Consulta de contratos'!$K$5="",E950='Consulta de contratos'!$K$5)),1,0)</f>
        <v>0</v>
      </c>
      <c r="W950">
        <f>IF(V950=1,SUM($V$2:V950),0)</f>
        <v>0</v>
      </c>
    </row>
    <row r="951" spans="22:23" x14ac:dyDescent="0.35">
      <c r="V951">
        <f>IF(AND(SUM(IF('Consulta de contratos'!$K$1="",0,1),IF('Consulta de contratos'!$K$2="",0,1),IF('Consulta de contratos'!$K$3="",0,1),IF('Consulta de contratos'!$K$4="",0,1),IF('Consulta de contratos'!$K$5="",0,1))&gt;0,OR('Consulta de contratos'!$K$1="",A951='Consulta de contratos'!$K$1),OR('Consulta de contratos'!$K$2="",I951='Consulta de contratos'!$K$2,AND(LEFT('Consulta de contratos'!$K$2,7)="Grupo: ",ISNUMBER(SEARCH("|"&amp;MID('Consulta de contratos'!$K$2,8,120)&amp;"|",AF951)))),OR('Consulta de contratos'!$K$3="",C951='Consulta de contratos'!$K$3),OR('Consulta de contratos'!$K$4="",D951='Consulta de contratos'!$K$4),OR('Consulta de contratos'!$K$5="",E951='Consulta de contratos'!$K$5)),1,0)</f>
        <v>0</v>
      </c>
      <c r="W951">
        <f>IF(V951=1,SUM($V$2:V951),0)</f>
        <v>0</v>
      </c>
    </row>
    <row r="952" spans="22:23" x14ac:dyDescent="0.35">
      <c r="V952">
        <f>IF(AND(SUM(IF('Consulta de contratos'!$K$1="",0,1),IF('Consulta de contratos'!$K$2="",0,1),IF('Consulta de contratos'!$K$3="",0,1),IF('Consulta de contratos'!$K$4="",0,1),IF('Consulta de contratos'!$K$5="",0,1))&gt;0,OR('Consulta de contratos'!$K$1="",A952='Consulta de contratos'!$K$1),OR('Consulta de contratos'!$K$2="",I952='Consulta de contratos'!$K$2,AND(LEFT('Consulta de contratos'!$K$2,7)="Grupo: ",ISNUMBER(SEARCH("|"&amp;MID('Consulta de contratos'!$K$2,8,120)&amp;"|",AF952)))),OR('Consulta de contratos'!$K$3="",C952='Consulta de contratos'!$K$3),OR('Consulta de contratos'!$K$4="",D952='Consulta de contratos'!$K$4),OR('Consulta de contratos'!$K$5="",E952='Consulta de contratos'!$K$5)),1,0)</f>
        <v>0</v>
      </c>
      <c r="W952">
        <f>IF(V952=1,SUM($V$2:V952),0)</f>
        <v>0</v>
      </c>
    </row>
    <row r="953" spans="22:23" x14ac:dyDescent="0.35">
      <c r="V953">
        <f>IF(AND(SUM(IF('Consulta de contratos'!$K$1="",0,1),IF('Consulta de contratos'!$K$2="",0,1),IF('Consulta de contratos'!$K$3="",0,1),IF('Consulta de contratos'!$K$4="",0,1),IF('Consulta de contratos'!$K$5="",0,1))&gt;0,OR('Consulta de contratos'!$K$1="",A953='Consulta de contratos'!$K$1),OR('Consulta de contratos'!$K$2="",I953='Consulta de contratos'!$K$2,AND(LEFT('Consulta de contratos'!$K$2,7)="Grupo: ",ISNUMBER(SEARCH("|"&amp;MID('Consulta de contratos'!$K$2,8,120)&amp;"|",AF953)))),OR('Consulta de contratos'!$K$3="",C953='Consulta de contratos'!$K$3),OR('Consulta de contratos'!$K$4="",D953='Consulta de contratos'!$K$4),OR('Consulta de contratos'!$K$5="",E953='Consulta de contratos'!$K$5)),1,0)</f>
        <v>0</v>
      </c>
      <c r="W953">
        <f>IF(V953=1,SUM($V$2:V953),0)</f>
        <v>0</v>
      </c>
    </row>
    <row r="954" spans="22:23" x14ac:dyDescent="0.35">
      <c r="V954">
        <f>IF(AND(SUM(IF('Consulta de contratos'!$K$1="",0,1),IF('Consulta de contratos'!$K$2="",0,1),IF('Consulta de contratos'!$K$3="",0,1),IF('Consulta de contratos'!$K$4="",0,1),IF('Consulta de contratos'!$K$5="",0,1))&gt;0,OR('Consulta de contratos'!$K$1="",A954='Consulta de contratos'!$K$1),OR('Consulta de contratos'!$K$2="",I954='Consulta de contratos'!$K$2,AND(LEFT('Consulta de contratos'!$K$2,7)="Grupo: ",ISNUMBER(SEARCH("|"&amp;MID('Consulta de contratos'!$K$2,8,120)&amp;"|",AF954)))),OR('Consulta de contratos'!$K$3="",C954='Consulta de contratos'!$K$3),OR('Consulta de contratos'!$K$4="",D954='Consulta de contratos'!$K$4),OR('Consulta de contratos'!$K$5="",E954='Consulta de contratos'!$K$5)),1,0)</f>
        <v>0</v>
      </c>
      <c r="W954">
        <f>IF(V954=1,SUM($V$2:V954),0)</f>
        <v>0</v>
      </c>
    </row>
    <row r="955" spans="22:23" x14ac:dyDescent="0.35">
      <c r="V955">
        <f>IF(AND(SUM(IF('Consulta de contratos'!$K$1="",0,1),IF('Consulta de contratos'!$K$2="",0,1),IF('Consulta de contratos'!$K$3="",0,1),IF('Consulta de contratos'!$K$4="",0,1),IF('Consulta de contratos'!$K$5="",0,1))&gt;0,OR('Consulta de contratos'!$K$1="",A955='Consulta de contratos'!$K$1),OR('Consulta de contratos'!$K$2="",I955='Consulta de contratos'!$K$2,AND(LEFT('Consulta de contratos'!$K$2,7)="Grupo: ",ISNUMBER(SEARCH("|"&amp;MID('Consulta de contratos'!$K$2,8,120)&amp;"|",AF955)))),OR('Consulta de contratos'!$K$3="",C955='Consulta de contratos'!$K$3),OR('Consulta de contratos'!$K$4="",D955='Consulta de contratos'!$K$4),OR('Consulta de contratos'!$K$5="",E955='Consulta de contratos'!$K$5)),1,0)</f>
        <v>0</v>
      </c>
      <c r="W955">
        <f>IF(V955=1,SUM($V$2:V955),0)</f>
        <v>0</v>
      </c>
    </row>
    <row r="956" spans="22:23" x14ac:dyDescent="0.35">
      <c r="V956">
        <f>IF(AND(SUM(IF('Consulta de contratos'!$K$1="",0,1),IF('Consulta de contratos'!$K$2="",0,1),IF('Consulta de contratos'!$K$3="",0,1),IF('Consulta de contratos'!$K$4="",0,1),IF('Consulta de contratos'!$K$5="",0,1))&gt;0,OR('Consulta de contratos'!$K$1="",A956='Consulta de contratos'!$K$1),OR('Consulta de contratos'!$K$2="",I956='Consulta de contratos'!$K$2,AND(LEFT('Consulta de contratos'!$K$2,7)="Grupo: ",ISNUMBER(SEARCH("|"&amp;MID('Consulta de contratos'!$K$2,8,120)&amp;"|",AF956)))),OR('Consulta de contratos'!$K$3="",C956='Consulta de contratos'!$K$3),OR('Consulta de contratos'!$K$4="",D956='Consulta de contratos'!$K$4),OR('Consulta de contratos'!$K$5="",E956='Consulta de contratos'!$K$5)),1,0)</f>
        <v>0</v>
      </c>
      <c r="W956">
        <f>IF(V956=1,SUM($V$2:V956),0)</f>
        <v>0</v>
      </c>
    </row>
    <row r="957" spans="22:23" x14ac:dyDescent="0.35">
      <c r="V957">
        <f>IF(AND(SUM(IF('Consulta de contratos'!$K$1="",0,1),IF('Consulta de contratos'!$K$2="",0,1),IF('Consulta de contratos'!$K$3="",0,1),IF('Consulta de contratos'!$K$4="",0,1),IF('Consulta de contratos'!$K$5="",0,1))&gt;0,OR('Consulta de contratos'!$K$1="",A957='Consulta de contratos'!$K$1),OR('Consulta de contratos'!$K$2="",I957='Consulta de contratos'!$K$2,AND(LEFT('Consulta de contratos'!$K$2,7)="Grupo: ",ISNUMBER(SEARCH("|"&amp;MID('Consulta de contratos'!$K$2,8,120)&amp;"|",AF957)))),OR('Consulta de contratos'!$K$3="",C957='Consulta de contratos'!$K$3),OR('Consulta de contratos'!$K$4="",D957='Consulta de contratos'!$K$4),OR('Consulta de contratos'!$K$5="",E957='Consulta de contratos'!$K$5)),1,0)</f>
        <v>0</v>
      </c>
      <c r="W957">
        <f>IF(V957=1,SUM($V$2:V957),0)</f>
        <v>0</v>
      </c>
    </row>
    <row r="958" spans="22:23" x14ac:dyDescent="0.35">
      <c r="V958">
        <f>IF(AND(SUM(IF('Consulta de contratos'!$K$1="",0,1),IF('Consulta de contratos'!$K$2="",0,1),IF('Consulta de contratos'!$K$3="",0,1),IF('Consulta de contratos'!$K$4="",0,1),IF('Consulta de contratos'!$K$5="",0,1))&gt;0,OR('Consulta de contratos'!$K$1="",A958='Consulta de contratos'!$K$1),OR('Consulta de contratos'!$K$2="",I958='Consulta de contratos'!$K$2,AND(LEFT('Consulta de contratos'!$K$2,7)="Grupo: ",ISNUMBER(SEARCH("|"&amp;MID('Consulta de contratos'!$K$2,8,120)&amp;"|",AF958)))),OR('Consulta de contratos'!$K$3="",C958='Consulta de contratos'!$K$3),OR('Consulta de contratos'!$K$4="",D958='Consulta de contratos'!$K$4),OR('Consulta de contratos'!$K$5="",E958='Consulta de contratos'!$K$5)),1,0)</f>
        <v>0</v>
      </c>
      <c r="W958">
        <f>IF(V958=1,SUM($V$2:V958),0)</f>
        <v>0</v>
      </c>
    </row>
    <row r="959" spans="22:23" x14ac:dyDescent="0.35">
      <c r="V959">
        <f>IF(AND(SUM(IF('Consulta de contratos'!$K$1="",0,1),IF('Consulta de contratos'!$K$2="",0,1),IF('Consulta de contratos'!$K$3="",0,1),IF('Consulta de contratos'!$K$4="",0,1),IF('Consulta de contratos'!$K$5="",0,1))&gt;0,OR('Consulta de contratos'!$K$1="",A959='Consulta de contratos'!$K$1),OR('Consulta de contratos'!$K$2="",I959='Consulta de contratos'!$K$2,AND(LEFT('Consulta de contratos'!$K$2,7)="Grupo: ",ISNUMBER(SEARCH("|"&amp;MID('Consulta de contratos'!$K$2,8,120)&amp;"|",AF959)))),OR('Consulta de contratos'!$K$3="",C959='Consulta de contratos'!$K$3),OR('Consulta de contratos'!$K$4="",D959='Consulta de contratos'!$K$4),OR('Consulta de contratos'!$K$5="",E959='Consulta de contratos'!$K$5)),1,0)</f>
        <v>0</v>
      </c>
      <c r="W959">
        <f>IF(V959=1,SUM($V$2:V959),0)</f>
        <v>0</v>
      </c>
    </row>
    <row r="960" spans="22:23" x14ac:dyDescent="0.35">
      <c r="V960">
        <f>IF(AND(SUM(IF('Consulta de contratos'!$K$1="",0,1),IF('Consulta de contratos'!$K$2="",0,1),IF('Consulta de contratos'!$K$3="",0,1),IF('Consulta de contratos'!$K$4="",0,1),IF('Consulta de contratos'!$K$5="",0,1))&gt;0,OR('Consulta de contratos'!$K$1="",A960='Consulta de contratos'!$K$1),OR('Consulta de contratos'!$K$2="",I960='Consulta de contratos'!$K$2,AND(LEFT('Consulta de contratos'!$K$2,7)="Grupo: ",ISNUMBER(SEARCH("|"&amp;MID('Consulta de contratos'!$K$2,8,120)&amp;"|",AF960)))),OR('Consulta de contratos'!$K$3="",C960='Consulta de contratos'!$K$3),OR('Consulta de contratos'!$K$4="",D960='Consulta de contratos'!$K$4),OR('Consulta de contratos'!$K$5="",E960='Consulta de contratos'!$K$5)),1,0)</f>
        <v>0</v>
      </c>
      <c r="W960">
        <f>IF(V960=1,SUM($V$2:V960),0)</f>
        <v>0</v>
      </c>
    </row>
    <row r="961" spans="22:23" x14ac:dyDescent="0.35">
      <c r="V961">
        <f>IF(AND(SUM(IF('Consulta de contratos'!$K$1="",0,1),IF('Consulta de contratos'!$K$2="",0,1),IF('Consulta de contratos'!$K$3="",0,1),IF('Consulta de contratos'!$K$4="",0,1),IF('Consulta de contratos'!$K$5="",0,1))&gt;0,OR('Consulta de contratos'!$K$1="",A961='Consulta de contratos'!$K$1),OR('Consulta de contratos'!$K$2="",I961='Consulta de contratos'!$K$2,AND(LEFT('Consulta de contratos'!$K$2,7)="Grupo: ",ISNUMBER(SEARCH("|"&amp;MID('Consulta de contratos'!$K$2,8,120)&amp;"|",AF961)))),OR('Consulta de contratos'!$K$3="",C961='Consulta de contratos'!$K$3),OR('Consulta de contratos'!$K$4="",D961='Consulta de contratos'!$K$4),OR('Consulta de contratos'!$K$5="",E961='Consulta de contratos'!$K$5)),1,0)</f>
        <v>0</v>
      </c>
      <c r="W961">
        <f>IF(V961=1,SUM($V$2:V961),0)</f>
        <v>0</v>
      </c>
    </row>
    <row r="962" spans="22:23" x14ac:dyDescent="0.35">
      <c r="V962">
        <f>IF(AND(SUM(IF('Consulta de contratos'!$K$1="",0,1),IF('Consulta de contratos'!$K$2="",0,1),IF('Consulta de contratos'!$K$3="",0,1),IF('Consulta de contratos'!$K$4="",0,1),IF('Consulta de contratos'!$K$5="",0,1))&gt;0,OR('Consulta de contratos'!$K$1="",A962='Consulta de contratos'!$K$1),OR('Consulta de contratos'!$K$2="",I962='Consulta de contratos'!$K$2,AND(LEFT('Consulta de contratos'!$K$2,7)="Grupo: ",ISNUMBER(SEARCH("|"&amp;MID('Consulta de contratos'!$K$2,8,120)&amp;"|",AF962)))),OR('Consulta de contratos'!$K$3="",C962='Consulta de contratos'!$K$3),OR('Consulta de contratos'!$K$4="",D962='Consulta de contratos'!$K$4),OR('Consulta de contratos'!$K$5="",E962='Consulta de contratos'!$K$5)),1,0)</f>
        <v>0</v>
      </c>
      <c r="W962">
        <f>IF(V962=1,SUM($V$2:V962),0)</f>
        <v>0</v>
      </c>
    </row>
    <row r="963" spans="22:23" x14ac:dyDescent="0.35">
      <c r="V963">
        <f>IF(AND(SUM(IF('Consulta de contratos'!$K$1="",0,1),IF('Consulta de contratos'!$K$2="",0,1),IF('Consulta de contratos'!$K$3="",0,1),IF('Consulta de contratos'!$K$4="",0,1),IF('Consulta de contratos'!$K$5="",0,1))&gt;0,OR('Consulta de contratos'!$K$1="",A963='Consulta de contratos'!$K$1),OR('Consulta de contratos'!$K$2="",I963='Consulta de contratos'!$K$2,AND(LEFT('Consulta de contratos'!$K$2,7)="Grupo: ",ISNUMBER(SEARCH("|"&amp;MID('Consulta de contratos'!$K$2,8,120)&amp;"|",AF963)))),OR('Consulta de contratos'!$K$3="",C963='Consulta de contratos'!$K$3),OR('Consulta de contratos'!$K$4="",D963='Consulta de contratos'!$K$4),OR('Consulta de contratos'!$K$5="",E963='Consulta de contratos'!$K$5)),1,0)</f>
        <v>0</v>
      </c>
      <c r="W963">
        <f>IF(V963=1,SUM($V$2:V963),0)</f>
        <v>0</v>
      </c>
    </row>
    <row r="964" spans="22:23" x14ac:dyDescent="0.35">
      <c r="V964">
        <f>IF(AND(SUM(IF('Consulta de contratos'!$K$1="",0,1),IF('Consulta de contratos'!$K$2="",0,1),IF('Consulta de contratos'!$K$3="",0,1),IF('Consulta de contratos'!$K$4="",0,1),IF('Consulta de contratos'!$K$5="",0,1))&gt;0,OR('Consulta de contratos'!$K$1="",A964='Consulta de contratos'!$K$1),OR('Consulta de contratos'!$K$2="",I964='Consulta de contratos'!$K$2,AND(LEFT('Consulta de contratos'!$K$2,7)="Grupo: ",ISNUMBER(SEARCH("|"&amp;MID('Consulta de contratos'!$K$2,8,120)&amp;"|",AF964)))),OR('Consulta de contratos'!$K$3="",C964='Consulta de contratos'!$K$3),OR('Consulta de contratos'!$K$4="",D964='Consulta de contratos'!$K$4),OR('Consulta de contratos'!$K$5="",E964='Consulta de contratos'!$K$5)),1,0)</f>
        <v>0</v>
      </c>
      <c r="W964">
        <f>IF(V964=1,SUM($V$2:V964),0)</f>
        <v>0</v>
      </c>
    </row>
    <row r="965" spans="22:23" x14ac:dyDescent="0.35">
      <c r="V965">
        <f>IF(AND(SUM(IF('Consulta de contratos'!$K$1="",0,1),IF('Consulta de contratos'!$K$2="",0,1),IF('Consulta de contratos'!$K$3="",0,1),IF('Consulta de contratos'!$K$4="",0,1),IF('Consulta de contratos'!$K$5="",0,1))&gt;0,OR('Consulta de contratos'!$K$1="",A965='Consulta de contratos'!$K$1),OR('Consulta de contratos'!$K$2="",I965='Consulta de contratos'!$K$2,AND(LEFT('Consulta de contratos'!$K$2,7)="Grupo: ",ISNUMBER(SEARCH("|"&amp;MID('Consulta de contratos'!$K$2,8,120)&amp;"|",AF965)))),OR('Consulta de contratos'!$K$3="",C965='Consulta de contratos'!$K$3),OR('Consulta de contratos'!$K$4="",D965='Consulta de contratos'!$K$4),OR('Consulta de contratos'!$K$5="",E965='Consulta de contratos'!$K$5)),1,0)</f>
        <v>0</v>
      </c>
      <c r="W965">
        <f>IF(V965=1,SUM($V$2:V965),0)</f>
        <v>0</v>
      </c>
    </row>
    <row r="966" spans="22:23" x14ac:dyDescent="0.35">
      <c r="V966">
        <f>IF(AND(SUM(IF('Consulta de contratos'!$K$1="",0,1),IF('Consulta de contratos'!$K$2="",0,1),IF('Consulta de contratos'!$K$3="",0,1),IF('Consulta de contratos'!$K$4="",0,1),IF('Consulta de contratos'!$K$5="",0,1))&gt;0,OR('Consulta de contratos'!$K$1="",A966='Consulta de contratos'!$K$1),OR('Consulta de contratos'!$K$2="",I966='Consulta de contratos'!$K$2,AND(LEFT('Consulta de contratos'!$K$2,7)="Grupo: ",ISNUMBER(SEARCH("|"&amp;MID('Consulta de contratos'!$K$2,8,120)&amp;"|",AF966)))),OR('Consulta de contratos'!$K$3="",C966='Consulta de contratos'!$K$3),OR('Consulta de contratos'!$K$4="",D966='Consulta de contratos'!$K$4),OR('Consulta de contratos'!$K$5="",E966='Consulta de contratos'!$K$5)),1,0)</f>
        <v>0</v>
      </c>
      <c r="W966">
        <f>IF(V966=1,SUM($V$2:V966),0)</f>
        <v>0</v>
      </c>
    </row>
    <row r="967" spans="22:23" x14ac:dyDescent="0.35">
      <c r="V967">
        <f>IF(AND(SUM(IF('Consulta de contratos'!$K$1="",0,1),IF('Consulta de contratos'!$K$2="",0,1),IF('Consulta de contratos'!$K$3="",0,1),IF('Consulta de contratos'!$K$4="",0,1),IF('Consulta de contratos'!$K$5="",0,1))&gt;0,OR('Consulta de contratos'!$K$1="",A967='Consulta de contratos'!$K$1),OR('Consulta de contratos'!$K$2="",I967='Consulta de contratos'!$K$2,AND(LEFT('Consulta de contratos'!$K$2,7)="Grupo: ",ISNUMBER(SEARCH("|"&amp;MID('Consulta de contratos'!$K$2,8,120)&amp;"|",AF967)))),OR('Consulta de contratos'!$K$3="",C967='Consulta de contratos'!$K$3),OR('Consulta de contratos'!$K$4="",D967='Consulta de contratos'!$K$4),OR('Consulta de contratos'!$K$5="",E967='Consulta de contratos'!$K$5)),1,0)</f>
        <v>0</v>
      </c>
      <c r="W967">
        <f>IF(V967=1,SUM($V$2:V967),0)</f>
        <v>0</v>
      </c>
    </row>
    <row r="968" spans="22:23" x14ac:dyDescent="0.35">
      <c r="V968">
        <f>IF(AND(SUM(IF('Consulta de contratos'!$K$1="",0,1),IF('Consulta de contratos'!$K$2="",0,1),IF('Consulta de contratos'!$K$3="",0,1),IF('Consulta de contratos'!$K$4="",0,1),IF('Consulta de contratos'!$K$5="",0,1))&gt;0,OR('Consulta de contratos'!$K$1="",A968='Consulta de contratos'!$K$1),OR('Consulta de contratos'!$K$2="",I968='Consulta de contratos'!$K$2,AND(LEFT('Consulta de contratos'!$K$2,7)="Grupo: ",ISNUMBER(SEARCH("|"&amp;MID('Consulta de contratos'!$K$2,8,120)&amp;"|",AF968)))),OR('Consulta de contratos'!$K$3="",C968='Consulta de contratos'!$K$3),OR('Consulta de contratos'!$K$4="",D968='Consulta de contratos'!$K$4),OR('Consulta de contratos'!$K$5="",E968='Consulta de contratos'!$K$5)),1,0)</f>
        <v>0</v>
      </c>
      <c r="W968">
        <f>IF(V968=1,SUM($V$2:V968),0)</f>
        <v>0</v>
      </c>
    </row>
    <row r="969" spans="22:23" x14ac:dyDescent="0.35">
      <c r="V969">
        <f>IF(AND(SUM(IF('Consulta de contratos'!$K$1="",0,1),IF('Consulta de contratos'!$K$2="",0,1),IF('Consulta de contratos'!$K$3="",0,1),IF('Consulta de contratos'!$K$4="",0,1),IF('Consulta de contratos'!$K$5="",0,1))&gt;0,OR('Consulta de contratos'!$K$1="",A969='Consulta de contratos'!$K$1),OR('Consulta de contratos'!$K$2="",I969='Consulta de contratos'!$K$2,AND(LEFT('Consulta de contratos'!$K$2,7)="Grupo: ",ISNUMBER(SEARCH("|"&amp;MID('Consulta de contratos'!$K$2,8,120)&amp;"|",AF969)))),OR('Consulta de contratos'!$K$3="",C969='Consulta de contratos'!$K$3),OR('Consulta de contratos'!$K$4="",D969='Consulta de contratos'!$K$4),OR('Consulta de contratos'!$K$5="",E969='Consulta de contratos'!$K$5)),1,0)</f>
        <v>0</v>
      </c>
      <c r="W969">
        <f>IF(V969=1,SUM($V$2:V969),0)</f>
        <v>0</v>
      </c>
    </row>
    <row r="970" spans="22:23" x14ac:dyDescent="0.35">
      <c r="V970">
        <f>IF(AND(SUM(IF('Consulta de contratos'!$K$1="",0,1),IF('Consulta de contratos'!$K$2="",0,1),IF('Consulta de contratos'!$K$3="",0,1),IF('Consulta de contratos'!$K$4="",0,1),IF('Consulta de contratos'!$K$5="",0,1))&gt;0,OR('Consulta de contratos'!$K$1="",A970='Consulta de contratos'!$K$1),OR('Consulta de contratos'!$K$2="",I970='Consulta de contratos'!$K$2,AND(LEFT('Consulta de contratos'!$K$2,7)="Grupo: ",ISNUMBER(SEARCH("|"&amp;MID('Consulta de contratos'!$K$2,8,120)&amp;"|",AF970)))),OR('Consulta de contratos'!$K$3="",C970='Consulta de contratos'!$K$3),OR('Consulta de contratos'!$K$4="",D970='Consulta de contratos'!$K$4),OR('Consulta de contratos'!$K$5="",E970='Consulta de contratos'!$K$5)),1,0)</f>
        <v>0</v>
      </c>
      <c r="W970">
        <f>IF(V970=1,SUM($V$2:V970),0)</f>
        <v>0</v>
      </c>
    </row>
    <row r="971" spans="22:23" x14ac:dyDescent="0.35">
      <c r="V971">
        <f>IF(AND(SUM(IF('Consulta de contratos'!$K$1="",0,1),IF('Consulta de contratos'!$K$2="",0,1),IF('Consulta de contratos'!$K$3="",0,1),IF('Consulta de contratos'!$K$4="",0,1),IF('Consulta de contratos'!$K$5="",0,1))&gt;0,OR('Consulta de contratos'!$K$1="",A971='Consulta de contratos'!$K$1),OR('Consulta de contratos'!$K$2="",I971='Consulta de contratos'!$K$2,AND(LEFT('Consulta de contratos'!$K$2,7)="Grupo: ",ISNUMBER(SEARCH("|"&amp;MID('Consulta de contratos'!$K$2,8,120)&amp;"|",AF971)))),OR('Consulta de contratos'!$K$3="",C971='Consulta de contratos'!$K$3),OR('Consulta de contratos'!$K$4="",D971='Consulta de contratos'!$K$4),OR('Consulta de contratos'!$K$5="",E971='Consulta de contratos'!$K$5)),1,0)</f>
        <v>0</v>
      </c>
      <c r="W971">
        <f>IF(V971=1,SUM($V$2:V971),0)</f>
        <v>0</v>
      </c>
    </row>
    <row r="972" spans="22:23" x14ac:dyDescent="0.35">
      <c r="V972">
        <f>IF(AND(SUM(IF('Consulta de contratos'!$K$1="",0,1),IF('Consulta de contratos'!$K$2="",0,1),IF('Consulta de contratos'!$K$3="",0,1),IF('Consulta de contratos'!$K$4="",0,1),IF('Consulta de contratos'!$K$5="",0,1))&gt;0,OR('Consulta de contratos'!$K$1="",A972='Consulta de contratos'!$K$1),OR('Consulta de contratos'!$K$2="",I972='Consulta de contratos'!$K$2,AND(LEFT('Consulta de contratos'!$K$2,7)="Grupo: ",ISNUMBER(SEARCH("|"&amp;MID('Consulta de contratos'!$K$2,8,120)&amp;"|",AF972)))),OR('Consulta de contratos'!$K$3="",C972='Consulta de contratos'!$K$3),OR('Consulta de contratos'!$K$4="",D972='Consulta de contratos'!$K$4),OR('Consulta de contratos'!$K$5="",E972='Consulta de contratos'!$K$5)),1,0)</f>
        <v>0</v>
      </c>
      <c r="W972">
        <f>IF(V972=1,SUM($V$2:V972),0)</f>
        <v>0</v>
      </c>
    </row>
    <row r="973" spans="22:23" x14ac:dyDescent="0.35">
      <c r="V973">
        <f>IF(AND(SUM(IF('Consulta de contratos'!$K$1="",0,1),IF('Consulta de contratos'!$K$2="",0,1),IF('Consulta de contratos'!$K$3="",0,1),IF('Consulta de contratos'!$K$4="",0,1),IF('Consulta de contratos'!$K$5="",0,1))&gt;0,OR('Consulta de contratos'!$K$1="",A973='Consulta de contratos'!$K$1),OR('Consulta de contratos'!$K$2="",I973='Consulta de contratos'!$K$2,AND(LEFT('Consulta de contratos'!$K$2,7)="Grupo: ",ISNUMBER(SEARCH("|"&amp;MID('Consulta de contratos'!$K$2,8,120)&amp;"|",AF973)))),OR('Consulta de contratos'!$K$3="",C973='Consulta de contratos'!$K$3),OR('Consulta de contratos'!$K$4="",D973='Consulta de contratos'!$K$4),OR('Consulta de contratos'!$K$5="",E973='Consulta de contratos'!$K$5)),1,0)</f>
        <v>0</v>
      </c>
      <c r="W973">
        <f>IF(V973=1,SUM($V$2:V973),0)</f>
        <v>0</v>
      </c>
    </row>
    <row r="974" spans="22:23" x14ac:dyDescent="0.35">
      <c r="V974">
        <f>IF(AND(SUM(IF('Consulta de contratos'!$K$1="",0,1),IF('Consulta de contratos'!$K$2="",0,1),IF('Consulta de contratos'!$K$3="",0,1),IF('Consulta de contratos'!$K$4="",0,1),IF('Consulta de contratos'!$K$5="",0,1))&gt;0,OR('Consulta de contratos'!$K$1="",A974='Consulta de contratos'!$K$1),OR('Consulta de contratos'!$K$2="",I974='Consulta de contratos'!$K$2,AND(LEFT('Consulta de contratos'!$K$2,7)="Grupo: ",ISNUMBER(SEARCH("|"&amp;MID('Consulta de contratos'!$K$2,8,120)&amp;"|",AF974)))),OR('Consulta de contratos'!$K$3="",C974='Consulta de contratos'!$K$3),OR('Consulta de contratos'!$K$4="",D974='Consulta de contratos'!$K$4),OR('Consulta de contratos'!$K$5="",E974='Consulta de contratos'!$K$5)),1,0)</f>
        <v>0</v>
      </c>
      <c r="W974">
        <f>IF(V974=1,SUM($V$2:V974),0)</f>
        <v>0</v>
      </c>
    </row>
    <row r="975" spans="22:23" x14ac:dyDescent="0.35">
      <c r="V975">
        <f>IF(AND(SUM(IF('Consulta de contratos'!$K$1="",0,1),IF('Consulta de contratos'!$K$2="",0,1),IF('Consulta de contratos'!$K$3="",0,1),IF('Consulta de contratos'!$K$4="",0,1),IF('Consulta de contratos'!$K$5="",0,1))&gt;0,OR('Consulta de contratos'!$K$1="",A975='Consulta de contratos'!$K$1),OR('Consulta de contratos'!$K$2="",I975='Consulta de contratos'!$K$2,AND(LEFT('Consulta de contratos'!$K$2,7)="Grupo: ",ISNUMBER(SEARCH("|"&amp;MID('Consulta de contratos'!$K$2,8,120)&amp;"|",AF975)))),OR('Consulta de contratos'!$K$3="",C975='Consulta de contratos'!$K$3),OR('Consulta de contratos'!$K$4="",D975='Consulta de contratos'!$K$4),OR('Consulta de contratos'!$K$5="",E975='Consulta de contratos'!$K$5)),1,0)</f>
        <v>0</v>
      </c>
      <c r="W975">
        <f>IF(V975=1,SUM($V$2:V975),0)</f>
        <v>0</v>
      </c>
    </row>
    <row r="976" spans="22:23" x14ac:dyDescent="0.35">
      <c r="V976">
        <f>IF(AND(SUM(IF('Consulta de contratos'!$K$1="",0,1),IF('Consulta de contratos'!$K$2="",0,1),IF('Consulta de contratos'!$K$3="",0,1),IF('Consulta de contratos'!$K$4="",0,1),IF('Consulta de contratos'!$K$5="",0,1))&gt;0,OR('Consulta de contratos'!$K$1="",A976='Consulta de contratos'!$K$1),OR('Consulta de contratos'!$K$2="",I976='Consulta de contratos'!$K$2,AND(LEFT('Consulta de contratos'!$K$2,7)="Grupo: ",ISNUMBER(SEARCH("|"&amp;MID('Consulta de contratos'!$K$2,8,120)&amp;"|",AF976)))),OR('Consulta de contratos'!$K$3="",C976='Consulta de contratos'!$K$3),OR('Consulta de contratos'!$K$4="",D976='Consulta de contratos'!$K$4),OR('Consulta de contratos'!$K$5="",E976='Consulta de contratos'!$K$5)),1,0)</f>
        <v>0</v>
      </c>
      <c r="W976">
        <f>IF(V976=1,SUM($V$2:V976),0)</f>
        <v>0</v>
      </c>
    </row>
    <row r="977" spans="22:23" x14ac:dyDescent="0.35">
      <c r="V977">
        <f>IF(AND(SUM(IF('Consulta de contratos'!$K$1="",0,1),IF('Consulta de contratos'!$K$2="",0,1),IF('Consulta de contratos'!$K$3="",0,1),IF('Consulta de contratos'!$K$4="",0,1),IF('Consulta de contratos'!$K$5="",0,1))&gt;0,OR('Consulta de contratos'!$K$1="",A977='Consulta de contratos'!$K$1),OR('Consulta de contratos'!$K$2="",I977='Consulta de contratos'!$K$2,AND(LEFT('Consulta de contratos'!$K$2,7)="Grupo: ",ISNUMBER(SEARCH("|"&amp;MID('Consulta de contratos'!$K$2,8,120)&amp;"|",AF977)))),OR('Consulta de contratos'!$K$3="",C977='Consulta de contratos'!$K$3),OR('Consulta de contratos'!$K$4="",D977='Consulta de contratos'!$K$4),OR('Consulta de contratos'!$K$5="",E977='Consulta de contratos'!$K$5)),1,0)</f>
        <v>0</v>
      </c>
      <c r="W977">
        <f>IF(V977=1,SUM($V$2:V977),0)</f>
        <v>0</v>
      </c>
    </row>
    <row r="978" spans="22:23" x14ac:dyDescent="0.35">
      <c r="V978">
        <f>IF(AND(SUM(IF('Consulta de contratos'!$K$1="",0,1),IF('Consulta de contratos'!$K$2="",0,1),IF('Consulta de contratos'!$K$3="",0,1),IF('Consulta de contratos'!$K$4="",0,1),IF('Consulta de contratos'!$K$5="",0,1))&gt;0,OR('Consulta de contratos'!$K$1="",A978='Consulta de contratos'!$K$1),OR('Consulta de contratos'!$K$2="",I978='Consulta de contratos'!$K$2,AND(LEFT('Consulta de contratos'!$K$2,7)="Grupo: ",ISNUMBER(SEARCH("|"&amp;MID('Consulta de contratos'!$K$2,8,120)&amp;"|",AF978)))),OR('Consulta de contratos'!$K$3="",C978='Consulta de contratos'!$K$3),OR('Consulta de contratos'!$K$4="",D978='Consulta de contratos'!$K$4),OR('Consulta de contratos'!$K$5="",E978='Consulta de contratos'!$K$5)),1,0)</f>
        <v>0</v>
      </c>
      <c r="W978">
        <f>IF(V978=1,SUM($V$2:V978),0)</f>
        <v>0</v>
      </c>
    </row>
    <row r="979" spans="22:23" x14ac:dyDescent="0.35">
      <c r="V979">
        <f>IF(AND(SUM(IF('Consulta de contratos'!$K$1="",0,1),IF('Consulta de contratos'!$K$2="",0,1),IF('Consulta de contratos'!$K$3="",0,1),IF('Consulta de contratos'!$K$4="",0,1),IF('Consulta de contratos'!$K$5="",0,1))&gt;0,OR('Consulta de contratos'!$K$1="",A979='Consulta de contratos'!$K$1),OR('Consulta de contratos'!$K$2="",I979='Consulta de contratos'!$K$2,AND(LEFT('Consulta de contratos'!$K$2,7)="Grupo: ",ISNUMBER(SEARCH("|"&amp;MID('Consulta de contratos'!$K$2,8,120)&amp;"|",AF979)))),OR('Consulta de contratos'!$K$3="",C979='Consulta de contratos'!$K$3),OR('Consulta de contratos'!$K$4="",D979='Consulta de contratos'!$K$4),OR('Consulta de contratos'!$K$5="",E979='Consulta de contratos'!$K$5)),1,0)</f>
        <v>0</v>
      </c>
      <c r="W979">
        <f>IF(V979=1,SUM($V$2:V979),0)</f>
        <v>0</v>
      </c>
    </row>
    <row r="980" spans="22:23" x14ac:dyDescent="0.35">
      <c r="V980">
        <f>IF(AND(SUM(IF('Consulta de contratos'!$K$1="",0,1),IF('Consulta de contratos'!$K$2="",0,1),IF('Consulta de contratos'!$K$3="",0,1),IF('Consulta de contratos'!$K$4="",0,1),IF('Consulta de contratos'!$K$5="",0,1))&gt;0,OR('Consulta de contratos'!$K$1="",A980='Consulta de contratos'!$K$1),OR('Consulta de contratos'!$K$2="",I980='Consulta de contratos'!$K$2,AND(LEFT('Consulta de contratos'!$K$2,7)="Grupo: ",ISNUMBER(SEARCH("|"&amp;MID('Consulta de contratos'!$K$2,8,120)&amp;"|",AF980)))),OR('Consulta de contratos'!$K$3="",C980='Consulta de contratos'!$K$3),OR('Consulta de contratos'!$K$4="",D980='Consulta de contratos'!$K$4),OR('Consulta de contratos'!$K$5="",E980='Consulta de contratos'!$K$5)),1,0)</f>
        <v>0</v>
      </c>
      <c r="W980">
        <f>IF(V980=1,SUM($V$2:V980),0)</f>
        <v>0</v>
      </c>
    </row>
    <row r="981" spans="22:23" x14ac:dyDescent="0.35">
      <c r="V981">
        <f>IF(AND(SUM(IF('Consulta de contratos'!$K$1="",0,1),IF('Consulta de contratos'!$K$2="",0,1),IF('Consulta de contratos'!$K$3="",0,1),IF('Consulta de contratos'!$K$4="",0,1),IF('Consulta de contratos'!$K$5="",0,1))&gt;0,OR('Consulta de contratos'!$K$1="",A981='Consulta de contratos'!$K$1),OR('Consulta de contratos'!$K$2="",I981='Consulta de contratos'!$K$2,AND(LEFT('Consulta de contratos'!$K$2,7)="Grupo: ",ISNUMBER(SEARCH("|"&amp;MID('Consulta de contratos'!$K$2,8,120)&amp;"|",AF981)))),OR('Consulta de contratos'!$K$3="",C981='Consulta de contratos'!$K$3),OR('Consulta de contratos'!$K$4="",D981='Consulta de contratos'!$K$4),OR('Consulta de contratos'!$K$5="",E981='Consulta de contratos'!$K$5)),1,0)</f>
        <v>0</v>
      </c>
      <c r="W981">
        <f>IF(V981=1,SUM($V$2:V981),0)</f>
        <v>0</v>
      </c>
    </row>
    <row r="982" spans="22:23" x14ac:dyDescent="0.35">
      <c r="V982">
        <f>IF(AND(SUM(IF('Consulta de contratos'!$K$1="",0,1),IF('Consulta de contratos'!$K$2="",0,1),IF('Consulta de contratos'!$K$3="",0,1),IF('Consulta de contratos'!$K$4="",0,1),IF('Consulta de contratos'!$K$5="",0,1))&gt;0,OR('Consulta de contratos'!$K$1="",A982='Consulta de contratos'!$K$1),OR('Consulta de contratos'!$K$2="",I982='Consulta de contratos'!$K$2,AND(LEFT('Consulta de contratos'!$K$2,7)="Grupo: ",ISNUMBER(SEARCH("|"&amp;MID('Consulta de contratos'!$K$2,8,120)&amp;"|",AF982)))),OR('Consulta de contratos'!$K$3="",C982='Consulta de contratos'!$K$3),OR('Consulta de contratos'!$K$4="",D982='Consulta de contratos'!$K$4),OR('Consulta de contratos'!$K$5="",E982='Consulta de contratos'!$K$5)),1,0)</f>
        <v>0</v>
      </c>
      <c r="W982">
        <f>IF(V982=1,SUM($V$2:V982),0)</f>
        <v>0</v>
      </c>
    </row>
    <row r="983" spans="22:23" x14ac:dyDescent="0.35">
      <c r="V983">
        <f>IF(AND(SUM(IF('Consulta de contratos'!$K$1="",0,1),IF('Consulta de contratos'!$K$2="",0,1),IF('Consulta de contratos'!$K$3="",0,1),IF('Consulta de contratos'!$K$4="",0,1),IF('Consulta de contratos'!$K$5="",0,1))&gt;0,OR('Consulta de contratos'!$K$1="",A983='Consulta de contratos'!$K$1),OR('Consulta de contratos'!$K$2="",I983='Consulta de contratos'!$K$2,AND(LEFT('Consulta de contratos'!$K$2,7)="Grupo: ",ISNUMBER(SEARCH("|"&amp;MID('Consulta de contratos'!$K$2,8,120)&amp;"|",AF983)))),OR('Consulta de contratos'!$K$3="",C983='Consulta de contratos'!$K$3),OR('Consulta de contratos'!$K$4="",D983='Consulta de contratos'!$K$4),OR('Consulta de contratos'!$K$5="",E983='Consulta de contratos'!$K$5)),1,0)</f>
        <v>0</v>
      </c>
      <c r="W983">
        <f>IF(V983=1,SUM($V$2:V983),0)</f>
        <v>0</v>
      </c>
    </row>
    <row r="984" spans="22:23" x14ac:dyDescent="0.35">
      <c r="V984">
        <f>IF(AND(SUM(IF('Consulta de contratos'!$K$1="",0,1),IF('Consulta de contratos'!$K$2="",0,1),IF('Consulta de contratos'!$K$3="",0,1),IF('Consulta de contratos'!$K$4="",0,1),IF('Consulta de contratos'!$K$5="",0,1))&gt;0,OR('Consulta de contratos'!$K$1="",A984='Consulta de contratos'!$K$1),OR('Consulta de contratos'!$K$2="",I984='Consulta de contratos'!$K$2,AND(LEFT('Consulta de contratos'!$K$2,7)="Grupo: ",ISNUMBER(SEARCH("|"&amp;MID('Consulta de contratos'!$K$2,8,120)&amp;"|",AF984)))),OR('Consulta de contratos'!$K$3="",C984='Consulta de contratos'!$K$3),OR('Consulta de contratos'!$K$4="",D984='Consulta de contratos'!$K$4),OR('Consulta de contratos'!$K$5="",E984='Consulta de contratos'!$K$5)),1,0)</f>
        <v>0</v>
      </c>
      <c r="W984">
        <f>IF(V984=1,SUM($V$2:V984),0)</f>
        <v>0</v>
      </c>
    </row>
    <row r="985" spans="22:23" x14ac:dyDescent="0.35">
      <c r="V985">
        <f>IF(AND(SUM(IF('Consulta de contratos'!$K$1="",0,1),IF('Consulta de contratos'!$K$2="",0,1),IF('Consulta de contratos'!$K$3="",0,1),IF('Consulta de contratos'!$K$4="",0,1),IF('Consulta de contratos'!$K$5="",0,1))&gt;0,OR('Consulta de contratos'!$K$1="",A985='Consulta de contratos'!$K$1),OR('Consulta de contratos'!$K$2="",I985='Consulta de contratos'!$K$2,AND(LEFT('Consulta de contratos'!$K$2,7)="Grupo: ",ISNUMBER(SEARCH("|"&amp;MID('Consulta de contratos'!$K$2,8,120)&amp;"|",AF985)))),OR('Consulta de contratos'!$K$3="",C985='Consulta de contratos'!$K$3),OR('Consulta de contratos'!$K$4="",D985='Consulta de contratos'!$K$4),OR('Consulta de contratos'!$K$5="",E985='Consulta de contratos'!$K$5)),1,0)</f>
        <v>0</v>
      </c>
      <c r="W985">
        <f>IF(V985=1,SUM($V$2:V985),0)</f>
        <v>0</v>
      </c>
    </row>
    <row r="986" spans="22:23" x14ac:dyDescent="0.35">
      <c r="V986">
        <f>IF(AND(SUM(IF('Consulta de contratos'!$K$1="",0,1),IF('Consulta de contratos'!$K$2="",0,1),IF('Consulta de contratos'!$K$3="",0,1),IF('Consulta de contratos'!$K$4="",0,1),IF('Consulta de contratos'!$K$5="",0,1))&gt;0,OR('Consulta de contratos'!$K$1="",A986='Consulta de contratos'!$K$1),OR('Consulta de contratos'!$K$2="",I986='Consulta de contratos'!$K$2,AND(LEFT('Consulta de contratos'!$K$2,7)="Grupo: ",ISNUMBER(SEARCH("|"&amp;MID('Consulta de contratos'!$K$2,8,120)&amp;"|",AF986)))),OR('Consulta de contratos'!$K$3="",C986='Consulta de contratos'!$K$3),OR('Consulta de contratos'!$K$4="",D986='Consulta de contratos'!$K$4),OR('Consulta de contratos'!$K$5="",E986='Consulta de contratos'!$K$5)),1,0)</f>
        <v>0</v>
      </c>
      <c r="W986">
        <f>IF(V986=1,SUM($V$2:V986),0)</f>
        <v>0</v>
      </c>
    </row>
    <row r="987" spans="22:23" x14ac:dyDescent="0.35">
      <c r="V987">
        <f>IF(AND(SUM(IF('Consulta de contratos'!$K$1="",0,1),IF('Consulta de contratos'!$K$2="",0,1),IF('Consulta de contratos'!$K$3="",0,1),IF('Consulta de contratos'!$K$4="",0,1),IF('Consulta de contratos'!$K$5="",0,1))&gt;0,OR('Consulta de contratos'!$K$1="",A987='Consulta de contratos'!$K$1),OR('Consulta de contratos'!$K$2="",I987='Consulta de contratos'!$K$2,AND(LEFT('Consulta de contratos'!$K$2,7)="Grupo: ",ISNUMBER(SEARCH("|"&amp;MID('Consulta de contratos'!$K$2,8,120)&amp;"|",AF987)))),OR('Consulta de contratos'!$K$3="",C987='Consulta de contratos'!$K$3),OR('Consulta de contratos'!$K$4="",D987='Consulta de contratos'!$K$4),OR('Consulta de contratos'!$K$5="",E987='Consulta de contratos'!$K$5)),1,0)</f>
        <v>0</v>
      </c>
      <c r="W987">
        <f>IF(V987=1,SUM($V$2:V987),0)</f>
        <v>0</v>
      </c>
    </row>
    <row r="988" spans="22:23" x14ac:dyDescent="0.35">
      <c r="V988">
        <f>IF(AND(SUM(IF('Consulta de contratos'!$K$1="",0,1),IF('Consulta de contratos'!$K$2="",0,1),IF('Consulta de contratos'!$K$3="",0,1),IF('Consulta de contratos'!$K$4="",0,1),IF('Consulta de contratos'!$K$5="",0,1))&gt;0,OR('Consulta de contratos'!$K$1="",A988='Consulta de contratos'!$K$1),OR('Consulta de contratos'!$K$2="",I988='Consulta de contratos'!$K$2,AND(LEFT('Consulta de contratos'!$K$2,7)="Grupo: ",ISNUMBER(SEARCH("|"&amp;MID('Consulta de contratos'!$K$2,8,120)&amp;"|",AF988)))),OR('Consulta de contratos'!$K$3="",C988='Consulta de contratos'!$K$3),OR('Consulta de contratos'!$K$4="",D988='Consulta de contratos'!$K$4),OR('Consulta de contratos'!$K$5="",E988='Consulta de contratos'!$K$5)),1,0)</f>
        <v>0</v>
      </c>
      <c r="W988">
        <f>IF(V988=1,SUM($V$2:V988),0)</f>
        <v>0</v>
      </c>
    </row>
    <row r="989" spans="22:23" x14ac:dyDescent="0.35">
      <c r="V989">
        <f>IF(AND(SUM(IF('Consulta de contratos'!$K$1="",0,1),IF('Consulta de contratos'!$K$2="",0,1),IF('Consulta de contratos'!$K$3="",0,1),IF('Consulta de contratos'!$K$4="",0,1),IF('Consulta de contratos'!$K$5="",0,1))&gt;0,OR('Consulta de contratos'!$K$1="",A989='Consulta de contratos'!$K$1),OR('Consulta de contratos'!$K$2="",I989='Consulta de contratos'!$K$2,AND(LEFT('Consulta de contratos'!$K$2,7)="Grupo: ",ISNUMBER(SEARCH("|"&amp;MID('Consulta de contratos'!$K$2,8,120)&amp;"|",AF989)))),OR('Consulta de contratos'!$K$3="",C989='Consulta de contratos'!$K$3),OR('Consulta de contratos'!$K$4="",D989='Consulta de contratos'!$K$4),OR('Consulta de contratos'!$K$5="",E989='Consulta de contratos'!$K$5)),1,0)</f>
        <v>0</v>
      </c>
      <c r="W989">
        <f>IF(V989=1,SUM($V$2:V989),0)</f>
        <v>0</v>
      </c>
    </row>
    <row r="990" spans="22:23" x14ac:dyDescent="0.35">
      <c r="V990">
        <f>IF(AND(SUM(IF('Consulta de contratos'!$K$1="",0,1),IF('Consulta de contratos'!$K$2="",0,1),IF('Consulta de contratos'!$K$3="",0,1),IF('Consulta de contratos'!$K$4="",0,1),IF('Consulta de contratos'!$K$5="",0,1))&gt;0,OR('Consulta de contratos'!$K$1="",A990='Consulta de contratos'!$K$1),OR('Consulta de contratos'!$K$2="",I990='Consulta de contratos'!$K$2,AND(LEFT('Consulta de contratos'!$K$2,7)="Grupo: ",ISNUMBER(SEARCH("|"&amp;MID('Consulta de contratos'!$K$2,8,120)&amp;"|",AF990)))),OR('Consulta de contratos'!$K$3="",C990='Consulta de contratos'!$K$3),OR('Consulta de contratos'!$K$4="",D990='Consulta de contratos'!$K$4),OR('Consulta de contratos'!$K$5="",E990='Consulta de contratos'!$K$5)),1,0)</f>
        <v>0</v>
      </c>
      <c r="W990">
        <f>IF(V990=1,SUM($V$2:V990),0)</f>
        <v>0</v>
      </c>
    </row>
    <row r="991" spans="22:23" x14ac:dyDescent="0.35">
      <c r="V991">
        <f>IF(AND(SUM(IF('Consulta de contratos'!$K$1="",0,1),IF('Consulta de contratos'!$K$2="",0,1),IF('Consulta de contratos'!$K$3="",0,1),IF('Consulta de contratos'!$K$4="",0,1),IF('Consulta de contratos'!$K$5="",0,1))&gt;0,OR('Consulta de contratos'!$K$1="",A991='Consulta de contratos'!$K$1),OR('Consulta de contratos'!$K$2="",I991='Consulta de contratos'!$K$2,AND(LEFT('Consulta de contratos'!$K$2,7)="Grupo: ",ISNUMBER(SEARCH("|"&amp;MID('Consulta de contratos'!$K$2,8,120)&amp;"|",AF991)))),OR('Consulta de contratos'!$K$3="",C991='Consulta de contratos'!$K$3),OR('Consulta de contratos'!$K$4="",D991='Consulta de contratos'!$K$4),OR('Consulta de contratos'!$K$5="",E991='Consulta de contratos'!$K$5)),1,0)</f>
        <v>0</v>
      </c>
      <c r="W991">
        <f>IF(V991=1,SUM($V$2:V991),0)</f>
        <v>0</v>
      </c>
    </row>
    <row r="992" spans="22:23" x14ac:dyDescent="0.35">
      <c r="V992">
        <f>IF(AND(SUM(IF('Consulta de contratos'!$K$1="",0,1),IF('Consulta de contratos'!$K$2="",0,1),IF('Consulta de contratos'!$K$3="",0,1),IF('Consulta de contratos'!$K$4="",0,1),IF('Consulta de contratos'!$K$5="",0,1))&gt;0,OR('Consulta de contratos'!$K$1="",A992='Consulta de contratos'!$K$1),OR('Consulta de contratos'!$K$2="",I992='Consulta de contratos'!$K$2,AND(LEFT('Consulta de contratos'!$K$2,7)="Grupo: ",ISNUMBER(SEARCH("|"&amp;MID('Consulta de contratos'!$K$2,8,120)&amp;"|",AF992)))),OR('Consulta de contratos'!$K$3="",C992='Consulta de contratos'!$K$3),OR('Consulta de contratos'!$K$4="",D992='Consulta de contratos'!$K$4),OR('Consulta de contratos'!$K$5="",E992='Consulta de contratos'!$K$5)),1,0)</f>
        <v>0</v>
      </c>
      <c r="W992">
        <f>IF(V992=1,SUM($V$2:V992),0)</f>
        <v>0</v>
      </c>
    </row>
    <row r="993" spans="22:23" x14ac:dyDescent="0.35">
      <c r="V993">
        <f>IF(AND(SUM(IF('Consulta de contratos'!$K$1="",0,1),IF('Consulta de contratos'!$K$2="",0,1),IF('Consulta de contratos'!$K$3="",0,1),IF('Consulta de contratos'!$K$4="",0,1),IF('Consulta de contratos'!$K$5="",0,1))&gt;0,OR('Consulta de contratos'!$K$1="",A993='Consulta de contratos'!$K$1),OR('Consulta de contratos'!$K$2="",I993='Consulta de contratos'!$K$2,AND(LEFT('Consulta de contratos'!$K$2,7)="Grupo: ",ISNUMBER(SEARCH("|"&amp;MID('Consulta de contratos'!$K$2,8,120)&amp;"|",AF993)))),OR('Consulta de contratos'!$K$3="",C993='Consulta de contratos'!$K$3),OR('Consulta de contratos'!$K$4="",D993='Consulta de contratos'!$K$4),OR('Consulta de contratos'!$K$5="",E993='Consulta de contratos'!$K$5)),1,0)</f>
        <v>0</v>
      </c>
      <c r="W993">
        <f>IF(V993=1,SUM($V$2:V993),0)</f>
        <v>0</v>
      </c>
    </row>
    <row r="994" spans="22:23" x14ac:dyDescent="0.35">
      <c r="V994">
        <f>IF(AND(SUM(IF('Consulta de contratos'!$K$1="",0,1),IF('Consulta de contratos'!$K$2="",0,1),IF('Consulta de contratos'!$K$3="",0,1),IF('Consulta de contratos'!$K$4="",0,1),IF('Consulta de contratos'!$K$5="",0,1))&gt;0,OR('Consulta de contratos'!$K$1="",A994='Consulta de contratos'!$K$1),OR('Consulta de contratos'!$K$2="",I994='Consulta de contratos'!$K$2,AND(LEFT('Consulta de contratos'!$K$2,7)="Grupo: ",ISNUMBER(SEARCH("|"&amp;MID('Consulta de contratos'!$K$2,8,120)&amp;"|",AF994)))),OR('Consulta de contratos'!$K$3="",C994='Consulta de contratos'!$K$3),OR('Consulta de contratos'!$K$4="",D994='Consulta de contratos'!$K$4),OR('Consulta de contratos'!$K$5="",E994='Consulta de contratos'!$K$5)),1,0)</f>
        <v>0</v>
      </c>
      <c r="W994">
        <f>IF(V994=1,SUM($V$2:V994),0)</f>
        <v>0</v>
      </c>
    </row>
    <row r="995" spans="22:23" x14ac:dyDescent="0.35">
      <c r="V995">
        <f>IF(AND(SUM(IF('Consulta de contratos'!$K$1="",0,1),IF('Consulta de contratos'!$K$2="",0,1),IF('Consulta de contratos'!$K$3="",0,1),IF('Consulta de contratos'!$K$4="",0,1),IF('Consulta de contratos'!$K$5="",0,1))&gt;0,OR('Consulta de contratos'!$K$1="",A995='Consulta de contratos'!$K$1),OR('Consulta de contratos'!$K$2="",I995='Consulta de contratos'!$K$2,AND(LEFT('Consulta de contratos'!$K$2,7)="Grupo: ",ISNUMBER(SEARCH("|"&amp;MID('Consulta de contratos'!$K$2,8,120)&amp;"|",AF995)))),OR('Consulta de contratos'!$K$3="",C995='Consulta de contratos'!$K$3),OR('Consulta de contratos'!$K$4="",D995='Consulta de contratos'!$K$4),OR('Consulta de contratos'!$K$5="",E995='Consulta de contratos'!$K$5)),1,0)</f>
        <v>0</v>
      </c>
      <c r="W995">
        <f>IF(V995=1,SUM($V$2:V995),0)</f>
        <v>0</v>
      </c>
    </row>
    <row r="996" spans="22:23" x14ac:dyDescent="0.35">
      <c r="V996">
        <f>IF(AND(SUM(IF('Consulta de contratos'!$K$1="",0,1),IF('Consulta de contratos'!$K$2="",0,1),IF('Consulta de contratos'!$K$3="",0,1),IF('Consulta de contratos'!$K$4="",0,1),IF('Consulta de contratos'!$K$5="",0,1))&gt;0,OR('Consulta de contratos'!$K$1="",A996='Consulta de contratos'!$K$1),OR('Consulta de contratos'!$K$2="",I996='Consulta de contratos'!$K$2,AND(LEFT('Consulta de contratos'!$K$2,7)="Grupo: ",ISNUMBER(SEARCH("|"&amp;MID('Consulta de contratos'!$K$2,8,120)&amp;"|",AF996)))),OR('Consulta de contratos'!$K$3="",C996='Consulta de contratos'!$K$3),OR('Consulta de contratos'!$K$4="",D996='Consulta de contratos'!$K$4),OR('Consulta de contratos'!$K$5="",E996='Consulta de contratos'!$K$5)),1,0)</f>
        <v>0</v>
      </c>
      <c r="W996">
        <f>IF(V996=1,SUM($V$2:V996),0)</f>
        <v>0</v>
      </c>
    </row>
    <row r="997" spans="22:23" x14ac:dyDescent="0.35">
      <c r="V997">
        <f>IF(AND(SUM(IF('Consulta de contratos'!$K$1="",0,1),IF('Consulta de contratos'!$K$2="",0,1),IF('Consulta de contratos'!$K$3="",0,1),IF('Consulta de contratos'!$K$4="",0,1),IF('Consulta de contratos'!$K$5="",0,1))&gt;0,OR('Consulta de contratos'!$K$1="",A997='Consulta de contratos'!$K$1),OR('Consulta de contratos'!$K$2="",I997='Consulta de contratos'!$K$2,AND(LEFT('Consulta de contratos'!$K$2,7)="Grupo: ",ISNUMBER(SEARCH("|"&amp;MID('Consulta de contratos'!$K$2,8,120)&amp;"|",AF997)))),OR('Consulta de contratos'!$K$3="",C997='Consulta de contratos'!$K$3),OR('Consulta de contratos'!$K$4="",D997='Consulta de contratos'!$K$4),OR('Consulta de contratos'!$K$5="",E997='Consulta de contratos'!$K$5)),1,0)</f>
        <v>0</v>
      </c>
      <c r="W997">
        <f>IF(V997=1,SUM($V$2:V997),0)</f>
        <v>0</v>
      </c>
    </row>
    <row r="998" spans="22:23" x14ac:dyDescent="0.35">
      <c r="V998">
        <f>IF(AND(SUM(IF('Consulta de contratos'!$K$1="",0,1),IF('Consulta de contratos'!$K$2="",0,1),IF('Consulta de contratos'!$K$3="",0,1),IF('Consulta de contratos'!$K$4="",0,1),IF('Consulta de contratos'!$K$5="",0,1))&gt;0,OR('Consulta de contratos'!$K$1="",A998='Consulta de contratos'!$K$1),OR('Consulta de contratos'!$K$2="",I998='Consulta de contratos'!$K$2,AND(LEFT('Consulta de contratos'!$K$2,7)="Grupo: ",ISNUMBER(SEARCH("|"&amp;MID('Consulta de contratos'!$K$2,8,120)&amp;"|",AF998)))),OR('Consulta de contratos'!$K$3="",C998='Consulta de contratos'!$K$3),OR('Consulta de contratos'!$K$4="",D998='Consulta de contratos'!$K$4),OR('Consulta de contratos'!$K$5="",E998='Consulta de contratos'!$K$5)),1,0)</f>
        <v>0</v>
      </c>
      <c r="W998">
        <f>IF(V998=1,SUM($V$2:V998),0)</f>
        <v>0</v>
      </c>
    </row>
    <row r="999" spans="22:23" x14ac:dyDescent="0.35">
      <c r="V999">
        <f>IF(AND(SUM(IF('Consulta de contratos'!$K$1="",0,1),IF('Consulta de contratos'!$K$2="",0,1),IF('Consulta de contratos'!$K$3="",0,1),IF('Consulta de contratos'!$K$4="",0,1),IF('Consulta de contratos'!$K$5="",0,1))&gt;0,OR('Consulta de contratos'!$K$1="",A999='Consulta de contratos'!$K$1),OR('Consulta de contratos'!$K$2="",I999='Consulta de contratos'!$K$2,AND(LEFT('Consulta de contratos'!$K$2,7)="Grupo: ",ISNUMBER(SEARCH("|"&amp;MID('Consulta de contratos'!$K$2,8,120)&amp;"|",AF999)))),OR('Consulta de contratos'!$K$3="",C999='Consulta de contratos'!$K$3),OR('Consulta de contratos'!$K$4="",D999='Consulta de contratos'!$K$4),OR('Consulta de contratos'!$K$5="",E999='Consulta de contratos'!$K$5)),1,0)</f>
        <v>0</v>
      </c>
      <c r="W999">
        <f>IF(V999=1,SUM($V$2:V999),0)</f>
        <v>0</v>
      </c>
    </row>
    <row r="1000" spans="22:23" x14ac:dyDescent="0.35">
      <c r="V1000">
        <f>IF(AND(SUM(IF('Consulta de contratos'!$K$1="",0,1),IF('Consulta de contratos'!$K$2="",0,1),IF('Consulta de contratos'!$K$3="",0,1),IF('Consulta de contratos'!$K$4="",0,1),IF('Consulta de contratos'!$K$5="",0,1))&gt;0,OR('Consulta de contratos'!$K$1="",A1000='Consulta de contratos'!$K$1),OR('Consulta de contratos'!$K$2="",I1000='Consulta de contratos'!$K$2,AND(LEFT('Consulta de contratos'!$K$2,7)="Grupo: ",ISNUMBER(SEARCH("|"&amp;MID('Consulta de contratos'!$K$2,8,120)&amp;"|",AF1000)))),OR('Consulta de contratos'!$K$3="",C1000='Consulta de contratos'!$K$3),OR('Consulta de contratos'!$K$4="",D1000='Consulta de contratos'!$K$4),OR('Consulta de contratos'!$K$5="",E1000='Consulta de contratos'!$K$5)),1,0)</f>
        <v>0</v>
      </c>
      <c r="W1000">
        <f>IF(V1000=1,SUM($V$2:V1000),0)</f>
        <v>0</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W631"/>
  <sheetViews>
    <sheetView workbookViewId="0">
      <selection sqref="A1:L2"/>
    </sheetView>
  </sheetViews>
  <sheetFormatPr defaultColWidth="8.90625" defaultRowHeight="14.5" x14ac:dyDescent="0.35"/>
  <cols>
    <col min="1" max="1" width="26" customWidth="1"/>
    <col min="2" max="2" width="38" customWidth="1"/>
    <col min="3" max="3" width="45" customWidth="1"/>
    <col min="4" max="4" width="14" customWidth="1"/>
    <col min="5" max="5" width="58" customWidth="1"/>
    <col min="6" max="6" width="24" customWidth="1"/>
    <col min="7" max="7" width="12" customWidth="1"/>
    <col min="8" max="8" width="62" customWidth="1"/>
    <col min="9" max="9" width="23" customWidth="1"/>
    <col min="10" max="10" width="30" customWidth="1"/>
    <col min="11" max="11" width="53" customWidth="1"/>
    <col min="12" max="12" width="63" customWidth="1"/>
    <col min="27" max="74" width="24" hidden="1" customWidth="1"/>
  </cols>
  <sheetData>
    <row r="1" spans="1:75" x14ac:dyDescent="0.35">
      <c r="A1" s="17" t="s">
        <v>1704</v>
      </c>
      <c r="B1" s="18"/>
      <c r="C1" s="18"/>
      <c r="D1" s="18"/>
      <c r="E1" s="18"/>
      <c r="F1" s="18"/>
      <c r="G1" s="18"/>
      <c r="H1" s="18"/>
      <c r="I1" s="18"/>
      <c r="J1" s="18"/>
      <c r="K1" s="18"/>
      <c r="L1" s="18"/>
      <c r="AA1" t="s">
        <v>3</v>
      </c>
      <c r="AB1" t="s">
        <v>3</v>
      </c>
      <c r="AC1" t="s">
        <v>3</v>
      </c>
      <c r="AD1" t="s">
        <v>3</v>
      </c>
      <c r="AE1" t="s">
        <v>3</v>
      </c>
      <c r="AF1" t="s">
        <v>3</v>
      </c>
      <c r="AG1" t="s">
        <v>3</v>
      </c>
      <c r="BN1" t="s">
        <v>3</v>
      </c>
      <c r="BR1" t="s">
        <v>3</v>
      </c>
      <c r="BV1" t="s">
        <v>3</v>
      </c>
      <c r="BW1" t="s">
        <v>3</v>
      </c>
    </row>
    <row r="2" spans="1:75" x14ac:dyDescent="0.35">
      <c r="A2" s="18"/>
      <c r="B2" s="18"/>
      <c r="C2" s="18"/>
      <c r="D2" s="18"/>
      <c r="E2" s="18"/>
      <c r="F2" s="18"/>
      <c r="G2" s="18"/>
      <c r="H2" s="18"/>
      <c r="I2" s="18"/>
      <c r="J2" s="18"/>
      <c r="K2" s="18"/>
      <c r="L2" s="18"/>
      <c r="AA2" t="s">
        <v>116</v>
      </c>
      <c r="AB2" t="s">
        <v>512</v>
      </c>
      <c r="AC2" t="s">
        <v>520</v>
      </c>
      <c r="AD2" t="s">
        <v>897</v>
      </c>
      <c r="AE2" t="s">
        <v>870</v>
      </c>
      <c r="AF2" t="s">
        <v>512</v>
      </c>
      <c r="AG2" t="s">
        <v>116</v>
      </c>
      <c r="BK2" t="s">
        <v>1705</v>
      </c>
      <c r="BL2">
        <v>1</v>
      </c>
      <c r="BM2">
        <v>5</v>
      </c>
      <c r="BN2" t="s">
        <v>1563</v>
      </c>
      <c r="BO2" t="s">
        <v>1705</v>
      </c>
      <c r="BP2">
        <v>1</v>
      </c>
      <c r="BQ2">
        <v>13</v>
      </c>
      <c r="BR2" t="s">
        <v>897</v>
      </c>
      <c r="BS2" t="s">
        <v>1705</v>
      </c>
      <c r="BT2">
        <v>1</v>
      </c>
      <c r="BU2">
        <v>16</v>
      </c>
      <c r="BV2" t="s">
        <v>870</v>
      </c>
      <c r="BW2" t="s">
        <v>284</v>
      </c>
    </row>
    <row r="3" spans="1:75" x14ac:dyDescent="0.35">
      <c r="A3" s="23" t="s">
        <v>1706</v>
      </c>
      <c r="B3" s="18"/>
      <c r="C3" s="18"/>
      <c r="D3" s="18"/>
      <c r="E3" s="18"/>
      <c r="F3" s="18"/>
      <c r="G3" s="18"/>
      <c r="H3" s="18"/>
      <c r="I3" s="18"/>
      <c r="J3" s="18"/>
      <c r="K3" s="18"/>
      <c r="L3" s="18"/>
      <c r="AA3" t="s">
        <v>254</v>
      </c>
      <c r="AB3" t="s">
        <v>276</v>
      </c>
      <c r="AC3" t="s">
        <v>896</v>
      </c>
      <c r="AD3" t="s">
        <v>521</v>
      </c>
      <c r="AE3" t="s">
        <v>1278</v>
      </c>
      <c r="AF3" t="s">
        <v>276</v>
      </c>
      <c r="AG3" t="s">
        <v>254</v>
      </c>
      <c r="BK3" t="s">
        <v>1707</v>
      </c>
      <c r="BL3">
        <v>6</v>
      </c>
      <c r="BM3">
        <v>2</v>
      </c>
      <c r="BN3" t="s">
        <v>520</v>
      </c>
      <c r="BO3" t="s">
        <v>1708</v>
      </c>
      <c r="BP3">
        <v>14</v>
      </c>
      <c r="BQ3">
        <v>5</v>
      </c>
      <c r="BR3" t="s">
        <v>521</v>
      </c>
      <c r="BS3" t="s">
        <v>1709</v>
      </c>
      <c r="BT3">
        <v>17</v>
      </c>
      <c r="BU3">
        <v>2</v>
      </c>
      <c r="BV3" t="s">
        <v>1278</v>
      </c>
      <c r="BW3" t="s">
        <v>940</v>
      </c>
    </row>
    <row r="4" spans="1:75" x14ac:dyDescent="0.35">
      <c r="AA4" t="s">
        <v>184</v>
      </c>
      <c r="AB4" t="s">
        <v>373</v>
      </c>
      <c r="AC4" t="s">
        <v>42</v>
      </c>
      <c r="AD4" t="s">
        <v>262</v>
      </c>
      <c r="AE4" t="s">
        <v>334</v>
      </c>
      <c r="AF4" t="s">
        <v>1289</v>
      </c>
      <c r="AG4" t="s">
        <v>184</v>
      </c>
      <c r="BK4" t="s">
        <v>1710</v>
      </c>
      <c r="BL4">
        <v>8</v>
      </c>
      <c r="BM4">
        <v>2</v>
      </c>
      <c r="BN4" t="s">
        <v>896</v>
      </c>
      <c r="BO4" t="s">
        <v>1711</v>
      </c>
      <c r="BP4">
        <v>19</v>
      </c>
      <c r="BQ4">
        <v>5</v>
      </c>
      <c r="BR4" t="s">
        <v>262</v>
      </c>
      <c r="BS4" t="s">
        <v>1712</v>
      </c>
      <c r="BT4">
        <v>19</v>
      </c>
      <c r="BU4">
        <v>2</v>
      </c>
      <c r="BV4" t="s">
        <v>334</v>
      </c>
      <c r="BW4" t="s">
        <v>1579</v>
      </c>
    </row>
    <row r="5" spans="1:75" x14ac:dyDescent="0.35">
      <c r="A5" s="23" t="s">
        <v>1713</v>
      </c>
      <c r="B5" s="18"/>
      <c r="C5" s="18"/>
      <c r="D5" s="18"/>
      <c r="E5" s="18"/>
      <c r="F5" s="18"/>
      <c r="G5" s="18"/>
      <c r="H5" s="18"/>
      <c r="I5" s="18"/>
      <c r="J5" s="18"/>
      <c r="K5" s="18"/>
      <c r="L5" s="18"/>
      <c r="AA5" t="s">
        <v>40</v>
      </c>
      <c r="AB5" t="s">
        <v>85</v>
      </c>
      <c r="AD5" t="s">
        <v>775</v>
      </c>
      <c r="AE5" t="s">
        <v>473</v>
      </c>
      <c r="AF5" t="s">
        <v>1579</v>
      </c>
      <c r="AG5" t="s">
        <v>40</v>
      </c>
      <c r="BK5" t="s">
        <v>1714</v>
      </c>
      <c r="BL5">
        <v>10</v>
      </c>
      <c r="BM5">
        <v>2</v>
      </c>
      <c r="BN5" t="s">
        <v>42</v>
      </c>
      <c r="BO5" t="s">
        <v>1715</v>
      </c>
      <c r="BP5">
        <v>24</v>
      </c>
      <c r="BQ5">
        <v>2</v>
      </c>
      <c r="BR5" t="s">
        <v>775</v>
      </c>
      <c r="BS5" t="s">
        <v>1716</v>
      </c>
      <c r="BT5">
        <v>21</v>
      </c>
      <c r="BU5">
        <v>2</v>
      </c>
      <c r="BV5" t="s">
        <v>473</v>
      </c>
      <c r="BW5" t="s">
        <v>1322</v>
      </c>
    </row>
    <row r="6" spans="1:75" x14ac:dyDescent="0.35">
      <c r="AA6" t="s">
        <v>142</v>
      </c>
      <c r="AB6" t="s">
        <v>476</v>
      </c>
      <c r="AD6" t="s">
        <v>43</v>
      </c>
      <c r="AE6" t="s">
        <v>1078</v>
      </c>
      <c r="AF6" t="s">
        <v>1318</v>
      </c>
      <c r="AG6" t="s">
        <v>142</v>
      </c>
      <c r="BK6" t="s">
        <v>1717</v>
      </c>
      <c r="BL6">
        <v>12</v>
      </c>
      <c r="BM6">
        <v>2</v>
      </c>
      <c r="BN6" t="s">
        <v>3</v>
      </c>
      <c r="BO6" t="s">
        <v>1718</v>
      </c>
      <c r="BP6">
        <v>26</v>
      </c>
      <c r="BQ6">
        <v>2</v>
      </c>
      <c r="BR6" t="s">
        <v>43</v>
      </c>
      <c r="BS6" t="s">
        <v>1719</v>
      </c>
      <c r="BT6">
        <v>23</v>
      </c>
      <c r="BU6">
        <v>2</v>
      </c>
      <c r="BV6" t="s">
        <v>1525</v>
      </c>
      <c r="BW6" t="s">
        <v>1634</v>
      </c>
    </row>
    <row r="7" spans="1:75" x14ac:dyDescent="0.35">
      <c r="A7" s="23" t="s">
        <v>1720</v>
      </c>
      <c r="B7" s="18"/>
      <c r="C7" s="18"/>
      <c r="D7" s="18"/>
      <c r="E7" s="18"/>
      <c r="F7" s="18"/>
      <c r="G7" s="18"/>
      <c r="H7" s="18"/>
      <c r="I7" s="18"/>
      <c r="J7" s="18"/>
      <c r="K7" s="18"/>
      <c r="L7" s="18"/>
      <c r="AA7" t="s">
        <v>156</v>
      </c>
      <c r="AB7" t="s">
        <v>65</v>
      </c>
      <c r="AD7" t="s">
        <v>472</v>
      </c>
      <c r="AE7" t="s">
        <v>898</v>
      </c>
      <c r="AF7" t="s">
        <v>1634</v>
      </c>
      <c r="AG7" t="s">
        <v>156</v>
      </c>
      <c r="BK7" t="s">
        <v>1721</v>
      </c>
      <c r="BL7">
        <v>14</v>
      </c>
      <c r="BM7">
        <v>2</v>
      </c>
      <c r="BN7" t="s">
        <v>896</v>
      </c>
      <c r="BO7" t="s">
        <v>1722</v>
      </c>
      <c r="BP7">
        <v>28</v>
      </c>
      <c r="BQ7">
        <v>2</v>
      </c>
      <c r="BR7" t="s">
        <v>472</v>
      </c>
      <c r="BS7" t="s">
        <v>1708</v>
      </c>
      <c r="BT7">
        <v>25</v>
      </c>
      <c r="BU7">
        <v>2</v>
      </c>
      <c r="BV7" t="s">
        <v>1078</v>
      </c>
      <c r="BW7" t="s">
        <v>373</v>
      </c>
    </row>
    <row r="8" spans="1:75" x14ac:dyDescent="0.35">
      <c r="AA8" t="s">
        <v>212</v>
      </c>
      <c r="AB8" t="s">
        <v>637</v>
      </c>
      <c r="AD8" t="s">
        <v>1077</v>
      </c>
      <c r="AE8" t="s">
        <v>1405</v>
      </c>
      <c r="AF8" t="s">
        <v>373</v>
      </c>
      <c r="AG8" t="s">
        <v>212</v>
      </c>
      <c r="BK8" t="s">
        <v>1723</v>
      </c>
      <c r="BL8">
        <v>16</v>
      </c>
      <c r="BM8">
        <v>2</v>
      </c>
      <c r="BN8" t="s">
        <v>3</v>
      </c>
      <c r="BO8" t="s">
        <v>1724</v>
      </c>
      <c r="BP8">
        <v>30</v>
      </c>
      <c r="BQ8">
        <v>2</v>
      </c>
      <c r="BR8" t="s">
        <v>1077</v>
      </c>
      <c r="BS8" t="s">
        <v>1725</v>
      </c>
      <c r="BT8">
        <v>27</v>
      </c>
      <c r="BU8">
        <v>3</v>
      </c>
      <c r="BV8" t="s">
        <v>898</v>
      </c>
      <c r="BW8" t="s">
        <v>85</v>
      </c>
    </row>
    <row r="9" spans="1:75" x14ac:dyDescent="0.35">
      <c r="A9" s="4"/>
      <c r="AA9" t="s">
        <v>163</v>
      </c>
      <c r="AB9" t="s">
        <v>840</v>
      </c>
      <c r="AE9" t="s">
        <v>263</v>
      </c>
      <c r="AF9" t="s">
        <v>85</v>
      </c>
      <c r="AG9" t="s">
        <v>163</v>
      </c>
      <c r="BK9" t="s">
        <v>1726</v>
      </c>
      <c r="BL9">
        <v>18</v>
      </c>
      <c r="BM9">
        <v>2</v>
      </c>
      <c r="BN9" t="s">
        <v>896</v>
      </c>
      <c r="BO9" t="s">
        <v>1727</v>
      </c>
      <c r="BP9">
        <v>32</v>
      </c>
      <c r="BQ9">
        <v>2</v>
      </c>
      <c r="BR9" t="s">
        <v>1693</v>
      </c>
      <c r="BS9" t="s">
        <v>1728</v>
      </c>
      <c r="BT9">
        <v>30</v>
      </c>
      <c r="BU9">
        <v>2</v>
      </c>
      <c r="BV9" t="s">
        <v>1405</v>
      </c>
      <c r="BW9" t="s">
        <v>1134</v>
      </c>
    </row>
    <row r="10" spans="1:75" x14ac:dyDescent="0.35">
      <c r="AA10" t="s">
        <v>219</v>
      </c>
      <c r="AB10" t="s">
        <v>564</v>
      </c>
      <c r="AE10" t="s">
        <v>44</v>
      </c>
      <c r="AF10" t="s">
        <v>1134</v>
      </c>
      <c r="AG10" t="s">
        <v>219</v>
      </c>
      <c r="BK10" t="s">
        <v>1729</v>
      </c>
      <c r="BL10">
        <v>20</v>
      </c>
      <c r="BM10">
        <v>2</v>
      </c>
      <c r="BN10" t="s">
        <v>3</v>
      </c>
      <c r="BO10" t="s">
        <v>1730</v>
      </c>
      <c r="BP10">
        <v>34</v>
      </c>
      <c r="BQ10">
        <v>2</v>
      </c>
      <c r="BR10" t="s">
        <v>1564</v>
      </c>
      <c r="BS10" t="s">
        <v>1731</v>
      </c>
      <c r="BT10">
        <v>32</v>
      </c>
      <c r="BU10">
        <v>4</v>
      </c>
      <c r="BV10" t="s">
        <v>263</v>
      </c>
      <c r="BW10" t="s">
        <v>1616</v>
      </c>
    </row>
    <row r="11" spans="1:75" x14ac:dyDescent="0.35">
      <c r="AA11" t="s">
        <v>177</v>
      </c>
      <c r="AB11" t="s">
        <v>629</v>
      </c>
      <c r="AE11" t="s">
        <v>776</v>
      </c>
      <c r="AF11" t="s">
        <v>1616</v>
      </c>
      <c r="AG11" t="s">
        <v>177</v>
      </c>
      <c r="BK11" t="s">
        <v>1732</v>
      </c>
      <c r="BL11">
        <v>22</v>
      </c>
      <c r="BM11">
        <v>2</v>
      </c>
      <c r="BN11" t="s">
        <v>896</v>
      </c>
      <c r="BO11" t="s">
        <v>1733</v>
      </c>
      <c r="BP11">
        <v>36</v>
      </c>
      <c r="BQ11">
        <v>2</v>
      </c>
      <c r="BR11" t="s">
        <v>1621</v>
      </c>
      <c r="BS11" t="s">
        <v>1734</v>
      </c>
      <c r="BT11">
        <v>36</v>
      </c>
      <c r="BU11">
        <v>2</v>
      </c>
      <c r="BV11" t="s">
        <v>44</v>
      </c>
      <c r="BW11" t="s">
        <v>1735</v>
      </c>
    </row>
    <row r="12" spans="1:75" x14ac:dyDescent="0.35">
      <c r="AA12" t="s">
        <v>170</v>
      </c>
      <c r="AB12" t="s">
        <v>779</v>
      </c>
      <c r="AE12" t="s">
        <v>751</v>
      </c>
      <c r="AF12" t="s">
        <v>1568</v>
      </c>
      <c r="AG12" t="s">
        <v>170</v>
      </c>
      <c r="BK12" t="s">
        <v>1736</v>
      </c>
      <c r="BL12">
        <v>24</v>
      </c>
      <c r="BM12">
        <v>2</v>
      </c>
      <c r="BN12" t="s">
        <v>3</v>
      </c>
      <c r="BO12" t="s">
        <v>1737</v>
      </c>
      <c r="BP12">
        <v>38</v>
      </c>
      <c r="BQ12">
        <v>2</v>
      </c>
      <c r="BR12" t="s">
        <v>1596</v>
      </c>
      <c r="BS12" t="s">
        <v>1738</v>
      </c>
      <c r="BT12">
        <v>38</v>
      </c>
      <c r="BU12">
        <v>3</v>
      </c>
      <c r="BV12" t="s">
        <v>776</v>
      </c>
      <c r="BW12" t="s">
        <v>113</v>
      </c>
    </row>
    <row r="13" spans="1:75" x14ac:dyDescent="0.35">
      <c r="A13" s="9" t="s">
        <v>1739</v>
      </c>
      <c r="B13" s="9" t="s">
        <v>1740</v>
      </c>
      <c r="C13" s="9" t="s">
        <v>1741</v>
      </c>
      <c r="D13" s="9" t="s">
        <v>1742</v>
      </c>
      <c r="E13" s="9" t="s">
        <v>1743</v>
      </c>
      <c r="F13" s="9" t="s">
        <v>1744</v>
      </c>
      <c r="G13" s="9" t="s">
        <v>1745</v>
      </c>
      <c r="H13" s="9" t="s">
        <v>1746</v>
      </c>
      <c r="I13" s="9" t="s">
        <v>1747</v>
      </c>
      <c r="J13" s="9" t="s">
        <v>1748</v>
      </c>
      <c r="K13" s="9" t="s">
        <v>1749</v>
      </c>
      <c r="L13" s="9" t="s">
        <v>1750</v>
      </c>
      <c r="AA13" t="s">
        <v>205</v>
      </c>
      <c r="AB13" t="s">
        <v>754</v>
      </c>
      <c r="AE13" t="s">
        <v>522</v>
      </c>
      <c r="AF13" t="s">
        <v>1333</v>
      </c>
      <c r="AG13" t="s">
        <v>205</v>
      </c>
      <c r="BK13" t="s">
        <v>1751</v>
      </c>
      <c r="BL13">
        <v>26</v>
      </c>
      <c r="BM13">
        <v>2</v>
      </c>
      <c r="BN13" t="s">
        <v>520</v>
      </c>
      <c r="BO13" t="s">
        <v>1752</v>
      </c>
      <c r="BP13">
        <v>40</v>
      </c>
      <c r="BQ13">
        <v>2</v>
      </c>
      <c r="BR13" t="s">
        <v>1652</v>
      </c>
      <c r="BS13" t="s">
        <v>1753</v>
      </c>
      <c r="BT13">
        <v>41</v>
      </c>
      <c r="BU13">
        <v>4</v>
      </c>
      <c r="BV13" t="s">
        <v>751</v>
      </c>
      <c r="BW13" t="s">
        <v>1339</v>
      </c>
    </row>
    <row r="14" spans="1:75" ht="70" x14ac:dyDescent="0.35">
      <c r="A14" s="4" t="s">
        <v>60</v>
      </c>
      <c r="B14" s="4" t="s">
        <v>48</v>
      </c>
      <c r="C14" s="4" t="s">
        <v>48</v>
      </c>
      <c r="D14" s="4" t="s">
        <v>1754</v>
      </c>
      <c r="E14" s="4" t="s">
        <v>1755</v>
      </c>
      <c r="F14" s="4" t="s">
        <v>46</v>
      </c>
      <c r="G14" s="4" t="s">
        <v>47</v>
      </c>
      <c r="H14" s="4" t="s">
        <v>45</v>
      </c>
      <c r="I14" s="4" t="s">
        <v>40</v>
      </c>
      <c r="J14" s="4" t="s">
        <v>41</v>
      </c>
      <c r="K14" s="4" t="s">
        <v>1756</v>
      </c>
      <c r="L14" s="4" t="s">
        <v>1757</v>
      </c>
      <c r="AA14" t="s">
        <v>198</v>
      </c>
      <c r="AB14" t="s">
        <v>485</v>
      </c>
      <c r="AF14" t="s">
        <v>476</v>
      </c>
      <c r="AG14" t="s">
        <v>198</v>
      </c>
      <c r="BK14" t="s">
        <v>1758</v>
      </c>
      <c r="BL14">
        <v>28</v>
      </c>
      <c r="BM14">
        <v>2</v>
      </c>
      <c r="BN14" t="s">
        <v>3</v>
      </c>
      <c r="BO14" t="s">
        <v>1759</v>
      </c>
      <c r="BP14">
        <v>42</v>
      </c>
      <c r="BQ14">
        <v>2</v>
      </c>
      <c r="BR14" t="s">
        <v>3</v>
      </c>
      <c r="BS14" t="s">
        <v>1760</v>
      </c>
      <c r="BT14">
        <v>45</v>
      </c>
      <c r="BU14">
        <v>2</v>
      </c>
      <c r="BV14" t="s">
        <v>1694</v>
      </c>
      <c r="BW14" t="s">
        <v>476</v>
      </c>
    </row>
    <row r="15" spans="1:75" ht="70" x14ac:dyDescent="0.35">
      <c r="A15" s="4" t="s">
        <v>65</v>
      </c>
      <c r="B15" s="4" t="s">
        <v>65</v>
      </c>
      <c r="C15" s="4" t="s">
        <v>65</v>
      </c>
      <c r="D15" s="4" t="s">
        <v>1754</v>
      </c>
      <c r="E15" s="4" t="s">
        <v>1761</v>
      </c>
      <c r="F15" s="4" t="s">
        <v>46</v>
      </c>
      <c r="G15" s="4" t="s">
        <v>64</v>
      </c>
      <c r="H15" s="4" t="s">
        <v>45</v>
      </c>
      <c r="I15" s="4" t="s">
        <v>40</v>
      </c>
      <c r="J15" s="4" t="s">
        <v>41</v>
      </c>
      <c r="K15" s="4" t="s">
        <v>1756</v>
      </c>
      <c r="L15" s="4" t="s">
        <v>1757</v>
      </c>
      <c r="AA15" t="s">
        <v>123</v>
      </c>
      <c r="AB15" t="s">
        <v>381</v>
      </c>
      <c r="AF15" t="s">
        <v>1655</v>
      </c>
      <c r="AG15" t="s">
        <v>123</v>
      </c>
      <c r="BK15" t="s">
        <v>1762</v>
      </c>
      <c r="BL15">
        <v>30</v>
      </c>
      <c r="BM15">
        <v>2</v>
      </c>
      <c r="BN15" t="s">
        <v>520</v>
      </c>
      <c r="BO15" t="s">
        <v>1763</v>
      </c>
      <c r="BP15">
        <v>44</v>
      </c>
      <c r="BQ15">
        <v>2</v>
      </c>
      <c r="BR15" t="s">
        <v>1564</v>
      </c>
      <c r="BS15" t="s">
        <v>1764</v>
      </c>
      <c r="BT15">
        <v>47</v>
      </c>
      <c r="BU15">
        <v>2</v>
      </c>
      <c r="BV15" t="s">
        <v>522</v>
      </c>
      <c r="BW15" t="s">
        <v>65</v>
      </c>
    </row>
    <row r="16" spans="1:75" ht="70" x14ac:dyDescent="0.35">
      <c r="A16" s="4" t="s">
        <v>103</v>
      </c>
      <c r="B16" s="4" t="s">
        <v>1765</v>
      </c>
      <c r="C16" s="4" t="s">
        <v>74</v>
      </c>
      <c r="D16" s="4" t="s">
        <v>1766</v>
      </c>
      <c r="E16" s="4" t="s">
        <v>1767</v>
      </c>
      <c r="F16" s="4" t="s">
        <v>46</v>
      </c>
      <c r="G16" s="4" t="s">
        <v>73</v>
      </c>
      <c r="H16" s="4" t="s">
        <v>45</v>
      </c>
      <c r="I16" s="4" t="s">
        <v>40</v>
      </c>
      <c r="J16" s="4" t="s">
        <v>41</v>
      </c>
      <c r="K16" s="4" t="s">
        <v>1756</v>
      </c>
      <c r="L16" s="4" t="s">
        <v>1768</v>
      </c>
      <c r="AA16" t="s">
        <v>135</v>
      </c>
      <c r="AB16" t="s">
        <v>701</v>
      </c>
      <c r="AF16" t="s">
        <v>65</v>
      </c>
      <c r="AG16" t="s">
        <v>135</v>
      </c>
      <c r="BK16" t="s">
        <v>1769</v>
      </c>
      <c r="BL16">
        <v>32</v>
      </c>
      <c r="BM16">
        <v>2</v>
      </c>
      <c r="BN16" t="s">
        <v>3</v>
      </c>
      <c r="BO16" t="s">
        <v>1770</v>
      </c>
      <c r="BP16">
        <v>46</v>
      </c>
      <c r="BQ16">
        <v>2</v>
      </c>
      <c r="BR16" t="s">
        <v>1621</v>
      </c>
      <c r="BS16" t="s">
        <v>1771</v>
      </c>
      <c r="BT16">
        <v>49</v>
      </c>
      <c r="BU16">
        <v>2</v>
      </c>
      <c r="BV16" t="s">
        <v>1565</v>
      </c>
      <c r="BW16" t="s">
        <v>1772</v>
      </c>
    </row>
    <row r="17" spans="1:75" ht="70" x14ac:dyDescent="0.35">
      <c r="A17" s="4" t="s">
        <v>1773</v>
      </c>
      <c r="B17" s="4" t="s">
        <v>1774</v>
      </c>
      <c r="C17" s="4" t="s">
        <v>74</v>
      </c>
      <c r="D17" s="4" t="s">
        <v>1766</v>
      </c>
      <c r="E17" s="4" t="s">
        <v>1767</v>
      </c>
      <c r="F17" s="4" t="s">
        <v>46</v>
      </c>
      <c r="G17" s="4" t="s">
        <v>73</v>
      </c>
      <c r="H17" s="4" t="s">
        <v>45</v>
      </c>
      <c r="I17" s="4" t="s">
        <v>40</v>
      </c>
      <c r="J17" s="4" t="s">
        <v>41</v>
      </c>
      <c r="K17" s="4" t="s">
        <v>1756</v>
      </c>
      <c r="L17" s="4" t="s">
        <v>1768</v>
      </c>
      <c r="AA17" t="s">
        <v>247</v>
      </c>
      <c r="AB17" t="s">
        <v>48</v>
      </c>
      <c r="AF17" t="s">
        <v>637</v>
      </c>
      <c r="AG17" t="s">
        <v>247</v>
      </c>
      <c r="BK17" t="s">
        <v>1775</v>
      </c>
      <c r="BL17">
        <v>34</v>
      </c>
      <c r="BM17">
        <v>2</v>
      </c>
      <c r="BN17" t="s">
        <v>42</v>
      </c>
      <c r="BO17" t="s">
        <v>1776</v>
      </c>
      <c r="BP17">
        <v>48</v>
      </c>
      <c r="BQ17">
        <v>2</v>
      </c>
      <c r="BR17" t="s">
        <v>1596</v>
      </c>
      <c r="BS17" t="s">
        <v>1777</v>
      </c>
      <c r="BT17">
        <v>51</v>
      </c>
      <c r="BU17">
        <v>2</v>
      </c>
      <c r="BV17" t="s">
        <v>3</v>
      </c>
      <c r="BW17" t="s">
        <v>637</v>
      </c>
    </row>
    <row r="18" spans="1:75" ht="112" x14ac:dyDescent="0.35">
      <c r="A18" s="4" t="s">
        <v>85</v>
      </c>
      <c r="B18" s="4" t="s">
        <v>85</v>
      </c>
      <c r="C18" s="4" t="s">
        <v>85</v>
      </c>
      <c r="D18" s="4" t="s">
        <v>1754</v>
      </c>
      <c r="E18" s="4" t="s">
        <v>1761</v>
      </c>
      <c r="F18" s="4" t="s">
        <v>83</v>
      </c>
      <c r="G18" s="4" t="s">
        <v>84</v>
      </c>
      <c r="H18" s="4" t="s">
        <v>82</v>
      </c>
      <c r="I18" s="4" t="s">
        <v>40</v>
      </c>
      <c r="J18" s="4" t="s">
        <v>41</v>
      </c>
      <c r="K18" s="4" t="s">
        <v>1778</v>
      </c>
      <c r="L18" s="4" t="s">
        <v>89</v>
      </c>
      <c r="AA18" t="s">
        <v>149</v>
      </c>
      <c r="AB18" t="s">
        <v>494</v>
      </c>
      <c r="AF18" t="s">
        <v>1584</v>
      </c>
      <c r="AG18" t="s">
        <v>149</v>
      </c>
      <c r="BK18" t="s">
        <v>1779</v>
      </c>
      <c r="BL18">
        <v>36</v>
      </c>
      <c r="BM18">
        <v>2</v>
      </c>
      <c r="BN18" t="s">
        <v>3</v>
      </c>
      <c r="BO18" t="s">
        <v>1780</v>
      </c>
      <c r="BP18">
        <v>50</v>
      </c>
      <c r="BQ18">
        <v>2</v>
      </c>
      <c r="BR18" t="s">
        <v>1652</v>
      </c>
      <c r="BS18" t="s">
        <v>1781</v>
      </c>
      <c r="BT18">
        <v>53</v>
      </c>
      <c r="BU18">
        <v>2</v>
      </c>
      <c r="BV18" t="s">
        <v>1565</v>
      </c>
      <c r="BW18" t="s">
        <v>1584</v>
      </c>
    </row>
    <row r="19" spans="1:75" ht="168" x14ac:dyDescent="0.35">
      <c r="A19" s="4" t="s">
        <v>103</v>
      </c>
      <c r="B19" s="4" t="s">
        <v>95</v>
      </c>
      <c r="C19" s="4" t="s">
        <v>95</v>
      </c>
      <c r="D19" s="4" t="s">
        <v>1754</v>
      </c>
      <c r="E19" s="4" t="s">
        <v>1755</v>
      </c>
      <c r="F19" s="4" t="s">
        <v>94</v>
      </c>
      <c r="G19" s="4" t="s">
        <v>84</v>
      </c>
      <c r="H19" s="4" t="s">
        <v>93</v>
      </c>
      <c r="I19" s="4" t="s">
        <v>40</v>
      </c>
      <c r="J19" s="4" t="s">
        <v>41</v>
      </c>
      <c r="K19" s="4" t="s">
        <v>1782</v>
      </c>
      <c r="L19" s="4" t="s">
        <v>1783</v>
      </c>
      <c r="AA19" t="s">
        <v>191</v>
      </c>
      <c r="AB19" t="s">
        <v>508</v>
      </c>
      <c r="AF19" t="s">
        <v>840</v>
      </c>
      <c r="AG19" t="s">
        <v>191</v>
      </c>
      <c r="BK19" t="s">
        <v>1784</v>
      </c>
      <c r="BL19">
        <v>38</v>
      </c>
      <c r="BM19">
        <v>2</v>
      </c>
      <c r="BN19" t="s">
        <v>42</v>
      </c>
      <c r="BO19" t="s">
        <v>1785</v>
      </c>
      <c r="BP19">
        <v>52</v>
      </c>
      <c r="BQ19">
        <v>5</v>
      </c>
      <c r="BR19" t="s">
        <v>3</v>
      </c>
      <c r="BS19" t="s">
        <v>1786</v>
      </c>
      <c r="BT19">
        <v>55</v>
      </c>
      <c r="BU19">
        <v>2</v>
      </c>
      <c r="BV19" t="s">
        <v>3</v>
      </c>
      <c r="BW19" t="s">
        <v>840</v>
      </c>
    </row>
    <row r="20" spans="1:75" ht="112" x14ac:dyDescent="0.35">
      <c r="A20" s="4" t="s">
        <v>113</v>
      </c>
      <c r="B20" s="4" t="s">
        <v>107</v>
      </c>
      <c r="C20" s="4" t="s">
        <v>107</v>
      </c>
      <c r="D20" s="4" t="s">
        <v>1754</v>
      </c>
      <c r="E20" s="4" t="s">
        <v>1787</v>
      </c>
      <c r="F20" s="4" t="s">
        <v>106</v>
      </c>
      <c r="G20" s="4" t="s">
        <v>84</v>
      </c>
      <c r="H20" s="4" t="s">
        <v>105</v>
      </c>
      <c r="I20" s="4" t="s">
        <v>40</v>
      </c>
      <c r="J20" s="4" t="s">
        <v>41</v>
      </c>
      <c r="K20" s="4" t="s">
        <v>1788</v>
      </c>
      <c r="L20" s="4" t="s">
        <v>1789</v>
      </c>
      <c r="AA20" t="s">
        <v>240</v>
      </c>
      <c r="AB20" t="s">
        <v>323</v>
      </c>
      <c r="AF20" t="s">
        <v>564</v>
      </c>
      <c r="AG20" t="s">
        <v>240</v>
      </c>
      <c r="BK20" t="s">
        <v>1790</v>
      </c>
      <c r="BL20">
        <v>40</v>
      </c>
      <c r="BM20">
        <v>2</v>
      </c>
      <c r="BN20" t="s">
        <v>3</v>
      </c>
      <c r="BO20" t="s">
        <v>1791</v>
      </c>
      <c r="BP20">
        <v>57</v>
      </c>
      <c r="BQ20">
        <v>2</v>
      </c>
      <c r="BR20" t="s">
        <v>1564</v>
      </c>
      <c r="BS20" t="s">
        <v>1792</v>
      </c>
      <c r="BT20">
        <v>57</v>
      </c>
      <c r="BU20">
        <v>2</v>
      </c>
      <c r="BV20" t="s">
        <v>1565</v>
      </c>
      <c r="BW20" t="s">
        <v>564</v>
      </c>
    </row>
    <row r="21" spans="1:75" ht="70" x14ac:dyDescent="0.35">
      <c r="A21" s="4" t="s">
        <v>103</v>
      </c>
      <c r="B21" s="4" t="s">
        <v>1765</v>
      </c>
      <c r="C21" s="4" t="s">
        <v>74</v>
      </c>
      <c r="D21" s="4" t="s">
        <v>1766</v>
      </c>
      <c r="E21" s="4" t="s">
        <v>1767</v>
      </c>
      <c r="F21" s="4" t="s">
        <v>46</v>
      </c>
      <c r="G21" s="4" t="s">
        <v>73</v>
      </c>
      <c r="H21" s="4" t="s">
        <v>45</v>
      </c>
      <c r="I21" s="4" t="s">
        <v>116</v>
      </c>
      <c r="J21" s="4" t="s">
        <v>41</v>
      </c>
      <c r="K21" s="4" t="s">
        <v>1756</v>
      </c>
      <c r="L21" s="4" t="s">
        <v>1768</v>
      </c>
      <c r="AA21" t="s">
        <v>233</v>
      </c>
      <c r="AB21" t="s">
        <v>525</v>
      </c>
      <c r="AF21" t="s">
        <v>629</v>
      </c>
      <c r="AG21" t="s">
        <v>233</v>
      </c>
      <c r="BK21" t="s">
        <v>1793</v>
      </c>
      <c r="BL21">
        <v>42</v>
      </c>
      <c r="BM21">
        <v>2</v>
      </c>
      <c r="BN21" t="s">
        <v>42</v>
      </c>
      <c r="BO21" t="s">
        <v>1794</v>
      </c>
      <c r="BP21">
        <v>59</v>
      </c>
      <c r="BQ21">
        <v>2</v>
      </c>
      <c r="BR21" t="s">
        <v>1621</v>
      </c>
      <c r="BS21" t="s">
        <v>1791</v>
      </c>
      <c r="BT21">
        <v>59</v>
      </c>
      <c r="BU21">
        <v>2</v>
      </c>
      <c r="BV21" t="s">
        <v>3</v>
      </c>
      <c r="BW21" t="s">
        <v>629</v>
      </c>
    </row>
    <row r="22" spans="1:75" ht="70" x14ac:dyDescent="0.35">
      <c r="A22" s="4" t="s">
        <v>1773</v>
      </c>
      <c r="B22" s="4" t="s">
        <v>1774</v>
      </c>
      <c r="C22" s="4" t="s">
        <v>74</v>
      </c>
      <c r="D22" s="4" t="s">
        <v>1766</v>
      </c>
      <c r="E22" s="4" t="s">
        <v>1767</v>
      </c>
      <c r="F22" s="4" t="s">
        <v>46</v>
      </c>
      <c r="G22" s="4" t="s">
        <v>73</v>
      </c>
      <c r="H22" s="4" t="s">
        <v>45</v>
      </c>
      <c r="I22" s="4" t="s">
        <v>116</v>
      </c>
      <c r="J22" s="4" t="s">
        <v>41</v>
      </c>
      <c r="K22" s="4" t="s">
        <v>1756</v>
      </c>
      <c r="L22" s="4" t="s">
        <v>1768</v>
      </c>
      <c r="AA22" t="s">
        <v>226</v>
      </c>
      <c r="AB22" t="s">
        <v>287</v>
      </c>
      <c r="AF22" t="s">
        <v>779</v>
      </c>
      <c r="AG22" t="s">
        <v>226</v>
      </c>
      <c r="BK22" t="s">
        <v>1795</v>
      </c>
      <c r="BL22">
        <v>44</v>
      </c>
      <c r="BM22">
        <v>2</v>
      </c>
      <c r="BN22" t="s">
        <v>3</v>
      </c>
      <c r="BO22" t="s">
        <v>1796</v>
      </c>
      <c r="BP22">
        <v>61</v>
      </c>
      <c r="BQ22">
        <v>3</v>
      </c>
      <c r="BR22" t="s">
        <v>1596</v>
      </c>
      <c r="BS22" t="s">
        <v>1797</v>
      </c>
      <c r="BT22">
        <v>61</v>
      </c>
      <c r="BU22">
        <v>3</v>
      </c>
      <c r="BV22" t="s">
        <v>1565</v>
      </c>
      <c r="BW22" t="s">
        <v>754</v>
      </c>
    </row>
    <row r="23" spans="1:75" ht="70" x14ac:dyDescent="0.35">
      <c r="A23" s="4" t="s">
        <v>65</v>
      </c>
      <c r="B23" s="4" t="s">
        <v>65</v>
      </c>
      <c r="C23" s="4" t="s">
        <v>65</v>
      </c>
      <c r="D23" s="4" t="s">
        <v>1754</v>
      </c>
      <c r="E23" s="4" t="s">
        <v>1761</v>
      </c>
      <c r="F23" s="4" t="s">
        <v>46</v>
      </c>
      <c r="G23" s="4" t="s">
        <v>64</v>
      </c>
      <c r="H23" s="4" t="s">
        <v>45</v>
      </c>
      <c r="I23" s="4" t="s">
        <v>116</v>
      </c>
      <c r="J23" s="4" t="s">
        <v>41</v>
      </c>
      <c r="K23" s="4" t="s">
        <v>1756</v>
      </c>
      <c r="L23" s="4" t="s">
        <v>1757</v>
      </c>
      <c r="AA23" t="s">
        <v>457</v>
      </c>
      <c r="AB23" t="s">
        <v>1798</v>
      </c>
      <c r="AF23" t="s">
        <v>754</v>
      </c>
      <c r="AG23" t="s">
        <v>457</v>
      </c>
      <c r="BK23" t="s">
        <v>1799</v>
      </c>
      <c r="BL23">
        <v>46</v>
      </c>
      <c r="BM23">
        <v>2</v>
      </c>
      <c r="BN23" t="s">
        <v>42</v>
      </c>
      <c r="BO23" t="s">
        <v>1800</v>
      </c>
      <c r="BP23">
        <v>64</v>
      </c>
      <c r="BQ23">
        <v>2</v>
      </c>
      <c r="BR23" t="s">
        <v>1652</v>
      </c>
      <c r="BS23" t="s">
        <v>1801</v>
      </c>
      <c r="BT23">
        <v>64</v>
      </c>
      <c r="BU23">
        <v>2</v>
      </c>
      <c r="BV23" t="s">
        <v>3</v>
      </c>
      <c r="BW23" t="s">
        <v>873</v>
      </c>
    </row>
    <row r="24" spans="1:75" ht="70" x14ac:dyDescent="0.35">
      <c r="A24" s="4" t="s">
        <v>103</v>
      </c>
      <c r="B24" s="4" t="s">
        <v>1765</v>
      </c>
      <c r="C24" s="4" t="s">
        <v>74</v>
      </c>
      <c r="D24" s="4" t="s">
        <v>1766</v>
      </c>
      <c r="E24" s="4" t="s">
        <v>1767</v>
      </c>
      <c r="F24" s="4" t="s">
        <v>46</v>
      </c>
      <c r="G24" s="4" t="s">
        <v>73</v>
      </c>
      <c r="H24" s="4" t="s">
        <v>45</v>
      </c>
      <c r="I24" s="4" t="s">
        <v>116</v>
      </c>
      <c r="J24" s="4" t="s">
        <v>41</v>
      </c>
      <c r="K24" s="4" t="s">
        <v>1756</v>
      </c>
      <c r="L24" s="4" t="s">
        <v>1768</v>
      </c>
      <c r="AB24" t="s">
        <v>607</v>
      </c>
      <c r="AF24" t="s">
        <v>873</v>
      </c>
      <c r="BK24" t="s">
        <v>1802</v>
      </c>
      <c r="BL24">
        <v>48</v>
      </c>
      <c r="BM24">
        <v>2</v>
      </c>
      <c r="BN24" t="s">
        <v>3</v>
      </c>
      <c r="BO24" t="s">
        <v>1803</v>
      </c>
      <c r="BP24">
        <v>66</v>
      </c>
      <c r="BQ24">
        <v>2</v>
      </c>
      <c r="BR24" t="s">
        <v>3</v>
      </c>
      <c r="BS24" t="s">
        <v>1796</v>
      </c>
      <c r="BT24">
        <v>66</v>
      </c>
      <c r="BU24">
        <v>4</v>
      </c>
      <c r="BV24" t="s">
        <v>1565</v>
      </c>
      <c r="BW24" t="s">
        <v>491</v>
      </c>
    </row>
    <row r="25" spans="1:75" ht="70" x14ac:dyDescent="0.35">
      <c r="A25" s="4" t="s">
        <v>1773</v>
      </c>
      <c r="B25" s="4" t="s">
        <v>1774</v>
      </c>
      <c r="C25" s="4" t="s">
        <v>74</v>
      </c>
      <c r="D25" s="4" t="s">
        <v>1766</v>
      </c>
      <c r="E25" s="4" t="s">
        <v>1767</v>
      </c>
      <c r="F25" s="4" t="s">
        <v>46</v>
      </c>
      <c r="G25" s="4" t="s">
        <v>73</v>
      </c>
      <c r="H25" s="4" t="s">
        <v>45</v>
      </c>
      <c r="I25" s="4" t="s">
        <v>116</v>
      </c>
      <c r="J25" s="4" t="s">
        <v>41</v>
      </c>
      <c r="K25" s="4" t="s">
        <v>1756</v>
      </c>
      <c r="L25" s="4" t="s">
        <v>1768</v>
      </c>
      <c r="AB25" t="s">
        <v>621</v>
      </c>
      <c r="AF25" t="s">
        <v>485</v>
      </c>
      <c r="BK25" t="s">
        <v>1804</v>
      </c>
      <c r="BL25">
        <v>50</v>
      </c>
      <c r="BM25">
        <v>2</v>
      </c>
      <c r="BN25" t="s">
        <v>42</v>
      </c>
      <c r="BO25" t="s">
        <v>1805</v>
      </c>
      <c r="BP25">
        <v>68</v>
      </c>
      <c r="BQ25">
        <v>2</v>
      </c>
      <c r="BR25" t="s">
        <v>472</v>
      </c>
      <c r="BS25" t="s">
        <v>1806</v>
      </c>
      <c r="BT25">
        <v>70</v>
      </c>
      <c r="BU25">
        <v>4</v>
      </c>
      <c r="BV25" t="s">
        <v>3</v>
      </c>
      <c r="BW25" t="s">
        <v>1631</v>
      </c>
    </row>
    <row r="26" spans="1:75" ht="112" x14ac:dyDescent="0.35">
      <c r="A26" s="4" t="s">
        <v>85</v>
      </c>
      <c r="B26" s="4" t="s">
        <v>85</v>
      </c>
      <c r="C26" s="4" t="s">
        <v>85</v>
      </c>
      <c r="D26" s="4" t="s">
        <v>1754</v>
      </c>
      <c r="E26" s="4" t="s">
        <v>1761</v>
      </c>
      <c r="F26" s="4" t="s">
        <v>83</v>
      </c>
      <c r="G26" s="4" t="s">
        <v>84</v>
      </c>
      <c r="H26" s="4" t="s">
        <v>82</v>
      </c>
      <c r="I26" s="4" t="s">
        <v>116</v>
      </c>
      <c r="J26" s="4" t="s">
        <v>41</v>
      </c>
      <c r="K26" s="4" t="s">
        <v>1778</v>
      </c>
      <c r="L26" s="4" t="s">
        <v>89</v>
      </c>
      <c r="AB26" t="s">
        <v>811</v>
      </c>
      <c r="AF26" t="s">
        <v>1624</v>
      </c>
      <c r="BK26" t="s">
        <v>1807</v>
      </c>
      <c r="BL26">
        <v>52</v>
      </c>
      <c r="BM26">
        <v>2</v>
      </c>
      <c r="BN26" t="s">
        <v>3</v>
      </c>
      <c r="BO26" t="s">
        <v>1808</v>
      </c>
      <c r="BP26">
        <v>70</v>
      </c>
      <c r="BQ26">
        <v>6</v>
      </c>
      <c r="BR26" t="s">
        <v>3</v>
      </c>
      <c r="BS26" t="s">
        <v>1809</v>
      </c>
      <c r="BT26">
        <v>74</v>
      </c>
      <c r="BU26">
        <v>2</v>
      </c>
      <c r="BV26" t="s">
        <v>1565</v>
      </c>
      <c r="BW26" t="s">
        <v>1202</v>
      </c>
    </row>
    <row r="27" spans="1:75" ht="168" x14ac:dyDescent="0.35">
      <c r="A27" s="4" t="s">
        <v>103</v>
      </c>
      <c r="B27" s="4" t="s">
        <v>95</v>
      </c>
      <c r="C27" s="4" t="s">
        <v>95</v>
      </c>
      <c r="D27" s="4" t="s">
        <v>1754</v>
      </c>
      <c r="E27" s="4" t="s">
        <v>1755</v>
      </c>
      <c r="F27" s="4" t="s">
        <v>94</v>
      </c>
      <c r="G27" s="4" t="s">
        <v>84</v>
      </c>
      <c r="H27" s="4" t="s">
        <v>93</v>
      </c>
      <c r="I27" s="4" t="s">
        <v>116</v>
      </c>
      <c r="J27" s="4" t="s">
        <v>41</v>
      </c>
      <c r="K27" s="4" t="s">
        <v>1782</v>
      </c>
      <c r="L27" s="4" t="s">
        <v>1783</v>
      </c>
      <c r="AB27" t="s">
        <v>95</v>
      </c>
      <c r="AF27" t="s">
        <v>1196</v>
      </c>
      <c r="BK27" t="s">
        <v>1810</v>
      </c>
      <c r="BL27">
        <v>54</v>
      </c>
      <c r="BM27">
        <v>2</v>
      </c>
      <c r="BN27" t="s">
        <v>42</v>
      </c>
      <c r="BO27" t="s">
        <v>1811</v>
      </c>
      <c r="BP27">
        <v>76</v>
      </c>
      <c r="BQ27">
        <v>2</v>
      </c>
      <c r="BR27" t="s">
        <v>897</v>
      </c>
      <c r="BS27" t="s">
        <v>1812</v>
      </c>
      <c r="BT27">
        <v>76</v>
      </c>
      <c r="BU27">
        <v>3</v>
      </c>
      <c r="BV27" t="s">
        <v>3</v>
      </c>
      <c r="BW27" t="s">
        <v>60</v>
      </c>
    </row>
    <row r="28" spans="1:75" ht="112" x14ac:dyDescent="0.35">
      <c r="A28" s="4" t="s">
        <v>113</v>
      </c>
      <c r="B28" s="4" t="s">
        <v>107</v>
      </c>
      <c r="C28" s="4" t="s">
        <v>107</v>
      </c>
      <c r="D28" s="4" t="s">
        <v>1754</v>
      </c>
      <c r="E28" s="4" t="s">
        <v>1787</v>
      </c>
      <c r="F28" s="4" t="s">
        <v>106</v>
      </c>
      <c r="G28" s="4" t="s">
        <v>84</v>
      </c>
      <c r="H28" s="4" t="s">
        <v>105</v>
      </c>
      <c r="I28" s="4" t="s">
        <v>116</v>
      </c>
      <c r="J28" s="4" t="s">
        <v>41</v>
      </c>
      <c r="K28" s="4" t="s">
        <v>1788</v>
      </c>
      <c r="L28" s="4" t="s">
        <v>1789</v>
      </c>
      <c r="AB28" t="s">
        <v>857</v>
      </c>
      <c r="AF28" t="s">
        <v>381</v>
      </c>
      <c r="BK28" t="s">
        <v>1813</v>
      </c>
      <c r="BL28">
        <v>56</v>
      </c>
      <c r="BM28">
        <v>2</v>
      </c>
      <c r="BN28" t="s">
        <v>3</v>
      </c>
      <c r="BO28" t="s">
        <v>1814</v>
      </c>
      <c r="BP28">
        <v>78</v>
      </c>
      <c r="BQ28">
        <v>2</v>
      </c>
      <c r="BR28" t="s">
        <v>3</v>
      </c>
      <c r="BS28" t="s">
        <v>1815</v>
      </c>
      <c r="BT28">
        <v>79</v>
      </c>
      <c r="BU28">
        <v>4</v>
      </c>
      <c r="BV28" t="s">
        <v>1278</v>
      </c>
      <c r="BW28" t="s">
        <v>500</v>
      </c>
    </row>
    <row r="29" spans="1:75" ht="70" x14ac:dyDescent="0.35">
      <c r="A29" s="4" t="s">
        <v>284</v>
      </c>
      <c r="B29" s="4" t="s">
        <v>1816</v>
      </c>
      <c r="C29" s="4" t="s">
        <v>125</v>
      </c>
      <c r="D29" s="4" t="s">
        <v>1766</v>
      </c>
      <c r="E29" s="4" t="s">
        <v>1817</v>
      </c>
      <c r="F29" s="4" t="s">
        <v>46</v>
      </c>
      <c r="G29" s="4" t="s">
        <v>124</v>
      </c>
      <c r="H29" s="4" t="s">
        <v>45</v>
      </c>
      <c r="I29" s="4" t="s">
        <v>123</v>
      </c>
      <c r="J29" s="4" t="s">
        <v>41</v>
      </c>
      <c r="K29" s="4" t="s">
        <v>1756</v>
      </c>
      <c r="L29" s="4" t="s">
        <v>1818</v>
      </c>
      <c r="AB29" t="s">
        <v>798</v>
      </c>
      <c r="AF29" t="s">
        <v>701</v>
      </c>
      <c r="BK29" t="s">
        <v>1819</v>
      </c>
      <c r="BL29">
        <v>58</v>
      </c>
      <c r="BM29">
        <v>2</v>
      </c>
      <c r="BN29" t="s">
        <v>42</v>
      </c>
      <c r="BO29" t="s">
        <v>1820</v>
      </c>
      <c r="BP29">
        <v>80</v>
      </c>
      <c r="BQ29">
        <v>2</v>
      </c>
      <c r="BR29" t="s">
        <v>262</v>
      </c>
      <c r="BS29" t="s">
        <v>1821</v>
      </c>
      <c r="BT29">
        <v>83</v>
      </c>
      <c r="BU29">
        <v>2</v>
      </c>
      <c r="BV29" t="s">
        <v>898</v>
      </c>
      <c r="BW29" t="s">
        <v>1350</v>
      </c>
    </row>
    <row r="30" spans="1:75" ht="70" x14ac:dyDescent="0.35">
      <c r="A30" s="4" t="s">
        <v>354</v>
      </c>
      <c r="B30" s="4" t="s">
        <v>1822</v>
      </c>
      <c r="C30" s="4" t="s">
        <v>125</v>
      </c>
      <c r="D30" s="4" t="s">
        <v>1766</v>
      </c>
      <c r="E30" s="4" t="s">
        <v>1767</v>
      </c>
      <c r="F30" s="4" t="s">
        <v>46</v>
      </c>
      <c r="G30" s="4" t="s">
        <v>124</v>
      </c>
      <c r="H30" s="4" t="s">
        <v>45</v>
      </c>
      <c r="I30" s="4" t="s">
        <v>123</v>
      </c>
      <c r="J30" s="4" t="s">
        <v>41</v>
      </c>
      <c r="K30" s="4" t="s">
        <v>1756</v>
      </c>
      <c r="L30" s="4" t="s">
        <v>1818</v>
      </c>
      <c r="AB30" t="s">
        <v>585</v>
      </c>
      <c r="AF30" t="s">
        <v>48</v>
      </c>
      <c r="BK30" t="s">
        <v>1823</v>
      </c>
      <c r="BL30">
        <v>60</v>
      </c>
      <c r="BM30">
        <v>2</v>
      </c>
      <c r="BN30" t="s">
        <v>3</v>
      </c>
      <c r="BO30" t="s">
        <v>1824</v>
      </c>
      <c r="BP30">
        <v>82</v>
      </c>
      <c r="BQ30">
        <v>2</v>
      </c>
      <c r="BR30" t="s">
        <v>3</v>
      </c>
      <c r="BS30" t="s">
        <v>1808</v>
      </c>
      <c r="BT30">
        <v>85</v>
      </c>
      <c r="BU30">
        <v>11</v>
      </c>
      <c r="BV30" t="s">
        <v>3</v>
      </c>
      <c r="BW30" t="s">
        <v>508</v>
      </c>
    </row>
    <row r="31" spans="1:75" ht="70" x14ac:dyDescent="0.35">
      <c r="A31" s="4" t="s">
        <v>1825</v>
      </c>
      <c r="B31" s="4" t="s">
        <v>1826</v>
      </c>
      <c r="C31" s="4" t="s">
        <v>125</v>
      </c>
      <c r="D31" s="4" t="s">
        <v>1766</v>
      </c>
      <c r="E31" s="4" t="s">
        <v>1767</v>
      </c>
      <c r="F31" s="4" t="s">
        <v>46</v>
      </c>
      <c r="G31" s="4" t="s">
        <v>124</v>
      </c>
      <c r="H31" s="4" t="s">
        <v>45</v>
      </c>
      <c r="I31" s="4" t="s">
        <v>123</v>
      </c>
      <c r="J31" s="4" t="s">
        <v>41</v>
      </c>
      <c r="K31" s="4" t="s">
        <v>1756</v>
      </c>
      <c r="L31" s="4" t="s">
        <v>1818</v>
      </c>
      <c r="AB31" t="s">
        <v>765</v>
      </c>
      <c r="AF31" t="s">
        <v>494</v>
      </c>
      <c r="BK31" t="s">
        <v>1827</v>
      </c>
      <c r="BL31">
        <v>62</v>
      </c>
      <c r="BM31">
        <v>2</v>
      </c>
      <c r="BN31" t="s">
        <v>42</v>
      </c>
      <c r="BO31" t="s">
        <v>1828</v>
      </c>
      <c r="BP31">
        <v>84</v>
      </c>
      <c r="BQ31">
        <v>2</v>
      </c>
      <c r="BR31" t="s">
        <v>472</v>
      </c>
      <c r="BV31" t="s">
        <v>522</v>
      </c>
      <c r="BW31" t="s">
        <v>330</v>
      </c>
    </row>
    <row r="32" spans="1:75" ht="70" x14ac:dyDescent="0.35">
      <c r="A32" s="4" t="s">
        <v>65</v>
      </c>
      <c r="B32" s="4" t="s">
        <v>65</v>
      </c>
      <c r="C32" s="4" t="s">
        <v>65</v>
      </c>
      <c r="D32" s="4" t="s">
        <v>1754</v>
      </c>
      <c r="E32" s="4" t="s">
        <v>1761</v>
      </c>
      <c r="F32" s="4" t="s">
        <v>46</v>
      </c>
      <c r="G32" s="4" t="s">
        <v>64</v>
      </c>
      <c r="H32" s="4" t="s">
        <v>45</v>
      </c>
      <c r="I32" s="4" t="s">
        <v>123</v>
      </c>
      <c r="J32" s="4" t="s">
        <v>41</v>
      </c>
      <c r="K32" s="4" t="s">
        <v>1756</v>
      </c>
      <c r="L32" s="4" t="s">
        <v>1757</v>
      </c>
      <c r="AB32" t="s">
        <v>74</v>
      </c>
      <c r="AF32" t="s">
        <v>1343</v>
      </c>
      <c r="BK32" t="s">
        <v>1829</v>
      </c>
      <c r="BL32">
        <v>64</v>
      </c>
      <c r="BM32">
        <v>2</v>
      </c>
      <c r="BN32" t="s">
        <v>3</v>
      </c>
      <c r="BO32" t="s">
        <v>1830</v>
      </c>
      <c r="BP32">
        <v>86</v>
      </c>
      <c r="BQ32">
        <v>2</v>
      </c>
      <c r="BR32" t="s">
        <v>3</v>
      </c>
      <c r="BV32" t="s">
        <v>3</v>
      </c>
      <c r="BW32" t="s">
        <v>885</v>
      </c>
    </row>
    <row r="33" spans="1:75" ht="70" x14ac:dyDescent="0.35">
      <c r="A33" s="4" t="s">
        <v>103</v>
      </c>
      <c r="B33" s="4" t="s">
        <v>1765</v>
      </c>
      <c r="C33" s="4" t="s">
        <v>74</v>
      </c>
      <c r="D33" s="4" t="s">
        <v>1766</v>
      </c>
      <c r="E33" s="4" t="s">
        <v>1767</v>
      </c>
      <c r="F33" s="4" t="s">
        <v>46</v>
      </c>
      <c r="G33" s="4" t="s">
        <v>73</v>
      </c>
      <c r="H33" s="4" t="s">
        <v>45</v>
      </c>
      <c r="I33" s="4" t="s">
        <v>123</v>
      </c>
      <c r="J33" s="4" t="s">
        <v>41</v>
      </c>
      <c r="K33" s="4" t="s">
        <v>1756</v>
      </c>
      <c r="L33" s="4" t="s">
        <v>1768</v>
      </c>
      <c r="AB33" t="s">
        <v>827</v>
      </c>
      <c r="AF33" t="s">
        <v>508</v>
      </c>
      <c r="BK33" t="s">
        <v>1715</v>
      </c>
      <c r="BL33">
        <v>66</v>
      </c>
      <c r="BM33">
        <v>2</v>
      </c>
      <c r="BN33" t="s">
        <v>42</v>
      </c>
      <c r="BO33" t="s">
        <v>1831</v>
      </c>
      <c r="BP33">
        <v>88</v>
      </c>
      <c r="BQ33">
        <v>2</v>
      </c>
      <c r="BR33" t="s">
        <v>262</v>
      </c>
      <c r="BV33" t="s">
        <v>334</v>
      </c>
      <c r="BW33" t="s">
        <v>533</v>
      </c>
    </row>
    <row r="34" spans="1:75" ht="70" x14ac:dyDescent="0.35">
      <c r="A34" s="4" t="s">
        <v>1773</v>
      </c>
      <c r="B34" s="4" t="s">
        <v>1774</v>
      </c>
      <c r="C34" s="4" t="s">
        <v>74</v>
      </c>
      <c r="D34" s="4" t="s">
        <v>1766</v>
      </c>
      <c r="E34" s="4" t="s">
        <v>1767</v>
      </c>
      <c r="F34" s="4" t="s">
        <v>46</v>
      </c>
      <c r="G34" s="4" t="s">
        <v>73</v>
      </c>
      <c r="H34" s="4" t="s">
        <v>45</v>
      </c>
      <c r="I34" s="4" t="s">
        <v>123</v>
      </c>
      <c r="J34" s="4" t="s">
        <v>41</v>
      </c>
      <c r="K34" s="4" t="s">
        <v>1756</v>
      </c>
      <c r="L34" s="4" t="s">
        <v>1768</v>
      </c>
      <c r="AB34" t="s">
        <v>717</v>
      </c>
      <c r="AF34" t="s">
        <v>323</v>
      </c>
      <c r="BK34" t="s">
        <v>1718</v>
      </c>
      <c r="BL34">
        <v>68</v>
      </c>
      <c r="BM34">
        <v>2</v>
      </c>
      <c r="BN34" t="s">
        <v>3</v>
      </c>
      <c r="BO34" t="s">
        <v>1832</v>
      </c>
      <c r="BP34">
        <v>90</v>
      </c>
      <c r="BQ34">
        <v>2</v>
      </c>
      <c r="BR34" t="s">
        <v>3</v>
      </c>
      <c r="BV34" t="s">
        <v>1525</v>
      </c>
      <c r="BW34" t="s">
        <v>1058</v>
      </c>
    </row>
    <row r="35" spans="1:75" ht="112" x14ac:dyDescent="0.35">
      <c r="A35" s="4" t="s">
        <v>85</v>
      </c>
      <c r="B35" s="4" t="s">
        <v>85</v>
      </c>
      <c r="C35" s="4" t="s">
        <v>85</v>
      </c>
      <c r="D35" s="4" t="s">
        <v>1754</v>
      </c>
      <c r="E35" s="4" t="s">
        <v>1761</v>
      </c>
      <c r="F35" s="4" t="s">
        <v>83</v>
      </c>
      <c r="G35" s="4" t="s">
        <v>84</v>
      </c>
      <c r="H35" s="4" t="s">
        <v>82</v>
      </c>
      <c r="I35" s="4" t="s">
        <v>123</v>
      </c>
      <c r="J35" s="4" t="s">
        <v>41</v>
      </c>
      <c r="K35" s="4" t="s">
        <v>1778</v>
      </c>
      <c r="L35" s="4" t="s">
        <v>89</v>
      </c>
      <c r="AB35" t="s">
        <v>651</v>
      </c>
      <c r="AF35" t="s">
        <v>885</v>
      </c>
      <c r="BK35" t="s">
        <v>1722</v>
      </c>
      <c r="BL35">
        <v>70</v>
      </c>
      <c r="BM35">
        <v>2</v>
      </c>
      <c r="BN35" t="s">
        <v>42</v>
      </c>
      <c r="BO35" t="s">
        <v>1833</v>
      </c>
      <c r="BP35">
        <v>92</v>
      </c>
      <c r="BQ35">
        <v>2</v>
      </c>
      <c r="BR35" t="s">
        <v>1077</v>
      </c>
      <c r="BV35" t="s">
        <v>263</v>
      </c>
      <c r="BW35" t="s">
        <v>294</v>
      </c>
    </row>
    <row r="36" spans="1:75" ht="168" x14ac:dyDescent="0.35">
      <c r="A36" s="4" t="s">
        <v>103</v>
      </c>
      <c r="B36" s="4" t="s">
        <v>95</v>
      </c>
      <c r="C36" s="4" t="s">
        <v>95</v>
      </c>
      <c r="D36" s="4" t="s">
        <v>1754</v>
      </c>
      <c r="E36" s="4" t="s">
        <v>1755</v>
      </c>
      <c r="F36" s="4" t="s">
        <v>94</v>
      </c>
      <c r="G36" s="4" t="s">
        <v>84</v>
      </c>
      <c r="H36" s="4" t="s">
        <v>93</v>
      </c>
      <c r="I36" s="4" t="s">
        <v>123</v>
      </c>
      <c r="J36" s="4" t="s">
        <v>41</v>
      </c>
      <c r="K36" s="4" t="s">
        <v>1782</v>
      </c>
      <c r="L36" s="4" t="s">
        <v>1783</v>
      </c>
      <c r="AB36" t="s">
        <v>337</v>
      </c>
      <c r="AF36" t="s">
        <v>525</v>
      </c>
      <c r="BK36" t="s">
        <v>1724</v>
      </c>
      <c r="BL36">
        <v>72</v>
      </c>
      <c r="BM36">
        <v>2</v>
      </c>
      <c r="BN36" t="s">
        <v>3</v>
      </c>
      <c r="BO36" t="s">
        <v>1834</v>
      </c>
      <c r="BP36">
        <v>94</v>
      </c>
      <c r="BQ36">
        <v>2</v>
      </c>
      <c r="BR36" t="s">
        <v>3</v>
      </c>
      <c r="BV36" t="s">
        <v>3</v>
      </c>
      <c r="BW36" t="s">
        <v>320</v>
      </c>
    </row>
    <row r="37" spans="1:75" ht="112" x14ac:dyDescent="0.35">
      <c r="A37" s="4" t="s">
        <v>113</v>
      </c>
      <c r="B37" s="4" t="s">
        <v>107</v>
      </c>
      <c r="C37" s="4" t="s">
        <v>107</v>
      </c>
      <c r="D37" s="4" t="s">
        <v>1754</v>
      </c>
      <c r="E37" s="4" t="s">
        <v>1787</v>
      </c>
      <c r="F37" s="4" t="s">
        <v>106</v>
      </c>
      <c r="G37" s="4" t="s">
        <v>84</v>
      </c>
      <c r="H37" s="4" t="s">
        <v>105</v>
      </c>
      <c r="I37" s="4" t="s">
        <v>123</v>
      </c>
      <c r="J37" s="4" t="s">
        <v>41</v>
      </c>
      <c r="K37" s="4" t="s">
        <v>1788</v>
      </c>
      <c r="L37" s="4" t="s">
        <v>1789</v>
      </c>
      <c r="AB37" t="s">
        <v>364</v>
      </c>
      <c r="AF37" t="s">
        <v>1050</v>
      </c>
      <c r="BK37" t="s">
        <v>1727</v>
      </c>
      <c r="BL37">
        <v>74</v>
      </c>
      <c r="BM37">
        <v>2</v>
      </c>
      <c r="BN37" t="s">
        <v>42</v>
      </c>
      <c r="BR37" t="s">
        <v>897</v>
      </c>
      <c r="BV37" t="s">
        <v>776</v>
      </c>
      <c r="BW37" t="s">
        <v>1544</v>
      </c>
    </row>
    <row r="38" spans="1:75" ht="70" x14ac:dyDescent="0.35">
      <c r="A38" s="4" t="s">
        <v>284</v>
      </c>
      <c r="B38" s="4" t="s">
        <v>1816</v>
      </c>
      <c r="C38" s="4" t="s">
        <v>125</v>
      </c>
      <c r="D38" s="4" t="s">
        <v>1766</v>
      </c>
      <c r="E38" s="4" t="s">
        <v>1817</v>
      </c>
      <c r="F38" s="4" t="s">
        <v>46</v>
      </c>
      <c r="G38" s="4" t="s">
        <v>124</v>
      </c>
      <c r="H38" s="4" t="s">
        <v>45</v>
      </c>
      <c r="I38" s="4" t="s">
        <v>135</v>
      </c>
      <c r="J38" s="4" t="s">
        <v>41</v>
      </c>
      <c r="K38" s="4" t="s">
        <v>1756</v>
      </c>
      <c r="L38" s="4" t="s">
        <v>1818</v>
      </c>
      <c r="AB38" t="s">
        <v>296</v>
      </c>
      <c r="AF38" t="s">
        <v>1312</v>
      </c>
      <c r="BK38" t="s">
        <v>1730</v>
      </c>
      <c r="BL38">
        <v>76</v>
      </c>
      <c r="BM38">
        <v>2</v>
      </c>
      <c r="BN38" t="s">
        <v>3</v>
      </c>
      <c r="BR38" t="s">
        <v>3</v>
      </c>
      <c r="BV38" t="s">
        <v>3</v>
      </c>
      <c r="BW38" t="s">
        <v>607</v>
      </c>
    </row>
    <row r="39" spans="1:75" ht="70" x14ac:dyDescent="0.35">
      <c r="A39" s="4" t="s">
        <v>354</v>
      </c>
      <c r="B39" s="4" t="s">
        <v>1822</v>
      </c>
      <c r="C39" s="4" t="s">
        <v>125</v>
      </c>
      <c r="D39" s="4" t="s">
        <v>1766</v>
      </c>
      <c r="E39" s="4" t="s">
        <v>1767</v>
      </c>
      <c r="F39" s="4" t="s">
        <v>46</v>
      </c>
      <c r="G39" s="4" t="s">
        <v>124</v>
      </c>
      <c r="H39" s="4" t="s">
        <v>45</v>
      </c>
      <c r="I39" s="4" t="s">
        <v>135</v>
      </c>
      <c r="J39" s="4" t="s">
        <v>41</v>
      </c>
      <c r="K39" s="4" t="s">
        <v>1756</v>
      </c>
      <c r="L39" s="4" t="s">
        <v>1818</v>
      </c>
      <c r="AB39" t="s">
        <v>502</v>
      </c>
      <c r="AF39" t="s">
        <v>287</v>
      </c>
      <c r="BK39" t="s">
        <v>1733</v>
      </c>
      <c r="BL39">
        <v>78</v>
      </c>
      <c r="BM39">
        <v>2</v>
      </c>
      <c r="BN39" t="s">
        <v>42</v>
      </c>
      <c r="BR39" t="s">
        <v>43</v>
      </c>
      <c r="BV39" t="s">
        <v>1405</v>
      </c>
      <c r="BW39" t="s">
        <v>621</v>
      </c>
    </row>
    <row r="40" spans="1:75" ht="70" x14ac:dyDescent="0.35">
      <c r="A40" s="4" t="s">
        <v>1825</v>
      </c>
      <c r="B40" s="4" t="s">
        <v>1826</v>
      </c>
      <c r="C40" s="4" t="s">
        <v>125</v>
      </c>
      <c r="D40" s="4" t="s">
        <v>1766</v>
      </c>
      <c r="E40" s="4" t="s">
        <v>1767</v>
      </c>
      <c r="F40" s="4" t="s">
        <v>46</v>
      </c>
      <c r="G40" s="4" t="s">
        <v>124</v>
      </c>
      <c r="H40" s="4" t="s">
        <v>45</v>
      </c>
      <c r="I40" s="4" t="s">
        <v>135</v>
      </c>
      <c r="J40" s="4" t="s">
        <v>41</v>
      </c>
      <c r="K40" s="4" t="s">
        <v>1756</v>
      </c>
      <c r="L40" s="4" t="s">
        <v>1818</v>
      </c>
      <c r="AB40" t="s">
        <v>644</v>
      </c>
      <c r="AF40" t="s">
        <v>1544</v>
      </c>
      <c r="BK40" t="s">
        <v>1737</v>
      </c>
      <c r="BL40">
        <v>80</v>
      </c>
      <c r="BM40">
        <v>2</v>
      </c>
      <c r="BN40" t="s">
        <v>3</v>
      </c>
      <c r="BR40" t="s">
        <v>3</v>
      </c>
      <c r="BV40" t="s">
        <v>44</v>
      </c>
      <c r="BW40" t="s">
        <v>1144</v>
      </c>
    </row>
    <row r="41" spans="1:75" ht="70" x14ac:dyDescent="0.35">
      <c r="A41" s="4" t="s">
        <v>65</v>
      </c>
      <c r="B41" s="4" t="s">
        <v>65</v>
      </c>
      <c r="C41" s="4" t="s">
        <v>65</v>
      </c>
      <c r="D41" s="4" t="s">
        <v>1754</v>
      </c>
      <c r="E41" s="4" t="s">
        <v>1761</v>
      </c>
      <c r="F41" s="4" t="s">
        <v>46</v>
      </c>
      <c r="G41" s="4" t="s">
        <v>64</v>
      </c>
      <c r="H41" s="4" t="s">
        <v>45</v>
      </c>
      <c r="I41" s="4" t="s">
        <v>135</v>
      </c>
      <c r="J41" s="4" t="s">
        <v>41</v>
      </c>
      <c r="K41" s="4" t="s">
        <v>1756</v>
      </c>
      <c r="L41" s="4" t="s">
        <v>1757</v>
      </c>
      <c r="AB41" t="s">
        <v>687</v>
      </c>
      <c r="AF41" t="s">
        <v>607</v>
      </c>
      <c r="BK41" t="s">
        <v>1752</v>
      </c>
      <c r="BL41">
        <v>82</v>
      </c>
      <c r="BM41">
        <v>2</v>
      </c>
      <c r="BN41" t="s">
        <v>42</v>
      </c>
      <c r="BR41" t="s">
        <v>262</v>
      </c>
      <c r="BV41" t="s">
        <v>3</v>
      </c>
      <c r="BW41" t="s">
        <v>1589</v>
      </c>
    </row>
    <row r="42" spans="1:75" ht="70" x14ac:dyDescent="0.35">
      <c r="A42" s="4" t="s">
        <v>103</v>
      </c>
      <c r="B42" s="4" t="s">
        <v>1765</v>
      </c>
      <c r="C42" s="4" t="s">
        <v>74</v>
      </c>
      <c r="D42" s="4" t="s">
        <v>1766</v>
      </c>
      <c r="E42" s="4" t="s">
        <v>1767</v>
      </c>
      <c r="F42" s="4" t="s">
        <v>46</v>
      </c>
      <c r="G42" s="4" t="s">
        <v>73</v>
      </c>
      <c r="H42" s="4" t="s">
        <v>45</v>
      </c>
      <c r="I42" s="4" t="s">
        <v>135</v>
      </c>
      <c r="J42" s="4" t="s">
        <v>41</v>
      </c>
      <c r="K42" s="4" t="s">
        <v>1756</v>
      </c>
      <c r="L42" s="4" t="s">
        <v>1768</v>
      </c>
      <c r="AB42" t="s">
        <v>313</v>
      </c>
      <c r="AF42" t="s">
        <v>621</v>
      </c>
      <c r="BK42" t="s">
        <v>1759</v>
      </c>
      <c r="BL42">
        <v>84</v>
      </c>
      <c r="BM42">
        <v>2</v>
      </c>
      <c r="BN42" t="s">
        <v>3</v>
      </c>
      <c r="BR42" t="s">
        <v>3</v>
      </c>
      <c r="BV42" t="s">
        <v>870</v>
      </c>
      <c r="BW42" t="s">
        <v>817</v>
      </c>
    </row>
    <row r="43" spans="1:75" ht="70" x14ac:dyDescent="0.35">
      <c r="A43" s="4" t="s">
        <v>1773</v>
      </c>
      <c r="B43" s="4" t="s">
        <v>1774</v>
      </c>
      <c r="C43" s="4" t="s">
        <v>74</v>
      </c>
      <c r="D43" s="4" t="s">
        <v>1766</v>
      </c>
      <c r="E43" s="4" t="s">
        <v>1767</v>
      </c>
      <c r="F43" s="4" t="s">
        <v>46</v>
      </c>
      <c r="G43" s="4" t="s">
        <v>73</v>
      </c>
      <c r="H43" s="4" t="s">
        <v>45</v>
      </c>
      <c r="I43" s="4" t="s">
        <v>135</v>
      </c>
      <c r="J43" s="4" t="s">
        <v>41</v>
      </c>
      <c r="K43" s="4" t="s">
        <v>1756</v>
      </c>
      <c r="L43" s="4" t="s">
        <v>1768</v>
      </c>
      <c r="AB43" t="s">
        <v>266</v>
      </c>
      <c r="AF43" t="s">
        <v>1144</v>
      </c>
      <c r="BK43" t="s">
        <v>1763</v>
      </c>
      <c r="BL43">
        <v>86</v>
      </c>
      <c r="BM43">
        <v>2</v>
      </c>
      <c r="BN43" t="s">
        <v>896</v>
      </c>
      <c r="BR43" t="s">
        <v>43</v>
      </c>
      <c r="BV43" t="s">
        <v>473</v>
      </c>
      <c r="BW43" t="s">
        <v>1034</v>
      </c>
    </row>
    <row r="44" spans="1:75" ht="112" x14ac:dyDescent="0.35">
      <c r="A44" s="4" t="s">
        <v>85</v>
      </c>
      <c r="B44" s="4" t="s">
        <v>85</v>
      </c>
      <c r="C44" s="4" t="s">
        <v>85</v>
      </c>
      <c r="D44" s="4" t="s">
        <v>1754</v>
      </c>
      <c r="E44" s="4" t="s">
        <v>1761</v>
      </c>
      <c r="F44" s="4" t="s">
        <v>83</v>
      </c>
      <c r="G44" s="4" t="s">
        <v>84</v>
      </c>
      <c r="H44" s="4" t="s">
        <v>82</v>
      </c>
      <c r="I44" s="4" t="s">
        <v>135</v>
      </c>
      <c r="J44" s="4" t="s">
        <v>41</v>
      </c>
      <c r="K44" s="4" t="s">
        <v>1778</v>
      </c>
      <c r="L44" s="4" t="s">
        <v>89</v>
      </c>
      <c r="AB44" t="s">
        <v>460</v>
      </c>
      <c r="AF44" t="s">
        <v>1589</v>
      </c>
      <c r="BK44" t="s">
        <v>1770</v>
      </c>
      <c r="BL44">
        <v>88</v>
      </c>
      <c r="BM44">
        <v>2</v>
      </c>
      <c r="BN44" t="s">
        <v>3</v>
      </c>
      <c r="BR44" t="s">
        <v>3</v>
      </c>
      <c r="BV44" t="s">
        <v>751</v>
      </c>
      <c r="BW44" t="s">
        <v>1550</v>
      </c>
    </row>
    <row r="45" spans="1:75" ht="168" x14ac:dyDescent="0.35">
      <c r="A45" s="4" t="s">
        <v>103</v>
      </c>
      <c r="B45" s="4" t="s">
        <v>95</v>
      </c>
      <c r="C45" s="4" t="s">
        <v>95</v>
      </c>
      <c r="D45" s="4" t="s">
        <v>1754</v>
      </c>
      <c r="E45" s="4" t="s">
        <v>1755</v>
      </c>
      <c r="F45" s="4" t="s">
        <v>94</v>
      </c>
      <c r="G45" s="4" t="s">
        <v>84</v>
      </c>
      <c r="H45" s="4" t="s">
        <v>93</v>
      </c>
      <c r="I45" s="4" t="s">
        <v>135</v>
      </c>
      <c r="J45" s="4" t="s">
        <v>41</v>
      </c>
      <c r="K45" s="4" t="s">
        <v>1782</v>
      </c>
      <c r="L45" s="4" t="s">
        <v>1783</v>
      </c>
      <c r="AB45" t="s">
        <v>125</v>
      </c>
      <c r="AF45" t="s">
        <v>811</v>
      </c>
      <c r="BK45" t="s">
        <v>1776</v>
      </c>
      <c r="BL45">
        <v>90</v>
      </c>
      <c r="BM45">
        <v>2</v>
      </c>
      <c r="BN45" t="s">
        <v>896</v>
      </c>
      <c r="BR45" t="s">
        <v>775</v>
      </c>
      <c r="BV45" t="s">
        <v>3</v>
      </c>
      <c r="BW45" t="s">
        <v>1539</v>
      </c>
    </row>
    <row r="46" spans="1:75" ht="112" x14ac:dyDescent="0.35">
      <c r="A46" s="4" t="s">
        <v>113</v>
      </c>
      <c r="B46" s="4" t="s">
        <v>107</v>
      </c>
      <c r="C46" s="4" t="s">
        <v>107</v>
      </c>
      <c r="D46" s="4" t="s">
        <v>1754</v>
      </c>
      <c r="E46" s="4" t="s">
        <v>1787</v>
      </c>
      <c r="F46" s="4" t="s">
        <v>106</v>
      </c>
      <c r="G46" s="4" t="s">
        <v>84</v>
      </c>
      <c r="H46" s="4" t="s">
        <v>105</v>
      </c>
      <c r="I46" s="4" t="s">
        <v>135</v>
      </c>
      <c r="J46" s="4" t="s">
        <v>41</v>
      </c>
      <c r="K46" s="4" t="s">
        <v>1788</v>
      </c>
      <c r="L46" s="4" t="s">
        <v>1789</v>
      </c>
      <c r="AB46" t="s">
        <v>848</v>
      </c>
      <c r="AF46" t="s">
        <v>1026</v>
      </c>
      <c r="BK46" t="s">
        <v>1780</v>
      </c>
      <c r="BL46">
        <v>92</v>
      </c>
      <c r="BM46">
        <v>2</v>
      </c>
      <c r="BN46" t="s">
        <v>3</v>
      </c>
      <c r="BR46" t="s">
        <v>3</v>
      </c>
      <c r="BV46" t="s">
        <v>1078</v>
      </c>
      <c r="BW46" t="s">
        <v>1825</v>
      </c>
    </row>
    <row r="47" spans="1:75" ht="70" x14ac:dyDescent="0.35">
      <c r="A47" s="4" t="s">
        <v>284</v>
      </c>
      <c r="B47" s="4" t="s">
        <v>1816</v>
      </c>
      <c r="C47" s="4" t="s">
        <v>125</v>
      </c>
      <c r="D47" s="4" t="s">
        <v>1766</v>
      </c>
      <c r="E47" s="4" t="s">
        <v>1817</v>
      </c>
      <c r="F47" s="4" t="s">
        <v>46</v>
      </c>
      <c r="G47" s="4" t="s">
        <v>124</v>
      </c>
      <c r="H47" s="4" t="s">
        <v>45</v>
      </c>
      <c r="I47" s="4" t="s">
        <v>142</v>
      </c>
      <c r="J47" s="4" t="s">
        <v>41</v>
      </c>
      <c r="K47" s="4" t="s">
        <v>1756</v>
      </c>
      <c r="L47" s="4" t="s">
        <v>1818</v>
      </c>
      <c r="AB47" t="s">
        <v>665</v>
      </c>
      <c r="AF47" t="s">
        <v>1550</v>
      </c>
      <c r="BK47" t="s">
        <v>1785</v>
      </c>
      <c r="BL47">
        <v>94</v>
      </c>
      <c r="BM47">
        <v>2</v>
      </c>
      <c r="BN47" t="s">
        <v>42</v>
      </c>
      <c r="BR47" t="s">
        <v>472</v>
      </c>
      <c r="BV47" t="s">
        <v>3</v>
      </c>
      <c r="BW47" t="s">
        <v>1115</v>
      </c>
    </row>
    <row r="48" spans="1:75" ht="70" x14ac:dyDescent="0.35">
      <c r="A48" s="4" t="s">
        <v>354</v>
      </c>
      <c r="B48" s="4" t="s">
        <v>1822</v>
      </c>
      <c r="C48" s="4" t="s">
        <v>125</v>
      </c>
      <c r="D48" s="4" t="s">
        <v>1766</v>
      </c>
      <c r="E48" s="4" t="s">
        <v>1767</v>
      </c>
      <c r="F48" s="4" t="s">
        <v>46</v>
      </c>
      <c r="G48" s="4" t="s">
        <v>124</v>
      </c>
      <c r="H48" s="4" t="s">
        <v>45</v>
      </c>
      <c r="I48" s="4" t="s">
        <v>142</v>
      </c>
      <c r="J48" s="4" t="s">
        <v>41</v>
      </c>
      <c r="K48" s="4" t="s">
        <v>1756</v>
      </c>
      <c r="L48" s="4" t="s">
        <v>1818</v>
      </c>
      <c r="AB48" t="s">
        <v>350</v>
      </c>
      <c r="AF48" t="s">
        <v>1539</v>
      </c>
      <c r="BN48" t="s">
        <v>3</v>
      </c>
      <c r="BR48" t="s">
        <v>3</v>
      </c>
      <c r="BV48" t="s">
        <v>1694</v>
      </c>
      <c r="BW48" t="s">
        <v>1094</v>
      </c>
    </row>
    <row r="49" spans="1:75" ht="70" x14ac:dyDescent="0.35">
      <c r="A49" s="4" t="s">
        <v>1825</v>
      </c>
      <c r="B49" s="4" t="s">
        <v>1826</v>
      </c>
      <c r="C49" s="4" t="s">
        <v>125</v>
      </c>
      <c r="D49" s="4" t="s">
        <v>1766</v>
      </c>
      <c r="E49" s="4" t="s">
        <v>1767</v>
      </c>
      <c r="F49" s="4" t="s">
        <v>46</v>
      </c>
      <c r="G49" s="4" t="s">
        <v>124</v>
      </c>
      <c r="H49" s="4" t="s">
        <v>45</v>
      </c>
      <c r="I49" s="4" t="s">
        <v>142</v>
      </c>
      <c r="J49" s="4" t="s">
        <v>41</v>
      </c>
      <c r="K49" s="4" t="s">
        <v>1756</v>
      </c>
      <c r="L49" s="4" t="s">
        <v>1818</v>
      </c>
      <c r="AB49" t="s">
        <v>873</v>
      </c>
      <c r="AF49" t="s">
        <v>1639</v>
      </c>
      <c r="BN49" t="s">
        <v>42</v>
      </c>
      <c r="BR49" t="s">
        <v>1693</v>
      </c>
      <c r="BV49" t="s">
        <v>3</v>
      </c>
      <c r="BW49" t="s">
        <v>103</v>
      </c>
    </row>
    <row r="50" spans="1:75" ht="70" x14ac:dyDescent="0.35">
      <c r="A50" s="4" t="s">
        <v>65</v>
      </c>
      <c r="B50" s="4" t="s">
        <v>65</v>
      </c>
      <c r="C50" s="4" t="s">
        <v>65</v>
      </c>
      <c r="D50" s="4" t="s">
        <v>1754</v>
      </c>
      <c r="E50" s="4" t="s">
        <v>1761</v>
      </c>
      <c r="F50" s="4" t="s">
        <v>46</v>
      </c>
      <c r="G50" s="4" t="s">
        <v>64</v>
      </c>
      <c r="H50" s="4" t="s">
        <v>45</v>
      </c>
      <c r="I50" s="4" t="s">
        <v>142</v>
      </c>
      <c r="J50" s="4" t="s">
        <v>41</v>
      </c>
      <c r="K50" s="4" t="s">
        <v>1756</v>
      </c>
      <c r="L50" s="4" t="s">
        <v>1757</v>
      </c>
      <c r="AB50" t="s">
        <v>885</v>
      </c>
      <c r="AF50" t="s">
        <v>95</v>
      </c>
      <c r="BN50" t="s">
        <v>3</v>
      </c>
      <c r="BR50" t="s">
        <v>3</v>
      </c>
      <c r="BV50" t="s">
        <v>1565</v>
      </c>
      <c r="BW50" t="s">
        <v>1835</v>
      </c>
    </row>
    <row r="51" spans="1:75" ht="70" x14ac:dyDescent="0.35">
      <c r="A51" s="4" t="s">
        <v>103</v>
      </c>
      <c r="B51" s="4" t="s">
        <v>1765</v>
      </c>
      <c r="C51" s="4" t="s">
        <v>74</v>
      </c>
      <c r="D51" s="4" t="s">
        <v>1766</v>
      </c>
      <c r="E51" s="4" t="s">
        <v>1767</v>
      </c>
      <c r="F51" s="4" t="s">
        <v>46</v>
      </c>
      <c r="G51" s="4" t="s">
        <v>73</v>
      </c>
      <c r="H51" s="4" t="s">
        <v>45</v>
      </c>
      <c r="I51" s="4" t="s">
        <v>142</v>
      </c>
      <c r="J51" s="4" t="s">
        <v>41</v>
      </c>
      <c r="K51" s="4" t="s">
        <v>1756</v>
      </c>
      <c r="L51" s="4" t="s">
        <v>1768</v>
      </c>
      <c r="AB51" t="s">
        <v>1050</v>
      </c>
      <c r="AF51" t="s">
        <v>1264</v>
      </c>
      <c r="BN51" t="s">
        <v>1563</v>
      </c>
      <c r="BR51" t="s">
        <v>521</v>
      </c>
      <c r="BV51" t="s">
        <v>3</v>
      </c>
      <c r="BW51" t="s">
        <v>1661</v>
      </c>
    </row>
    <row r="52" spans="1:75" ht="70" x14ac:dyDescent="0.35">
      <c r="A52" s="4" t="s">
        <v>1773</v>
      </c>
      <c r="B52" s="4" t="s">
        <v>1774</v>
      </c>
      <c r="C52" s="4" t="s">
        <v>74</v>
      </c>
      <c r="D52" s="4" t="s">
        <v>1766</v>
      </c>
      <c r="E52" s="4" t="s">
        <v>1767</v>
      </c>
      <c r="F52" s="4" t="s">
        <v>46</v>
      </c>
      <c r="G52" s="4" t="s">
        <v>73</v>
      </c>
      <c r="H52" s="4" t="s">
        <v>45</v>
      </c>
      <c r="I52" s="4" t="s">
        <v>142</v>
      </c>
      <c r="J52" s="4" t="s">
        <v>41</v>
      </c>
      <c r="K52" s="4" t="s">
        <v>1756</v>
      </c>
      <c r="L52" s="4" t="s">
        <v>1768</v>
      </c>
      <c r="AB52" t="s">
        <v>1026</v>
      </c>
      <c r="AF52" t="s">
        <v>1256</v>
      </c>
      <c r="BN52" t="s">
        <v>3</v>
      </c>
      <c r="BR52" t="s">
        <v>3</v>
      </c>
      <c r="BV52" t="s">
        <v>1565</v>
      </c>
      <c r="BW52" t="s">
        <v>368</v>
      </c>
    </row>
    <row r="53" spans="1:75" ht="112" x14ac:dyDescent="0.35">
      <c r="A53" s="4" t="s">
        <v>85</v>
      </c>
      <c r="B53" s="4" t="s">
        <v>85</v>
      </c>
      <c r="C53" s="4" t="s">
        <v>85</v>
      </c>
      <c r="D53" s="4" t="s">
        <v>1754</v>
      </c>
      <c r="E53" s="4" t="s">
        <v>1761</v>
      </c>
      <c r="F53" s="4" t="s">
        <v>83</v>
      </c>
      <c r="G53" s="4" t="s">
        <v>84</v>
      </c>
      <c r="H53" s="4" t="s">
        <v>82</v>
      </c>
      <c r="I53" s="4" t="s">
        <v>142</v>
      </c>
      <c r="J53" s="4" t="s">
        <v>41</v>
      </c>
      <c r="K53" s="4" t="s">
        <v>1778</v>
      </c>
      <c r="L53" s="4" t="s">
        <v>89</v>
      </c>
      <c r="AB53" t="s">
        <v>934</v>
      </c>
      <c r="AF53" t="s">
        <v>798</v>
      </c>
      <c r="BN53" t="s">
        <v>1563</v>
      </c>
      <c r="BR53" t="s">
        <v>1564</v>
      </c>
      <c r="BV53" t="s">
        <v>3</v>
      </c>
      <c r="BW53" t="s">
        <v>1264</v>
      </c>
    </row>
    <row r="54" spans="1:75" ht="168" x14ac:dyDescent="0.35">
      <c r="A54" s="4" t="s">
        <v>103</v>
      </c>
      <c r="B54" s="4" t="s">
        <v>95</v>
      </c>
      <c r="C54" s="4" t="s">
        <v>95</v>
      </c>
      <c r="D54" s="4" t="s">
        <v>1754</v>
      </c>
      <c r="E54" s="4" t="s">
        <v>1755</v>
      </c>
      <c r="F54" s="4" t="s">
        <v>94</v>
      </c>
      <c r="G54" s="4" t="s">
        <v>84</v>
      </c>
      <c r="H54" s="4" t="s">
        <v>93</v>
      </c>
      <c r="I54" s="4" t="s">
        <v>142</v>
      </c>
      <c r="J54" s="4" t="s">
        <v>41</v>
      </c>
      <c r="K54" s="4" t="s">
        <v>1782</v>
      </c>
      <c r="L54" s="4" t="s">
        <v>1783</v>
      </c>
      <c r="AB54" t="s">
        <v>1013</v>
      </c>
      <c r="AF54" t="s">
        <v>1682</v>
      </c>
      <c r="BN54" t="s">
        <v>3</v>
      </c>
      <c r="BR54" t="s">
        <v>1621</v>
      </c>
      <c r="BV54" t="s">
        <v>1565</v>
      </c>
      <c r="BW54" t="s">
        <v>1836</v>
      </c>
    </row>
    <row r="55" spans="1:75" ht="112" x14ac:dyDescent="0.35">
      <c r="A55" s="4" t="s">
        <v>113</v>
      </c>
      <c r="B55" s="4" t="s">
        <v>107</v>
      </c>
      <c r="C55" s="4" t="s">
        <v>107</v>
      </c>
      <c r="D55" s="4" t="s">
        <v>1754</v>
      </c>
      <c r="E55" s="4" t="s">
        <v>1787</v>
      </c>
      <c r="F55" s="4" t="s">
        <v>106</v>
      </c>
      <c r="G55" s="4" t="s">
        <v>84</v>
      </c>
      <c r="H55" s="4" t="s">
        <v>105</v>
      </c>
      <c r="I55" s="4" t="s">
        <v>142</v>
      </c>
      <c r="J55" s="4" t="s">
        <v>41</v>
      </c>
      <c r="K55" s="4" t="s">
        <v>1788</v>
      </c>
      <c r="L55" s="4" t="s">
        <v>1789</v>
      </c>
      <c r="AB55" t="s">
        <v>1837</v>
      </c>
      <c r="AF55" t="s">
        <v>857</v>
      </c>
      <c r="BN55" t="s">
        <v>1563</v>
      </c>
      <c r="BR55" t="s">
        <v>1596</v>
      </c>
      <c r="BV55" t="s">
        <v>3</v>
      </c>
      <c r="BW55" t="s">
        <v>1256</v>
      </c>
    </row>
    <row r="56" spans="1:75" ht="70" x14ac:dyDescent="0.35">
      <c r="A56" s="4" t="s">
        <v>60</v>
      </c>
      <c r="B56" s="4" t="s">
        <v>48</v>
      </c>
      <c r="C56" s="4" t="s">
        <v>48</v>
      </c>
      <c r="D56" s="4" t="s">
        <v>1754</v>
      </c>
      <c r="E56" s="4" t="s">
        <v>1755</v>
      </c>
      <c r="F56" s="4" t="s">
        <v>46</v>
      </c>
      <c r="G56" s="4" t="s">
        <v>47</v>
      </c>
      <c r="H56" s="4" t="s">
        <v>45</v>
      </c>
      <c r="I56" s="4" t="s">
        <v>149</v>
      </c>
      <c r="J56" s="4" t="s">
        <v>41</v>
      </c>
      <c r="K56" s="4" t="s">
        <v>1756</v>
      </c>
      <c r="L56" s="4" t="s">
        <v>1757</v>
      </c>
      <c r="AB56" t="s">
        <v>920</v>
      </c>
      <c r="AF56" t="s">
        <v>1645</v>
      </c>
      <c r="BN56" t="s">
        <v>3</v>
      </c>
      <c r="BR56" t="s">
        <v>1652</v>
      </c>
      <c r="BV56" t="s">
        <v>1565</v>
      </c>
      <c r="BW56" t="s">
        <v>804</v>
      </c>
    </row>
    <row r="57" spans="1:75" ht="70" x14ac:dyDescent="0.35">
      <c r="A57" s="4" t="s">
        <v>65</v>
      </c>
      <c r="B57" s="4" t="s">
        <v>65</v>
      </c>
      <c r="C57" s="4" t="s">
        <v>65</v>
      </c>
      <c r="D57" s="4" t="s">
        <v>1754</v>
      </c>
      <c r="E57" s="4" t="s">
        <v>1761</v>
      </c>
      <c r="F57" s="4" t="s">
        <v>46</v>
      </c>
      <c r="G57" s="4" t="s">
        <v>64</v>
      </c>
      <c r="H57" s="4" t="s">
        <v>45</v>
      </c>
      <c r="I57" s="4" t="s">
        <v>149</v>
      </c>
      <c r="J57" s="4" t="s">
        <v>41</v>
      </c>
      <c r="K57" s="4" t="s">
        <v>1756</v>
      </c>
      <c r="L57" s="4" t="s">
        <v>1757</v>
      </c>
      <c r="AB57" t="s">
        <v>901</v>
      </c>
      <c r="AF57" t="s">
        <v>107</v>
      </c>
      <c r="BN57" t="s">
        <v>1563</v>
      </c>
      <c r="BR57" t="s">
        <v>3</v>
      </c>
      <c r="BV57" t="s">
        <v>3</v>
      </c>
      <c r="BW57" t="s">
        <v>1369</v>
      </c>
    </row>
    <row r="58" spans="1:75" ht="70" x14ac:dyDescent="0.35">
      <c r="A58" s="4" t="s">
        <v>103</v>
      </c>
      <c r="B58" s="4" t="s">
        <v>1765</v>
      </c>
      <c r="C58" s="4" t="s">
        <v>74</v>
      </c>
      <c r="D58" s="4" t="s">
        <v>1766</v>
      </c>
      <c r="E58" s="4" t="s">
        <v>1767</v>
      </c>
      <c r="F58" s="4" t="s">
        <v>46</v>
      </c>
      <c r="G58" s="4" t="s">
        <v>73</v>
      </c>
      <c r="H58" s="4" t="s">
        <v>45</v>
      </c>
      <c r="I58" s="4" t="s">
        <v>149</v>
      </c>
      <c r="J58" s="4" t="s">
        <v>41</v>
      </c>
      <c r="K58" s="4" t="s">
        <v>1756</v>
      </c>
      <c r="L58" s="4" t="s">
        <v>1768</v>
      </c>
      <c r="AB58" t="s">
        <v>1838</v>
      </c>
      <c r="AF58" t="s">
        <v>585</v>
      </c>
      <c r="BN58" t="s">
        <v>3</v>
      </c>
      <c r="BR58" t="s">
        <v>521</v>
      </c>
      <c r="BV58" t="s">
        <v>522</v>
      </c>
      <c r="BW58" t="s">
        <v>866</v>
      </c>
    </row>
    <row r="59" spans="1:75" ht="70" x14ac:dyDescent="0.35">
      <c r="A59" s="4" t="s">
        <v>1773</v>
      </c>
      <c r="B59" s="4" t="s">
        <v>1774</v>
      </c>
      <c r="C59" s="4" t="s">
        <v>74</v>
      </c>
      <c r="D59" s="4" t="s">
        <v>1766</v>
      </c>
      <c r="E59" s="4" t="s">
        <v>1767</v>
      </c>
      <c r="F59" s="4" t="s">
        <v>46</v>
      </c>
      <c r="G59" s="4" t="s">
        <v>73</v>
      </c>
      <c r="H59" s="4" t="s">
        <v>45</v>
      </c>
      <c r="I59" s="4" t="s">
        <v>149</v>
      </c>
      <c r="J59" s="4" t="s">
        <v>41</v>
      </c>
      <c r="K59" s="4" t="s">
        <v>1756</v>
      </c>
      <c r="L59" s="4" t="s">
        <v>1768</v>
      </c>
      <c r="AB59" t="s">
        <v>1839</v>
      </c>
      <c r="AF59" t="s">
        <v>1599</v>
      </c>
      <c r="BN59" t="s">
        <v>1563</v>
      </c>
      <c r="BR59" t="s">
        <v>3</v>
      </c>
      <c r="BV59" t="s">
        <v>3</v>
      </c>
      <c r="BW59" t="s">
        <v>1689</v>
      </c>
    </row>
    <row r="60" spans="1:75" ht="112" x14ac:dyDescent="0.35">
      <c r="A60" s="4" t="s">
        <v>85</v>
      </c>
      <c r="B60" s="4" t="s">
        <v>85</v>
      </c>
      <c r="C60" s="4" t="s">
        <v>85</v>
      </c>
      <c r="D60" s="4" t="s">
        <v>1754</v>
      </c>
      <c r="E60" s="4" t="s">
        <v>1761</v>
      </c>
      <c r="F60" s="4" t="s">
        <v>83</v>
      </c>
      <c r="G60" s="4" t="s">
        <v>84</v>
      </c>
      <c r="H60" s="4" t="s">
        <v>82</v>
      </c>
      <c r="I60" s="4" t="s">
        <v>149</v>
      </c>
      <c r="J60" s="4" t="s">
        <v>41</v>
      </c>
      <c r="K60" s="4" t="s">
        <v>1778</v>
      </c>
      <c r="L60" s="4" t="s">
        <v>89</v>
      </c>
      <c r="AB60" t="s">
        <v>1002</v>
      </c>
      <c r="AF60" t="s">
        <v>765</v>
      </c>
      <c r="BN60" t="s">
        <v>3</v>
      </c>
      <c r="BR60" t="s">
        <v>521</v>
      </c>
      <c r="BV60" t="s">
        <v>522</v>
      </c>
      <c r="BW60" t="s">
        <v>1840</v>
      </c>
    </row>
    <row r="61" spans="1:75" ht="168" x14ac:dyDescent="0.35">
      <c r="A61" s="4" t="s">
        <v>103</v>
      </c>
      <c r="B61" s="4" t="s">
        <v>95</v>
      </c>
      <c r="C61" s="4" t="s">
        <v>95</v>
      </c>
      <c r="D61" s="4" t="s">
        <v>1754</v>
      </c>
      <c r="E61" s="4" t="s">
        <v>1755</v>
      </c>
      <c r="F61" s="4" t="s">
        <v>94</v>
      </c>
      <c r="G61" s="4" t="s">
        <v>84</v>
      </c>
      <c r="H61" s="4" t="s">
        <v>93</v>
      </c>
      <c r="I61" s="4" t="s">
        <v>149</v>
      </c>
      <c r="J61" s="4" t="s">
        <v>41</v>
      </c>
      <c r="K61" s="4" t="s">
        <v>1782</v>
      </c>
      <c r="L61" s="4" t="s">
        <v>1783</v>
      </c>
      <c r="AB61" t="s">
        <v>1038</v>
      </c>
      <c r="AF61" t="s">
        <v>74</v>
      </c>
      <c r="BN61" t="s">
        <v>1563</v>
      </c>
      <c r="BR61" t="s">
        <v>3</v>
      </c>
      <c r="BV61" t="s">
        <v>3</v>
      </c>
      <c r="BW61" t="s">
        <v>585</v>
      </c>
    </row>
    <row r="62" spans="1:75" ht="112" x14ac:dyDescent="0.35">
      <c r="A62" s="4" t="s">
        <v>113</v>
      </c>
      <c r="B62" s="4" t="s">
        <v>107</v>
      </c>
      <c r="C62" s="4" t="s">
        <v>107</v>
      </c>
      <c r="D62" s="4" t="s">
        <v>1754</v>
      </c>
      <c r="E62" s="4" t="s">
        <v>1787</v>
      </c>
      <c r="F62" s="4" t="s">
        <v>106</v>
      </c>
      <c r="G62" s="4" t="s">
        <v>84</v>
      </c>
      <c r="H62" s="4" t="s">
        <v>105</v>
      </c>
      <c r="I62" s="4" t="s">
        <v>149</v>
      </c>
      <c r="J62" s="4" t="s">
        <v>41</v>
      </c>
      <c r="K62" s="4" t="s">
        <v>1788</v>
      </c>
      <c r="L62" s="4" t="s">
        <v>1789</v>
      </c>
      <c r="AB62" t="s">
        <v>1134</v>
      </c>
      <c r="AF62" t="s">
        <v>934</v>
      </c>
      <c r="BN62" t="s">
        <v>3</v>
      </c>
      <c r="BR62" t="s">
        <v>897</v>
      </c>
      <c r="BV62" t="s">
        <v>1278</v>
      </c>
      <c r="BW62" t="s">
        <v>1841</v>
      </c>
    </row>
    <row r="63" spans="1:75" ht="70" x14ac:dyDescent="0.35">
      <c r="A63" s="4" t="s">
        <v>60</v>
      </c>
      <c r="B63" s="4" t="s">
        <v>48</v>
      </c>
      <c r="C63" s="4" t="s">
        <v>48</v>
      </c>
      <c r="D63" s="4" t="s">
        <v>1754</v>
      </c>
      <c r="E63" s="4" t="s">
        <v>1755</v>
      </c>
      <c r="F63" s="4" t="s">
        <v>46</v>
      </c>
      <c r="G63" s="4" t="s">
        <v>47</v>
      </c>
      <c r="H63" s="4" t="s">
        <v>45</v>
      </c>
      <c r="I63" s="4" t="s">
        <v>156</v>
      </c>
      <c r="J63" s="4" t="s">
        <v>41</v>
      </c>
      <c r="K63" s="4" t="s">
        <v>1756</v>
      </c>
      <c r="L63" s="4" t="s">
        <v>1757</v>
      </c>
      <c r="AB63" t="s">
        <v>1842</v>
      </c>
      <c r="AF63" t="s">
        <v>1013</v>
      </c>
      <c r="BN63" t="s">
        <v>1563</v>
      </c>
      <c r="BR63" t="s">
        <v>1077</v>
      </c>
      <c r="BV63" t="s">
        <v>898</v>
      </c>
      <c r="BW63" t="s">
        <v>1599</v>
      </c>
    </row>
    <row r="64" spans="1:75" ht="70" x14ac:dyDescent="0.35">
      <c r="A64" s="4" t="s">
        <v>65</v>
      </c>
      <c r="B64" s="4" t="s">
        <v>65</v>
      </c>
      <c r="C64" s="4" t="s">
        <v>65</v>
      </c>
      <c r="D64" s="4" t="s">
        <v>1754</v>
      </c>
      <c r="E64" s="4" t="s">
        <v>1761</v>
      </c>
      <c r="F64" s="4" t="s">
        <v>46</v>
      </c>
      <c r="G64" s="4" t="s">
        <v>64</v>
      </c>
      <c r="H64" s="4" t="s">
        <v>45</v>
      </c>
      <c r="I64" s="4" t="s">
        <v>156</v>
      </c>
      <c r="J64" s="4" t="s">
        <v>41</v>
      </c>
      <c r="K64" s="4" t="s">
        <v>1756</v>
      </c>
      <c r="L64" s="4" t="s">
        <v>1757</v>
      </c>
      <c r="AB64" t="s">
        <v>1144</v>
      </c>
      <c r="AF64" t="s">
        <v>1610</v>
      </c>
      <c r="BN64" t="s">
        <v>3</v>
      </c>
      <c r="BR64" t="s">
        <v>3</v>
      </c>
      <c r="BV64" t="s">
        <v>3</v>
      </c>
      <c r="BW64" t="s">
        <v>765</v>
      </c>
    </row>
    <row r="65" spans="1:75" ht="70" x14ac:dyDescent="0.35">
      <c r="A65" s="4" t="s">
        <v>103</v>
      </c>
      <c r="B65" s="4" t="s">
        <v>1765</v>
      </c>
      <c r="C65" s="4" t="s">
        <v>74</v>
      </c>
      <c r="D65" s="4" t="s">
        <v>1766</v>
      </c>
      <c r="E65" s="4" t="s">
        <v>1767</v>
      </c>
      <c r="F65" s="4" t="s">
        <v>46</v>
      </c>
      <c r="G65" s="4" t="s">
        <v>73</v>
      </c>
      <c r="H65" s="4" t="s">
        <v>45</v>
      </c>
      <c r="I65" s="4" t="s">
        <v>156</v>
      </c>
      <c r="J65" s="4" t="s">
        <v>41</v>
      </c>
      <c r="K65" s="4" t="s">
        <v>1756</v>
      </c>
      <c r="L65" s="4" t="s">
        <v>1768</v>
      </c>
      <c r="AB65" t="s">
        <v>1081</v>
      </c>
      <c r="AF65" t="s">
        <v>951</v>
      </c>
      <c r="BN65" t="s">
        <v>1563</v>
      </c>
      <c r="BR65" t="s">
        <v>897</v>
      </c>
      <c r="BV65" t="s">
        <v>1078</v>
      </c>
      <c r="BW65" t="s">
        <v>1843</v>
      </c>
    </row>
    <row r="66" spans="1:75" ht="70" x14ac:dyDescent="0.35">
      <c r="A66" s="4" t="s">
        <v>1773</v>
      </c>
      <c r="B66" s="4" t="s">
        <v>1774</v>
      </c>
      <c r="C66" s="4" t="s">
        <v>74</v>
      </c>
      <c r="D66" s="4" t="s">
        <v>1766</v>
      </c>
      <c r="E66" s="4" t="s">
        <v>1767</v>
      </c>
      <c r="F66" s="4" t="s">
        <v>46</v>
      </c>
      <c r="G66" s="4" t="s">
        <v>73</v>
      </c>
      <c r="H66" s="4" t="s">
        <v>45</v>
      </c>
      <c r="I66" s="4" t="s">
        <v>156</v>
      </c>
      <c r="J66" s="4" t="s">
        <v>41</v>
      </c>
      <c r="K66" s="4" t="s">
        <v>1756</v>
      </c>
      <c r="L66" s="4" t="s">
        <v>1768</v>
      </c>
      <c r="AB66" t="s">
        <v>1164</v>
      </c>
      <c r="AF66" t="s">
        <v>827</v>
      </c>
      <c r="BN66" t="s">
        <v>3</v>
      </c>
      <c r="BR66" t="s">
        <v>3</v>
      </c>
      <c r="BV66" t="s">
        <v>3</v>
      </c>
      <c r="BW66" t="s">
        <v>1773</v>
      </c>
    </row>
    <row r="67" spans="1:75" ht="112" x14ac:dyDescent="0.35">
      <c r="A67" s="4" t="s">
        <v>85</v>
      </c>
      <c r="B67" s="4" t="s">
        <v>85</v>
      </c>
      <c r="C67" s="4" t="s">
        <v>85</v>
      </c>
      <c r="D67" s="4" t="s">
        <v>1754</v>
      </c>
      <c r="E67" s="4" t="s">
        <v>1761</v>
      </c>
      <c r="F67" s="4" t="s">
        <v>83</v>
      </c>
      <c r="G67" s="4" t="s">
        <v>84</v>
      </c>
      <c r="H67" s="4" t="s">
        <v>82</v>
      </c>
      <c r="I67" s="4" t="s">
        <v>156</v>
      </c>
      <c r="J67" s="4" t="s">
        <v>41</v>
      </c>
      <c r="K67" s="4" t="s">
        <v>1778</v>
      </c>
      <c r="L67" s="4" t="s">
        <v>89</v>
      </c>
      <c r="AB67" t="s">
        <v>1186</v>
      </c>
      <c r="AF67" t="s">
        <v>1526</v>
      </c>
      <c r="BN67" t="s">
        <v>42</v>
      </c>
      <c r="BR67" t="s">
        <v>1077</v>
      </c>
      <c r="BV67" t="s">
        <v>1278</v>
      </c>
      <c r="BW67" t="s">
        <v>834</v>
      </c>
    </row>
    <row r="68" spans="1:75" ht="168" x14ac:dyDescent="0.35">
      <c r="A68" s="4" t="s">
        <v>103</v>
      </c>
      <c r="B68" s="4" t="s">
        <v>95</v>
      </c>
      <c r="C68" s="4" t="s">
        <v>95</v>
      </c>
      <c r="D68" s="4" t="s">
        <v>1754</v>
      </c>
      <c r="E68" s="4" t="s">
        <v>1755</v>
      </c>
      <c r="F68" s="4" t="s">
        <v>94</v>
      </c>
      <c r="G68" s="4" t="s">
        <v>84</v>
      </c>
      <c r="H68" s="4" t="s">
        <v>93</v>
      </c>
      <c r="I68" s="4" t="s">
        <v>156</v>
      </c>
      <c r="J68" s="4" t="s">
        <v>41</v>
      </c>
      <c r="K68" s="4" t="s">
        <v>1782</v>
      </c>
      <c r="L68" s="4" t="s">
        <v>1783</v>
      </c>
      <c r="AB68" t="s">
        <v>1177</v>
      </c>
      <c r="AF68" t="s">
        <v>717</v>
      </c>
      <c r="BN68" t="s">
        <v>3</v>
      </c>
      <c r="BR68" t="s">
        <v>3</v>
      </c>
      <c r="BV68" t="s">
        <v>1078</v>
      </c>
      <c r="BW68" t="s">
        <v>1534</v>
      </c>
    </row>
    <row r="69" spans="1:75" ht="112" x14ac:dyDescent="0.35">
      <c r="A69" s="4" t="s">
        <v>113</v>
      </c>
      <c r="B69" s="4" t="s">
        <v>107</v>
      </c>
      <c r="C69" s="4" t="s">
        <v>107</v>
      </c>
      <c r="D69" s="4" t="s">
        <v>1754</v>
      </c>
      <c r="E69" s="4" t="s">
        <v>1787</v>
      </c>
      <c r="F69" s="4" t="s">
        <v>106</v>
      </c>
      <c r="G69" s="4" t="s">
        <v>84</v>
      </c>
      <c r="H69" s="4" t="s">
        <v>105</v>
      </c>
      <c r="I69" s="4" t="s">
        <v>156</v>
      </c>
      <c r="J69" s="4" t="s">
        <v>41</v>
      </c>
      <c r="K69" s="4" t="s">
        <v>1788</v>
      </c>
      <c r="L69" s="4" t="s">
        <v>1789</v>
      </c>
      <c r="AB69" t="s">
        <v>1111</v>
      </c>
      <c r="AF69" t="s">
        <v>651</v>
      </c>
      <c r="BN69" t="s">
        <v>896</v>
      </c>
      <c r="BR69" t="s">
        <v>897</v>
      </c>
      <c r="BV69" t="s">
        <v>898</v>
      </c>
      <c r="BW69" t="s">
        <v>651</v>
      </c>
    </row>
    <row r="70" spans="1:75" ht="70" x14ac:dyDescent="0.35">
      <c r="A70" s="4" t="s">
        <v>60</v>
      </c>
      <c r="B70" s="4" t="s">
        <v>48</v>
      </c>
      <c r="C70" s="4" t="s">
        <v>48</v>
      </c>
      <c r="D70" s="4" t="s">
        <v>1754</v>
      </c>
      <c r="E70" s="4" t="s">
        <v>1755</v>
      </c>
      <c r="F70" s="4" t="s">
        <v>46</v>
      </c>
      <c r="G70" s="4" t="s">
        <v>47</v>
      </c>
      <c r="H70" s="4" t="s">
        <v>45</v>
      </c>
      <c r="I70" s="4" t="s">
        <v>163</v>
      </c>
      <c r="J70" s="4" t="s">
        <v>41</v>
      </c>
      <c r="K70" s="4" t="s">
        <v>1756</v>
      </c>
      <c r="L70" s="4" t="s">
        <v>1757</v>
      </c>
      <c r="AB70" t="s">
        <v>1090</v>
      </c>
      <c r="AF70" t="s">
        <v>1081</v>
      </c>
      <c r="BN70" t="s">
        <v>3</v>
      </c>
      <c r="BR70" t="s">
        <v>3</v>
      </c>
      <c r="BV70" t="s">
        <v>3</v>
      </c>
      <c r="BW70" t="s">
        <v>725</v>
      </c>
    </row>
    <row r="71" spans="1:75" ht="70" x14ac:dyDescent="0.35">
      <c r="A71" s="4" t="s">
        <v>65</v>
      </c>
      <c r="B71" s="4" t="s">
        <v>65</v>
      </c>
      <c r="C71" s="4" t="s">
        <v>65</v>
      </c>
      <c r="D71" s="4" t="s">
        <v>1754</v>
      </c>
      <c r="E71" s="4" t="s">
        <v>1761</v>
      </c>
      <c r="F71" s="4" t="s">
        <v>46</v>
      </c>
      <c r="G71" s="4" t="s">
        <v>64</v>
      </c>
      <c r="H71" s="4" t="s">
        <v>45</v>
      </c>
      <c r="I71" s="4" t="s">
        <v>163</v>
      </c>
      <c r="J71" s="4" t="s">
        <v>41</v>
      </c>
      <c r="K71" s="4" t="s">
        <v>1756</v>
      </c>
      <c r="L71" s="4" t="s">
        <v>1757</v>
      </c>
      <c r="AB71" t="s">
        <v>1124</v>
      </c>
      <c r="AF71" t="s">
        <v>337</v>
      </c>
      <c r="BN71" t="s">
        <v>42</v>
      </c>
      <c r="BR71" t="s">
        <v>262</v>
      </c>
      <c r="BV71" t="s">
        <v>334</v>
      </c>
      <c r="BW71" t="s">
        <v>345</v>
      </c>
    </row>
    <row r="72" spans="1:75" ht="70" x14ac:dyDescent="0.35">
      <c r="A72" s="4" t="s">
        <v>103</v>
      </c>
      <c r="B72" s="4" t="s">
        <v>1765</v>
      </c>
      <c r="C72" s="4" t="s">
        <v>74</v>
      </c>
      <c r="D72" s="4" t="s">
        <v>1766</v>
      </c>
      <c r="E72" s="4" t="s">
        <v>1767</v>
      </c>
      <c r="F72" s="4" t="s">
        <v>46</v>
      </c>
      <c r="G72" s="4" t="s">
        <v>73</v>
      </c>
      <c r="H72" s="4" t="s">
        <v>45</v>
      </c>
      <c r="I72" s="4" t="s">
        <v>163</v>
      </c>
      <c r="J72" s="4" t="s">
        <v>41</v>
      </c>
      <c r="K72" s="4" t="s">
        <v>1756</v>
      </c>
      <c r="L72" s="4" t="s">
        <v>1768</v>
      </c>
      <c r="AB72" t="s">
        <v>1100</v>
      </c>
      <c r="AF72" t="s">
        <v>364</v>
      </c>
      <c r="BN72" t="s">
        <v>3</v>
      </c>
      <c r="BR72" t="s">
        <v>775</v>
      </c>
      <c r="BV72" t="s">
        <v>1525</v>
      </c>
      <c r="BW72" t="s">
        <v>1194</v>
      </c>
    </row>
    <row r="73" spans="1:75" ht="70" x14ac:dyDescent="0.35">
      <c r="A73" s="4" t="s">
        <v>1773</v>
      </c>
      <c r="B73" s="4" t="s">
        <v>1774</v>
      </c>
      <c r="C73" s="4" t="s">
        <v>74</v>
      </c>
      <c r="D73" s="4" t="s">
        <v>1766</v>
      </c>
      <c r="E73" s="4" t="s">
        <v>1767</v>
      </c>
      <c r="F73" s="4" t="s">
        <v>46</v>
      </c>
      <c r="G73" s="4" t="s">
        <v>73</v>
      </c>
      <c r="H73" s="4" t="s">
        <v>45</v>
      </c>
      <c r="I73" s="4" t="s">
        <v>163</v>
      </c>
      <c r="J73" s="4" t="s">
        <v>41</v>
      </c>
      <c r="K73" s="4" t="s">
        <v>1756</v>
      </c>
      <c r="L73" s="4" t="s">
        <v>1768</v>
      </c>
      <c r="AB73" t="s">
        <v>1153</v>
      </c>
      <c r="AF73" t="s">
        <v>1164</v>
      </c>
      <c r="BN73" t="s">
        <v>42</v>
      </c>
      <c r="BR73" t="s">
        <v>43</v>
      </c>
      <c r="BV73" t="s">
        <v>263</v>
      </c>
      <c r="BW73" t="s">
        <v>1182</v>
      </c>
    </row>
    <row r="74" spans="1:75" ht="112" x14ac:dyDescent="0.35">
      <c r="A74" s="4" t="s">
        <v>85</v>
      </c>
      <c r="B74" s="4" t="s">
        <v>85</v>
      </c>
      <c r="C74" s="4" t="s">
        <v>85</v>
      </c>
      <c r="D74" s="4" t="s">
        <v>1754</v>
      </c>
      <c r="E74" s="4" t="s">
        <v>1761</v>
      </c>
      <c r="F74" s="4" t="s">
        <v>83</v>
      </c>
      <c r="G74" s="4" t="s">
        <v>84</v>
      </c>
      <c r="H74" s="4" t="s">
        <v>82</v>
      </c>
      <c r="I74" s="4" t="s">
        <v>163</v>
      </c>
      <c r="J74" s="4" t="s">
        <v>41</v>
      </c>
      <c r="K74" s="4" t="s">
        <v>1778</v>
      </c>
      <c r="L74" s="4" t="s">
        <v>89</v>
      </c>
      <c r="AF74" t="s">
        <v>1186</v>
      </c>
      <c r="BN74" t="s">
        <v>3</v>
      </c>
      <c r="BR74" t="s">
        <v>472</v>
      </c>
      <c r="BV74" t="s">
        <v>3</v>
      </c>
      <c r="BW74" t="s">
        <v>469</v>
      </c>
    </row>
    <row r="75" spans="1:75" ht="168" x14ac:dyDescent="0.35">
      <c r="A75" s="4" t="s">
        <v>103</v>
      </c>
      <c r="B75" s="4" t="s">
        <v>95</v>
      </c>
      <c r="C75" s="4" t="s">
        <v>95</v>
      </c>
      <c r="D75" s="4" t="s">
        <v>1754</v>
      </c>
      <c r="E75" s="4" t="s">
        <v>1755</v>
      </c>
      <c r="F75" s="4" t="s">
        <v>94</v>
      </c>
      <c r="G75" s="4" t="s">
        <v>84</v>
      </c>
      <c r="H75" s="4" t="s">
        <v>93</v>
      </c>
      <c r="I75" s="4" t="s">
        <v>163</v>
      </c>
      <c r="J75" s="4" t="s">
        <v>41</v>
      </c>
      <c r="K75" s="4" t="s">
        <v>1782</v>
      </c>
      <c r="L75" s="4" t="s">
        <v>1783</v>
      </c>
      <c r="AF75" t="s">
        <v>920</v>
      </c>
      <c r="BN75" t="s">
        <v>42</v>
      </c>
      <c r="BR75" t="s">
        <v>1693</v>
      </c>
      <c r="BV75" t="s">
        <v>776</v>
      </c>
      <c r="BW75" t="s">
        <v>1130</v>
      </c>
    </row>
    <row r="76" spans="1:75" ht="112" x14ac:dyDescent="0.35">
      <c r="A76" s="4" t="s">
        <v>113</v>
      </c>
      <c r="B76" s="4" t="s">
        <v>107</v>
      </c>
      <c r="C76" s="4" t="s">
        <v>107</v>
      </c>
      <c r="D76" s="4" t="s">
        <v>1754</v>
      </c>
      <c r="E76" s="4" t="s">
        <v>1787</v>
      </c>
      <c r="F76" s="4" t="s">
        <v>106</v>
      </c>
      <c r="G76" s="4" t="s">
        <v>84</v>
      </c>
      <c r="H76" s="4" t="s">
        <v>105</v>
      </c>
      <c r="I76" s="4" t="s">
        <v>163</v>
      </c>
      <c r="J76" s="4" t="s">
        <v>41</v>
      </c>
      <c r="K76" s="4" t="s">
        <v>1788</v>
      </c>
      <c r="L76" s="4" t="s">
        <v>1789</v>
      </c>
      <c r="AF76" t="s">
        <v>296</v>
      </c>
      <c r="BN76" t="s">
        <v>3</v>
      </c>
      <c r="BR76" t="s">
        <v>3</v>
      </c>
      <c r="BV76" t="s">
        <v>3</v>
      </c>
      <c r="BW76" t="s">
        <v>1104</v>
      </c>
    </row>
    <row r="77" spans="1:75" ht="70" x14ac:dyDescent="0.35">
      <c r="A77" s="4" t="s">
        <v>60</v>
      </c>
      <c r="B77" s="4" t="s">
        <v>48</v>
      </c>
      <c r="C77" s="4" t="s">
        <v>48</v>
      </c>
      <c r="D77" s="4" t="s">
        <v>1754</v>
      </c>
      <c r="E77" s="4" t="s">
        <v>1755</v>
      </c>
      <c r="F77" s="4" t="s">
        <v>46</v>
      </c>
      <c r="G77" s="4" t="s">
        <v>47</v>
      </c>
      <c r="H77" s="4" t="s">
        <v>45</v>
      </c>
      <c r="I77" s="4" t="s">
        <v>170</v>
      </c>
      <c r="J77" s="4" t="s">
        <v>41</v>
      </c>
      <c r="K77" s="4" t="s">
        <v>1756</v>
      </c>
      <c r="L77" s="4" t="s">
        <v>1757</v>
      </c>
      <c r="AF77" t="s">
        <v>901</v>
      </c>
      <c r="BN77" t="s">
        <v>896</v>
      </c>
      <c r="BR77" t="s">
        <v>472</v>
      </c>
      <c r="BV77" t="s">
        <v>1405</v>
      </c>
      <c r="BW77" t="s">
        <v>848</v>
      </c>
    </row>
    <row r="78" spans="1:75" ht="70" x14ac:dyDescent="0.35">
      <c r="A78" s="4" t="s">
        <v>65</v>
      </c>
      <c r="B78" s="4" t="s">
        <v>65</v>
      </c>
      <c r="C78" s="4" t="s">
        <v>65</v>
      </c>
      <c r="D78" s="4" t="s">
        <v>1754</v>
      </c>
      <c r="E78" s="4" t="s">
        <v>1761</v>
      </c>
      <c r="F78" s="4" t="s">
        <v>46</v>
      </c>
      <c r="G78" s="4" t="s">
        <v>64</v>
      </c>
      <c r="H78" s="4" t="s">
        <v>45</v>
      </c>
      <c r="I78" s="4" t="s">
        <v>170</v>
      </c>
      <c r="J78" s="4" t="s">
        <v>41</v>
      </c>
      <c r="K78" s="4" t="s">
        <v>1756</v>
      </c>
      <c r="L78" s="4" t="s">
        <v>1757</v>
      </c>
      <c r="AF78" t="s">
        <v>970</v>
      </c>
      <c r="BN78" t="s">
        <v>3</v>
      </c>
      <c r="BR78" t="s">
        <v>3</v>
      </c>
      <c r="BV78" t="s">
        <v>44</v>
      </c>
      <c r="BW78" t="s">
        <v>691</v>
      </c>
    </row>
    <row r="79" spans="1:75" ht="70" x14ac:dyDescent="0.35">
      <c r="A79" s="4" t="s">
        <v>103</v>
      </c>
      <c r="B79" s="4" t="s">
        <v>1765</v>
      </c>
      <c r="C79" s="4" t="s">
        <v>74</v>
      </c>
      <c r="D79" s="4" t="s">
        <v>1766</v>
      </c>
      <c r="E79" s="4" t="s">
        <v>1767</v>
      </c>
      <c r="F79" s="4" t="s">
        <v>46</v>
      </c>
      <c r="G79" s="4" t="s">
        <v>73</v>
      </c>
      <c r="H79" s="4" t="s">
        <v>45</v>
      </c>
      <c r="I79" s="4" t="s">
        <v>170</v>
      </c>
      <c r="J79" s="4" t="s">
        <v>41</v>
      </c>
      <c r="K79" s="4" t="s">
        <v>1756</v>
      </c>
      <c r="L79" s="4" t="s">
        <v>1768</v>
      </c>
      <c r="AF79" t="s">
        <v>1177</v>
      </c>
      <c r="BN79" t="s">
        <v>896</v>
      </c>
      <c r="BR79" t="s">
        <v>262</v>
      </c>
      <c r="BV79" t="s">
        <v>3</v>
      </c>
      <c r="BW79" t="s">
        <v>354</v>
      </c>
    </row>
    <row r="80" spans="1:75" ht="70" x14ac:dyDescent="0.35">
      <c r="A80" s="4" t="s">
        <v>1773</v>
      </c>
      <c r="B80" s="4" t="s">
        <v>1774</v>
      </c>
      <c r="C80" s="4" t="s">
        <v>74</v>
      </c>
      <c r="D80" s="4" t="s">
        <v>1766</v>
      </c>
      <c r="E80" s="4" t="s">
        <v>1767</v>
      </c>
      <c r="F80" s="4" t="s">
        <v>46</v>
      </c>
      <c r="G80" s="4" t="s">
        <v>73</v>
      </c>
      <c r="H80" s="4" t="s">
        <v>45</v>
      </c>
      <c r="I80" s="4" t="s">
        <v>170</v>
      </c>
      <c r="J80" s="4" t="s">
        <v>41</v>
      </c>
      <c r="K80" s="4" t="s">
        <v>1756</v>
      </c>
      <c r="L80" s="4" t="s">
        <v>1768</v>
      </c>
      <c r="AF80" t="s">
        <v>502</v>
      </c>
      <c r="BN80" t="s">
        <v>3</v>
      </c>
      <c r="BR80" t="s">
        <v>3</v>
      </c>
      <c r="BV80" t="s">
        <v>870</v>
      </c>
      <c r="BW80" t="s">
        <v>1168</v>
      </c>
    </row>
    <row r="81" spans="1:75" ht="112" x14ac:dyDescent="0.35">
      <c r="A81" s="4" t="s">
        <v>85</v>
      </c>
      <c r="B81" s="4" t="s">
        <v>85</v>
      </c>
      <c r="C81" s="4" t="s">
        <v>85</v>
      </c>
      <c r="D81" s="4" t="s">
        <v>1754</v>
      </c>
      <c r="E81" s="4" t="s">
        <v>1761</v>
      </c>
      <c r="F81" s="4" t="s">
        <v>83</v>
      </c>
      <c r="G81" s="4" t="s">
        <v>84</v>
      </c>
      <c r="H81" s="4" t="s">
        <v>82</v>
      </c>
      <c r="I81" s="4" t="s">
        <v>170</v>
      </c>
      <c r="J81" s="4" t="s">
        <v>41</v>
      </c>
      <c r="K81" s="4" t="s">
        <v>1778</v>
      </c>
      <c r="L81" s="4" t="s">
        <v>89</v>
      </c>
      <c r="AF81" t="s">
        <v>644</v>
      </c>
      <c r="BN81" t="s">
        <v>42</v>
      </c>
      <c r="BR81" t="s">
        <v>472</v>
      </c>
      <c r="BV81" t="s">
        <v>473</v>
      </c>
      <c r="BW81" t="s">
        <v>1157</v>
      </c>
    </row>
    <row r="82" spans="1:75" ht="168" x14ac:dyDescent="0.35">
      <c r="A82" s="4" t="s">
        <v>103</v>
      </c>
      <c r="B82" s="4" t="s">
        <v>95</v>
      </c>
      <c r="C82" s="4" t="s">
        <v>95</v>
      </c>
      <c r="D82" s="4" t="s">
        <v>1754</v>
      </c>
      <c r="E82" s="4" t="s">
        <v>1755</v>
      </c>
      <c r="F82" s="4" t="s">
        <v>94</v>
      </c>
      <c r="G82" s="4" t="s">
        <v>84</v>
      </c>
      <c r="H82" s="4" t="s">
        <v>93</v>
      </c>
      <c r="I82" s="4" t="s">
        <v>170</v>
      </c>
      <c r="J82" s="4" t="s">
        <v>41</v>
      </c>
      <c r="K82" s="4" t="s">
        <v>1782</v>
      </c>
      <c r="L82" s="4" t="s">
        <v>1783</v>
      </c>
      <c r="AF82" t="s">
        <v>687</v>
      </c>
      <c r="BN82" t="s">
        <v>3</v>
      </c>
      <c r="BR82" t="s">
        <v>3</v>
      </c>
      <c r="BV82" t="s">
        <v>751</v>
      </c>
    </row>
    <row r="83" spans="1:75" ht="112" x14ac:dyDescent="0.35">
      <c r="A83" s="4" t="s">
        <v>113</v>
      </c>
      <c r="B83" s="4" t="s">
        <v>107</v>
      </c>
      <c r="C83" s="4" t="s">
        <v>107</v>
      </c>
      <c r="D83" s="4" t="s">
        <v>1754</v>
      </c>
      <c r="E83" s="4" t="s">
        <v>1787</v>
      </c>
      <c r="F83" s="4" t="s">
        <v>106</v>
      </c>
      <c r="G83" s="4" t="s">
        <v>84</v>
      </c>
      <c r="H83" s="4" t="s">
        <v>105</v>
      </c>
      <c r="I83" s="4" t="s">
        <v>170</v>
      </c>
      <c r="J83" s="4" t="s">
        <v>41</v>
      </c>
      <c r="K83" s="4" t="s">
        <v>1788</v>
      </c>
      <c r="L83" s="4" t="s">
        <v>1789</v>
      </c>
      <c r="AF83" t="s">
        <v>1296</v>
      </c>
      <c r="BN83" t="s">
        <v>42</v>
      </c>
      <c r="BR83" t="s">
        <v>262</v>
      </c>
      <c r="BV83" t="s">
        <v>3</v>
      </c>
    </row>
    <row r="84" spans="1:75" ht="70" x14ac:dyDescent="0.35">
      <c r="A84" s="4" t="s">
        <v>60</v>
      </c>
      <c r="B84" s="4" t="s">
        <v>48</v>
      </c>
      <c r="C84" s="4" t="s">
        <v>48</v>
      </c>
      <c r="D84" s="4" t="s">
        <v>1754</v>
      </c>
      <c r="E84" s="4" t="s">
        <v>1755</v>
      </c>
      <c r="F84" s="4" t="s">
        <v>46</v>
      </c>
      <c r="G84" s="4" t="s">
        <v>47</v>
      </c>
      <c r="H84" s="4" t="s">
        <v>45</v>
      </c>
      <c r="I84" s="4" t="s">
        <v>177</v>
      </c>
      <c r="J84" s="4" t="s">
        <v>41</v>
      </c>
      <c r="K84" s="4" t="s">
        <v>1756</v>
      </c>
      <c r="L84" s="4" t="s">
        <v>1757</v>
      </c>
      <c r="AF84" t="s">
        <v>313</v>
      </c>
      <c r="BN84" t="s">
        <v>3</v>
      </c>
      <c r="BR84" t="s">
        <v>3</v>
      </c>
      <c r="BV84" t="s">
        <v>1694</v>
      </c>
    </row>
    <row r="85" spans="1:75" ht="70" x14ac:dyDescent="0.35">
      <c r="A85" s="4" t="s">
        <v>65</v>
      </c>
      <c r="B85" s="4" t="s">
        <v>65</v>
      </c>
      <c r="C85" s="4" t="s">
        <v>65</v>
      </c>
      <c r="D85" s="4" t="s">
        <v>1754</v>
      </c>
      <c r="E85" s="4" t="s">
        <v>1761</v>
      </c>
      <c r="F85" s="4" t="s">
        <v>46</v>
      </c>
      <c r="G85" s="4" t="s">
        <v>64</v>
      </c>
      <c r="H85" s="4" t="s">
        <v>45</v>
      </c>
      <c r="I85" s="4" t="s">
        <v>177</v>
      </c>
      <c r="J85" s="4" t="s">
        <v>41</v>
      </c>
      <c r="K85" s="4" t="s">
        <v>1756</v>
      </c>
      <c r="L85" s="4" t="s">
        <v>1757</v>
      </c>
      <c r="AF85" t="s">
        <v>1111</v>
      </c>
      <c r="BN85" t="s">
        <v>42</v>
      </c>
      <c r="BR85" t="s">
        <v>43</v>
      </c>
      <c r="BV85" t="s">
        <v>3</v>
      </c>
    </row>
    <row r="86" spans="1:75" ht="70" x14ac:dyDescent="0.35">
      <c r="A86" s="4" t="s">
        <v>103</v>
      </c>
      <c r="B86" s="4" t="s">
        <v>1765</v>
      </c>
      <c r="C86" s="4" t="s">
        <v>74</v>
      </c>
      <c r="D86" s="4" t="s">
        <v>1766</v>
      </c>
      <c r="E86" s="4" t="s">
        <v>1767</v>
      </c>
      <c r="F86" s="4" t="s">
        <v>46</v>
      </c>
      <c r="G86" s="4" t="s">
        <v>73</v>
      </c>
      <c r="H86" s="4" t="s">
        <v>45</v>
      </c>
      <c r="I86" s="4" t="s">
        <v>177</v>
      </c>
      <c r="J86" s="4" t="s">
        <v>41</v>
      </c>
      <c r="K86" s="4" t="s">
        <v>1756</v>
      </c>
      <c r="L86" s="4" t="s">
        <v>1768</v>
      </c>
      <c r="AF86" t="s">
        <v>1305</v>
      </c>
      <c r="BN86" t="s">
        <v>3</v>
      </c>
      <c r="BR86" t="s">
        <v>3</v>
      </c>
      <c r="BV86" t="s">
        <v>870</v>
      </c>
    </row>
    <row r="87" spans="1:75" ht="70" x14ac:dyDescent="0.35">
      <c r="A87" s="4" t="s">
        <v>1773</v>
      </c>
      <c r="B87" s="4" t="s">
        <v>1774</v>
      </c>
      <c r="C87" s="4" t="s">
        <v>74</v>
      </c>
      <c r="D87" s="4" t="s">
        <v>1766</v>
      </c>
      <c r="E87" s="4" t="s">
        <v>1767</v>
      </c>
      <c r="F87" s="4" t="s">
        <v>46</v>
      </c>
      <c r="G87" s="4" t="s">
        <v>73</v>
      </c>
      <c r="H87" s="4" t="s">
        <v>45</v>
      </c>
      <c r="I87" s="4" t="s">
        <v>177</v>
      </c>
      <c r="J87" s="4" t="s">
        <v>41</v>
      </c>
      <c r="K87" s="4" t="s">
        <v>1756</v>
      </c>
      <c r="L87" s="4" t="s">
        <v>1768</v>
      </c>
      <c r="AF87" t="s">
        <v>1090</v>
      </c>
      <c r="BN87" t="s">
        <v>42</v>
      </c>
      <c r="BR87" t="s">
        <v>262</v>
      </c>
      <c r="BV87" t="s">
        <v>334</v>
      </c>
    </row>
    <row r="88" spans="1:75" ht="112" x14ac:dyDescent="0.35">
      <c r="A88" s="4" t="s">
        <v>85</v>
      </c>
      <c r="B88" s="4" t="s">
        <v>85</v>
      </c>
      <c r="C88" s="4" t="s">
        <v>85</v>
      </c>
      <c r="D88" s="4" t="s">
        <v>1754</v>
      </c>
      <c r="E88" s="4" t="s">
        <v>1761</v>
      </c>
      <c r="F88" s="4" t="s">
        <v>83</v>
      </c>
      <c r="G88" s="4" t="s">
        <v>84</v>
      </c>
      <c r="H88" s="4" t="s">
        <v>82</v>
      </c>
      <c r="I88" s="4" t="s">
        <v>177</v>
      </c>
      <c r="J88" s="4" t="s">
        <v>41</v>
      </c>
      <c r="K88" s="4" t="s">
        <v>1778</v>
      </c>
      <c r="L88" s="4" t="s">
        <v>89</v>
      </c>
      <c r="AF88" t="s">
        <v>1281</v>
      </c>
      <c r="BN88" t="s">
        <v>3</v>
      </c>
      <c r="BR88" t="s">
        <v>3</v>
      </c>
      <c r="BV88" t="s">
        <v>473</v>
      </c>
    </row>
    <row r="89" spans="1:75" ht="168" x14ac:dyDescent="0.35">
      <c r="A89" s="4" t="s">
        <v>103</v>
      </c>
      <c r="B89" s="4" t="s">
        <v>95</v>
      </c>
      <c r="C89" s="4" t="s">
        <v>95</v>
      </c>
      <c r="D89" s="4" t="s">
        <v>1754</v>
      </c>
      <c r="E89" s="4" t="s">
        <v>1755</v>
      </c>
      <c r="F89" s="4" t="s">
        <v>94</v>
      </c>
      <c r="G89" s="4" t="s">
        <v>84</v>
      </c>
      <c r="H89" s="4" t="s">
        <v>93</v>
      </c>
      <c r="I89" s="4" t="s">
        <v>177</v>
      </c>
      <c r="J89" s="4" t="s">
        <v>41</v>
      </c>
      <c r="K89" s="4" t="s">
        <v>1782</v>
      </c>
      <c r="L89" s="4" t="s">
        <v>1783</v>
      </c>
      <c r="AF89" t="s">
        <v>266</v>
      </c>
      <c r="BN89" t="s">
        <v>42</v>
      </c>
      <c r="BR89" t="s">
        <v>43</v>
      </c>
      <c r="BV89" t="s">
        <v>1525</v>
      </c>
    </row>
    <row r="90" spans="1:75" ht="112" x14ac:dyDescent="0.35">
      <c r="A90" s="4" t="s">
        <v>113</v>
      </c>
      <c r="B90" s="4" t="s">
        <v>107</v>
      </c>
      <c r="C90" s="4" t="s">
        <v>107</v>
      </c>
      <c r="D90" s="4" t="s">
        <v>1754</v>
      </c>
      <c r="E90" s="4" t="s">
        <v>1787</v>
      </c>
      <c r="F90" s="4" t="s">
        <v>106</v>
      </c>
      <c r="G90" s="4" t="s">
        <v>84</v>
      </c>
      <c r="H90" s="4" t="s">
        <v>105</v>
      </c>
      <c r="I90" s="4" t="s">
        <v>177</v>
      </c>
      <c r="J90" s="4" t="s">
        <v>41</v>
      </c>
      <c r="K90" s="4" t="s">
        <v>1788</v>
      </c>
      <c r="L90" s="4" t="s">
        <v>1789</v>
      </c>
      <c r="AF90" t="s">
        <v>460</v>
      </c>
      <c r="BN90" t="s">
        <v>3</v>
      </c>
      <c r="BR90" t="s">
        <v>3</v>
      </c>
      <c r="BV90" t="s">
        <v>1405</v>
      </c>
    </row>
    <row r="91" spans="1:75" ht="70" x14ac:dyDescent="0.35">
      <c r="A91" s="4" t="s">
        <v>103</v>
      </c>
      <c r="B91" s="4" t="s">
        <v>1765</v>
      </c>
      <c r="C91" s="4" t="s">
        <v>74</v>
      </c>
      <c r="D91" s="4" t="s">
        <v>1766</v>
      </c>
      <c r="E91" s="4" t="s">
        <v>1767</v>
      </c>
      <c r="F91" s="4" t="s">
        <v>46</v>
      </c>
      <c r="G91" s="4" t="s">
        <v>73</v>
      </c>
      <c r="H91" s="4" t="s">
        <v>45</v>
      </c>
      <c r="I91" s="4" t="s">
        <v>184</v>
      </c>
      <c r="J91" s="4" t="s">
        <v>41</v>
      </c>
      <c r="K91" s="4" t="s">
        <v>1756</v>
      </c>
      <c r="L91" s="4" t="s">
        <v>1768</v>
      </c>
      <c r="AF91" t="s">
        <v>1124</v>
      </c>
      <c r="BN91" t="s">
        <v>42</v>
      </c>
      <c r="BR91" t="s">
        <v>775</v>
      </c>
      <c r="BV91" t="s">
        <v>263</v>
      </c>
    </row>
    <row r="92" spans="1:75" ht="70" x14ac:dyDescent="0.35">
      <c r="A92" s="4" t="s">
        <v>1773</v>
      </c>
      <c r="B92" s="4" t="s">
        <v>1774</v>
      </c>
      <c r="C92" s="4" t="s">
        <v>74</v>
      </c>
      <c r="D92" s="4" t="s">
        <v>1766</v>
      </c>
      <c r="E92" s="4" t="s">
        <v>1767</v>
      </c>
      <c r="F92" s="4" t="s">
        <v>46</v>
      </c>
      <c r="G92" s="4" t="s">
        <v>73</v>
      </c>
      <c r="H92" s="4" t="s">
        <v>45</v>
      </c>
      <c r="I92" s="4" t="s">
        <v>184</v>
      </c>
      <c r="J92" s="4" t="s">
        <v>41</v>
      </c>
      <c r="K92" s="4" t="s">
        <v>1756</v>
      </c>
      <c r="L92" s="4" t="s">
        <v>1768</v>
      </c>
      <c r="AF92" t="s">
        <v>125</v>
      </c>
      <c r="BN92" t="s">
        <v>3</v>
      </c>
      <c r="BR92" t="s">
        <v>3</v>
      </c>
      <c r="BV92" t="s">
        <v>44</v>
      </c>
    </row>
    <row r="93" spans="1:75" ht="70" x14ac:dyDescent="0.35">
      <c r="A93" s="4" t="s">
        <v>65</v>
      </c>
      <c r="B93" s="4" t="s">
        <v>65</v>
      </c>
      <c r="C93" s="4" t="s">
        <v>65</v>
      </c>
      <c r="D93" s="4" t="s">
        <v>1754</v>
      </c>
      <c r="E93" s="4" t="s">
        <v>1761</v>
      </c>
      <c r="F93" s="4" t="s">
        <v>46</v>
      </c>
      <c r="G93" s="4" t="s">
        <v>64</v>
      </c>
      <c r="H93" s="4" t="s">
        <v>45</v>
      </c>
      <c r="I93" s="4" t="s">
        <v>184</v>
      </c>
      <c r="J93" s="4" t="s">
        <v>41</v>
      </c>
      <c r="K93" s="4" t="s">
        <v>1756</v>
      </c>
      <c r="L93" s="4" t="s">
        <v>1757</v>
      </c>
      <c r="AF93" t="s">
        <v>1100</v>
      </c>
      <c r="BN93" t="s">
        <v>520</v>
      </c>
      <c r="BR93" t="s">
        <v>472</v>
      </c>
      <c r="BV93" t="s">
        <v>776</v>
      </c>
    </row>
    <row r="94" spans="1:75" ht="70" x14ac:dyDescent="0.35">
      <c r="A94" s="4" t="s">
        <v>103</v>
      </c>
      <c r="B94" s="4" t="s">
        <v>1765</v>
      </c>
      <c r="C94" s="4" t="s">
        <v>74</v>
      </c>
      <c r="D94" s="4" t="s">
        <v>1766</v>
      </c>
      <c r="E94" s="4" t="s">
        <v>1767</v>
      </c>
      <c r="F94" s="4" t="s">
        <v>46</v>
      </c>
      <c r="G94" s="4" t="s">
        <v>73</v>
      </c>
      <c r="H94" s="4" t="s">
        <v>45</v>
      </c>
      <c r="I94" s="4" t="s">
        <v>184</v>
      </c>
      <c r="J94" s="4" t="s">
        <v>41</v>
      </c>
      <c r="K94" s="4" t="s">
        <v>1756</v>
      </c>
      <c r="L94" s="4" t="s">
        <v>1768</v>
      </c>
      <c r="AF94" t="s">
        <v>992</v>
      </c>
      <c r="BN94" t="s">
        <v>3</v>
      </c>
      <c r="BR94" t="s">
        <v>3</v>
      </c>
      <c r="BV94" t="s">
        <v>751</v>
      </c>
    </row>
    <row r="95" spans="1:75" ht="70" x14ac:dyDescent="0.35">
      <c r="A95" s="4" t="s">
        <v>1773</v>
      </c>
      <c r="B95" s="4" t="s">
        <v>1774</v>
      </c>
      <c r="C95" s="4" t="s">
        <v>74</v>
      </c>
      <c r="D95" s="4" t="s">
        <v>1766</v>
      </c>
      <c r="E95" s="4" t="s">
        <v>1767</v>
      </c>
      <c r="F95" s="4" t="s">
        <v>46</v>
      </c>
      <c r="G95" s="4" t="s">
        <v>73</v>
      </c>
      <c r="H95" s="4" t="s">
        <v>45</v>
      </c>
      <c r="I95" s="4" t="s">
        <v>184</v>
      </c>
      <c r="J95" s="4" t="s">
        <v>41</v>
      </c>
      <c r="K95" s="4" t="s">
        <v>1756</v>
      </c>
      <c r="L95" s="4" t="s">
        <v>1768</v>
      </c>
      <c r="AF95" t="s">
        <v>1002</v>
      </c>
      <c r="BN95" t="s">
        <v>1563</v>
      </c>
      <c r="BR95" t="s">
        <v>1693</v>
      </c>
      <c r="BV95" t="s">
        <v>1694</v>
      </c>
    </row>
    <row r="96" spans="1:75" ht="112" x14ac:dyDescent="0.35">
      <c r="A96" s="4" t="s">
        <v>85</v>
      </c>
      <c r="B96" s="4" t="s">
        <v>85</v>
      </c>
      <c r="C96" s="4" t="s">
        <v>85</v>
      </c>
      <c r="D96" s="4" t="s">
        <v>1754</v>
      </c>
      <c r="E96" s="4" t="s">
        <v>1761</v>
      </c>
      <c r="F96" s="4" t="s">
        <v>83</v>
      </c>
      <c r="G96" s="4" t="s">
        <v>84</v>
      </c>
      <c r="H96" s="4" t="s">
        <v>82</v>
      </c>
      <c r="I96" s="4" t="s">
        <v>184</v>
      </c>
      <c r="J96" s="4" t="s">
        <v>41</v>
      </c>
      <c r="K96" s="4" t="s">
        <v>1778</v>
      </c>
      <c r="L96" s="4" t="s">
        <v>89</v>
      </c>
      <c r="AF96" t="s">
        <v>1271</v>
      </c>
    </row>
    <row r="97" spans="1:32" ht="168" x14ac:dyDescent="0.35">
      <c r="A97" s="4" t="s">
        <v>103</v>
      </c>
      <c r="B97" s="4" t="s">
        <v>95</v>
      </c>
      <c r="C97" s="4" t="s">
        <v>95</v>
      </c>
      <c r="D97" s="4" t="s">
        <v>1754</v>
      </c>
      <c r="E97" s="4" t="s">
        <v>1755</v>
      </c>
      <c r="F97" s="4" t="s">
        <v>94</v>
      </c>
      <c r="G97" s="4" t="s">
        <v>84</v>
      </c>
      <c r="H97" s="4" t="s">
        <v>93</v>
      </c>
      <c r="I97" s="4" t="s">
        <v>184</v>
      </c>
      <c r="J97" s="4" t="s">
        <v>41</v>
      </c>
      <c r="K97" s="4" t="s">
        <v>1782</v>
      </c>
      <c r="L97" s="4" t="s">
        <v>1783</v>
      </c>
      <c r="AF97" t="s">
        <v>848</v>
      </c>
    </row>
    <row r="98" spans="1:32" ht="112" x14ac:dyDescent="0.35">
      <c r="A98" s="4" t="s">
        <v>113</v>
      </c>
      <c r="B98" s="4" t="s">
        <v>107</v>
      </c>
      <c r="C98" s="4" t="s">
        <v>107</v>
      </c>
      <c r="D98" s="4" t="s">
        <v>1754</v>
      </c>
      <c r="E98" s="4" t="s">
        <v>1787</v>
      </c>
      <c r="F98" s="4" t="s">
        <v>106</v>
      </c>
      <c r="G98" s="4" t="s">
        <v>84</v>
      </c>
      <c r="H98" s="4" t="s">
        <v>105</v>
      </c>
      <c r="I98" s="4" t="s">
        <v>184</v>
      </c>
      <c r="J98" s="4" t="s">
        <v>41</v>
      </c>
      <c r="K98" s="4" t="s">
        <v>1788</v>
      </c>
      <c r="L98" s="4" t="s">
        <v>1789</v>
      </c>
      <c r="AF98" t="s">
        <v>665</v>
      </c>
    </row>
    <row r="99" spans="1:32" ht="70" x14ac:dyDescent="0.35">
      <c r="A99" s="4" t="s">
        <v>103</v>
      </c>
      <c r="B99" s="4" t="s">
        <v>1765</v>
      </c>
      <c r="C99" s="4" t="s">
        <v>74</v>
      </c>
      <c r="D99" s="4" t="s">
        <v>1766</v>
      </c>
      <c r="E99" s="4" t="s">
        <v>1767</v>
      </c>
      <c r="F99" s="4" t="s">
        <v>46</v>
      </c>
      <c r="G99" s="4" t="s">
        <v>73</v>
      </c>
      <c r="H99" s="4" t="s">
        <v>45</v>
      </c>
      <c r="I99" s="4" t="s">
        <v>191</v>
      </c>
      <c r="J99" s="4" t="s">
        <v>41</v>
      </c>
      <c r="K99" s="4" t="s">
        <v>1756</v>
      </c>
      <c r="L99" s="4" t="s">
        <v>1768</v>
      </c>
      <c r="AF99" t="s">
        <v>1038</v>
      </c>
    </row>
    <row r="100" spans="1:32" ht="70" x14ac:dyDescent="0.35">
      <c r="A100" s="4" t="s">
        <v>1773</v>
      </c>
      <c r="B100" s="4" t="s">
        <v>1774</v>
      </c>
      <c r="C100" s="4" t="s">
        <v>74</v>
      </c>
      <c r="D100" s="4" t="s">
        <v>1766</v>
      </c>
      <c r="E100" s="4" t="s">
        <v>1767</v>
      </c>
      <c r="F100" s="4" t="s">
        <v>46</v>
      </c>
      <c r="G100" s="4" t="s">
        <v>73</v>
      </c>
      <c r="H100" s="4" t="s">
        <v>45</v>
      </c>
      <c r="I100" s="4" t="s">
        <v>191</v>
      </c>
      <c r="J100" s="4" t="s">
        <v>41</v>
      </c>
      <c r="K100" s="4" t="s">
        <v>1756</v>
      </c>
      <c r="L100" s="4" t="s">
        <v>1768</v>
      </c>
      <c r="AF100" t="s">
        <v>1669</v>
      </c>
    </row>
    <row r="101" spans="1:32" ht="70" x14ac:dyDescent="0.35">
      <c r="A101" s="4" t="s">
        <v>65</v>
      </c>
      <c r="B101" s="4" t="s">
        <v>65</v>
      </c>
      <c r="C101" s="4" t="s">
        <v>65</v>
      </c>
      <c r="D101" s="4" t="s">
        <v>1754</v>
      </c>
      <c r="E101" s="4" t="s">
        <v>1761</v>
      </c>
      <c r="F101" s="4" t="s">
        <v>46</v>
      </c>
      <c r="G101" s="4" t="s">
        <v>64</v>
      </c>
      <c r="H101" s="4" t="s">
        <v>45</v>
      </c>
      <c r="I101" s="4" t="s">
        <v>191</v>
      </c>
      <c r="J101" s="4" t="s">
        <v>41</v>
      </c>
      <c r="K101" s="4" t="s">
        <v>1756</v>
      </c>
      <c r="L101" s="4" t="s">
        <v>1757</v>
      </c>
      <c r="AF101" t="s">
        <v>350</v>
      </c>
    </row>
    <row r="102" spans="1:32" ht="70" x14ac:dyDescent="0.35">
      <c r="A102" s="4" t="s">
        <v>103</v>
      </c>
      <c r="B102" s="4" t="s">
        <v>1765</v>
      </c>
      <c r="C102" s="4" t="s">
        <v>74</v>
      </c>
      <c r="D102" s="4" t="s">
        <v>1766</v>
      </c>
      <c r="E102" s="4" t="s">
        <v>1767</v>
      </c>
      <c r="F102" s="4" t="s">
        <v>46</v>
      </c>
      <c r="G102" s="4" t="s">
        <v>73</v>
      </c>
      <c r="H102" s="4" t="s">
        <v>45</v>
      </c>
      <c r="I102" s="4" t="s">
        <v>191</v>
      </c>
      <c r="J102" s="4" t="s">
        <v>41</v>
      </c>
      <c r="K102" s="4" t="s">
        <v>1756</v>
      </c>
      <c r="L102" s="4" t="s">
        <v>1768</v>
      </c>
      <c r="AF102" t="s">
        <v>1153</v>
      </c>
    </row>
    <row r="103" spans="1:32" ht="70" x14ac:dyDescent="0.35">
      <c r="A103" s="4" t="s">
        <v>1773</v>
      </c>
      <c r="B103" s="4" t="s">
        <v>1774</v>
      </c>
      <c r="C103" s="4" t="s">
        <v>74</v>
      </c>
      <c r="D103" s="4" t="s">
        <v>1766</v>
      </c>
      <c r="E103" s="4" t="s">
        <v>1767</v>
      </c>
      <c r="F103" s="4" t="s">
        <v>46</v>
      </c>
      <c r="G103" s="4" t="s">
        <v>73</v>
      </c>
      <c r="H103" s="4" t="s">
        <v>45</v>
      </c>
      <c r="I103" s="4" t="s">
        <v>191</v>
      </c>
      <c r="J103" s="4" t="s">
        <v>41</v>
      </c>
      <c r="K103" s="4" t="s">
        <v>1756</v>
      </c>
      <c r="L103" s="4" t="s">
        <v>1768</v>
      </c>
    </row>
    <row r="104" spans="1:32" ht="112" x14ac:dyDescent="0.35">
      <c r="A104" s="4" t="s">
        <v>85</v>
      </c>
      <c r="B104" s="4" t="s">
        <v>85</v>
      </c>
      <c r="C104" s="4" t="s">
        <v>85</v>
      </c>
      <c r="D104" s="4" t="s">
        <v>1754</v>
      </c>
      <c r="E104" s="4" t="s">
        <v>1761</v>
      </c>
      <c r="F104" s="4" t="s">
        <v>83</v>
      </c>
      <c r="G104" s="4" t="s">
        <v>84</v>
      </c>
      <c r="H104" s="4" t="s">
        <v>82</v>
      </c>
      <c r="I104" s="4" t="s">
        <v>191</v>
      </c>
      <c r="J104" s="4" t="s">
        <v>41</v>
      </c>
      <c r="K104" s="4" t="s">
        <v>1778</v>
      </c>
      <c r="L104" s="4" t="s">
        <v>89</v>
      </c>
    </row>
    <row r="105" spans="1:32" ht="168" x14ac:dyDescent="0.35">
      <c r="A105" s="4" t="s">
        <v>103</v>
      </c>
      <c r="B105" s="4" t="s">
        <v>95</v>
      </c>
      <c r="C105" s="4" t="s">
        <v>95</v>
      </c>
      <c r="D105" s="4" t="s">
        <v>1754</v>
      </c>
      <c r="E105" s="4" t="s">
        <v>1755</v>
      </c>
      <c r="F105" s="4" t="s">
        <v>94</v>
      </c>
      <c r="G105" s="4" t="s">
        <v>84</v>
      </c>
      <c r="H105" s="4" t="s">
        <v>93</v>
      </c>
      <c r="I105" s="4" t="s">
        <v>191</v>
      </c>
      <c r="J105" s="4" t="s">
        <v>41</v>
      </c>
      <c r="K105" s="4" t="s">
        <v>1782</v>
      </c>
      <c r="L105" s="4" t="s">
        <v>1783</v>
      </c>
    </row>
    <row r="106" spans="1:32" ht="112" x14ac:dyDescent="0.35">
      <c r="A106" s="4" t="s">
        <v>113</v>
      </c>
      <c r="B106" s="4" t="s">
        <v>107</v>
      </c>
      <c r="C106" s="4" t="s">
        <v>107</v>
      </c>
      <c r="D106" s="4" t="s">
        <v>1754</v>
      </c>
      <c r="E106" s="4" t="s">
        <v>1787</v>
      </c>
      <c r="F106" s="4" t="s">
        <v>106</v>
      </c>
      <c r="G106" s="4" t="s">
        <v>84</v>
      </c>
      <c r="H106" s="4" t="s">
        <v>105</v>
      </c>
      <c r="I106" s="4" t="s">
        <v>191</v>
      </c>
      <c r="J106" s="4" t="s">
        <v>41</v>
      </c>
      <c r="K106" s="4" t="s">
        <v>1788</v>
      </c>
      <c r="L106" s="4" t="s">
        <v>1789</v>
      </c>
    </row>
    <row r="107" spans="1:32" ht="70" x14ac:dyDescent="0.35">
      <c r="A107" s="4" t="s">
        <v>103</v>
      </c>
      <c r="B107" s="4" t="s">
        <v>1765</v>
      </c>
      <c r="C107" s="4" t="s">
        <v>74</v>
      </c>
      <c r="D107" s="4" t="s">
        <v>1766</v>
      </c>
      <c r="E107" s="4" t="s">
        <v>1767</v>
      </c>
      <c r="F107" s="4" t="s">
        <v>46</v>
      </c>
      <c r="G107" s="4" t="s">
        <v>73</v>
      </c>
      <c r="H107" s="4" t="s">
        <v>45</v>
      </c>
      <c r="I107" s="4" t="s">
        <v>198</v>
      </c>
      <c r="J107" s="4" t="s">
        <v>41</v>
      </c>
      <c r="K107" s="4" t="s">
        <v>1756</v>
      </c>
      <c r="L107" s="4" t="s">
        <v>1768</v>
      </c>
    </row>
    <row r="108" spans="1:32" ht="70" x14ac:dyDescent="0.35">
      <c r="A108" s="4" t="s">
        <v>1773</v>
      </c>
      <c r="B108" s="4" t="s">
        <v>1774</v>
      </c>
      <c r="C108" s="4" t="s">
        <v>74</v>
      </c>
      <c r="D108" s="4" t="s">
        <v>1766</v>
      </c>
      <c r="E108" s="4" t="s">
        <v>1767</v>
      </c>
      <c r="F108" s="4" t="s">
        <v>46</v>
      </c>
      <c r="G108" s="4" t="s">
        <v>73</v>
      </c>
      <c r="H108" s="4" t="s">
        <v>45</v>
      </c>
      <c r="I108" s="4" t="s">
        <v>198</v>
      </c>
      <c r="J108" s="4" t="s">
        <v>41</v>
      </c>
      <c r="K108" s="4" t="s">
        <v>1756</v>
      </c>
      <c r="L108" s="4" t="s">
        <v>1768</v>
      </c>
    </row>
    <row r="109" spans="1:32" ht="70" x14ac:dyDescent="0.35">
      <c r="A109" s="4" t="s">
        <v>65</v>
      </c>
      <c r="B109" s="4" t="s">
        <v>65</v>
      </c>
      <c r="C109" s="4" t="s">
        <v>65</v>
      </c>
      <c r="D109" s="4" t="s">
        <v>1754</v>
      </c>
      <c r="E109" s="4" t="s">
        <v>1761</v>
      </c>
      <c r="F109" s="4" t="s">
        <v>46</v>
      </c>
      <c r="G109" s="4" t="s">
        <v>64</v>
      </c>
      <c r="H109" s="4" t="s">
        <v>45</v>
      </c>
      <c r="I109" s="4" t="s">
        <v>198</v>
      </c>
      <c r="J109" s="4" t="s">
        <v>41</v>
      </c>
      <c r="K109" s="4" t="s">
        <v>1756</v>
      </c>
      <c r="L109" s="4" t="s">
        <v>1757</v>
      </c>
    </row>
    <row r="110" spans="1:32" ht="70" x14ac:dyDescent="0.35">
      <c r="A110" s="4" t="s">
        <v>103</v>
      </c>
      <c r="B110" s="4" t="s">
        <v>1765</v>
      </c>
      <c r="C110" s="4" t="s">
        <v>74</v>
      </c>
      <c r="D110" s="4" t="s">
        <v>1766</v>
      </c>
      <c r="E110" s="4" t="s">
        <v>1767</v>
      </c>
      <c r="F110" s="4" t="s">
        <v>46</v>
      </c>
      <c r="G110" s="4" t="s">
        <v>73</v>
      </c>
      <c r="H110" s="4" t="s">
        <v>45</v>
      </c>
      <c r="I110" s="4" t="s">
        <v>198</v>
      </c>
      <c r="J110" s="4" t="s">
        <v>41</v>
      </c>
      <c r="K110" s="4" t="s">
        <v>1756</v>
      </c>
      <c r="L110" s="4" t="s">
        <v>1768</v>
      </c>
    </row>
    <row r="111" spans="1:32" ht="70" x14ac:dyDescent="0.35">
      <c r="A111" s="4" t="s">
        <v>1773</v>
      </c>
      <c r="B111" s="4" t="s">
        <v>1774</v>
      </c>
      <c r="C111" s="4" t="s">
        <v>74</v>
      </c>
      <c r="D111" s="4" t="s">
        <v>1766</v>
      </c>
      <c r="E111" s="4" t="s">
        <v>1767</v>
      </c>
      <c r="F111" s="4" t="s">
        <v>46</v>
      </c>
      <c r="G111" s="4" t="s">
        <v>73</v>
      </c>
      <c r="H111" s="4" t="s">
        <v>45</v>
      </c>
      <c r="I111" s="4" t="s">
        <v>198</v>
      </c>
      <c r="J111" s="4" t="s">
        <v>41</v>
      </c>
      <c r="K111" s="4" t="s">
        <v>1756</v>
      </c>
      <c r="L111" s="4" t="s">
        <v>1768</v>
      </c>
    </row>
    <row r="112" spans="1:32" ht="112" x14ac:dyDescent="0.35">
      <c r="A112" s="4" t="s">
        <v>85</v>
      </c>
      <c r="B112" s="4" t="s">
        <v>85</v>
      </c>
      <c r="C112" s="4" t="s">
        <v>85</v>
      </c>
      <c r="D112" s="4" t="s">
        <v>1754</v>
      </c>
      <c r="E112" s="4" t="s">
        <v>1761</v>
      </c>
      <c r="F112" s="4" t="s">
        <v>83</v>
      </c>
      <c r="G112" s="4" t="s">
        <v>84</v>
      </c>
      <c r="H112" s="4" t="s">
        <v>82</v>
      </c>
      <c r="I112" s="4" t="s">
        <v>198</v>
      </c>
      <c r="J112" s="4" t="s">
        <v>41</v>
      </c>
      <c r="K112" s="4" t="s">
        <v>1778</v>
      </c>
      <c r="L112" s="4" t="s">
        <v>89</v>
      </c>
    </row>
    <row r="113" spans="1:12" ht="168" x14ac:dyDescent="0.35">
      <c r="A113" s="4" t="s">
        <v>103</v>
      </c>
      <c r="B113" s="4" t="s">
        <v>95</v>
      </c>
      <c r="C113" s="4" t="s">
        <v>95</v>
      </c>
      <c r="D113" s="4" t="s">
        <v>1754</v>
      </c>
      <c r="E113" s="4" t="s">
        <v>1755</v>
      </c>
      <c r="F113" s="4" t="s">
        <v>94</v>
      </c>
      <c r="G113" s="4" t="s">
        <v>84</v>
      </c>
      <c r="H113" s="4" t="s">
        <v>93</v>
      </c>
      <c r="I113" s="4" t="s">
        <v>198</v>
      </c>
      <c r="J113" s="4" t="s">
        <v>41</v>
      </c>
      <c r="K113" s="4" t="s">
        <v>1782</v>
      </c>
      <c r="L113" s="4" t="s">
        <v>1783</v>
      </c>
    </row>
    <row r="114" spans="1:12" ht="112" x14ac:dyDescent="0.35">
      <c r="A114" s="4" t="s">
        <v>113</v>
      </c>
      <c r="B114" s="4" t="s">
        <v>107</v>
      </c>
      <c r="C114" s="4" t="s">
        <v>107</v>
      </c>
      <c r="D114" s="4" t="s">
        <v>1754</v>
      </c>
      <c r="E114" s="4" t="s">
        <v>1787</v>
      </c>
      <c r="F114" s="4" t="s">
        <v>106</v>
      </c>
      <c r="G114" s="4" t="s">
        <v>84</v>
      </c>
      <c r="H114" s="4" t="s">
        <v>105</v>
      </c>
      <c r="I114" s="4" t="s">
        <v>198</v>
      </c>
      <c r="J114" s="4" t="s">
        <v>41</v>
      </c>
      <c r="K114" s="4" t="s">
        <v>1788</v>
      </c>
      <c r="L114" s="4" t="s">
        <v>1789</v>
      </c>
    </row>
    <row r="115" spans="1:12" ht="70" x14ac:dyDescent="0.35">
      <c r="A115" s="4" t="s">
        <v>284</v>
      </c>
      <c r="B115" s="4" t="s">
        <v>1816</v>
      </c>
      <c r="C115" s="4" t="s">
        <v>125</v>
      </c>
      <c r="D115" s="4" t="s">
        <v>1766</v>
      </c>
      <c r="E115" s="4" t="s">
        <v>1817</v>
      </c>
      <c r="F115" s="4" t="s">
        <v>46</v>
      </c>
      <c r="G115" s="4" t="s">
        <v>124</v>
      </c>
      <c r="H115" s="4" t="s">
        <v>45</v>
      </c>
      <c r="I115" s="4" t="s">
        <v>205</v>
      </c>
      <c r="J115" s="4" t="s">
        <v>41</v>
      </c>
      <c r="K115" s="4" t="s">
        <v>1756</v>
      </c>
      <c r="L115" s="4" t="s">
        <v>1818</v>
      </c>
    </row>
    <row r="116" spans="1:12" ht="70" x14ac:dyDescent="0.35">
      <c r="A116" s="4" t="s">
        <v>354</v>
      </c>
      <c r="B116" s="4" t="s">
        <v>1822</v>
      </c>
      <c r="C116" s="4" t="s">
        <v>125</v>
      </c>
      <c r="D116" s="4" t="s">
        <v>1766</v>
      </c>
      <c r="E116" s="4" t="s">
        <v>1767</v>
      </c>
      <c r="F116" s="4" t="s">
        <v>46</v>
      </c>
      <c r="G116" s="4" t="s">
        <v>124</v>
      </c>
      <c r="H116" s="4" t="s">
        <v>45</v>
      </c>
      <c r="I116" s="4" t="s">
        <v>205</v>
      </c>
      <c r="J116" s="4" t="s">
        <v>41</v>
      </c>
      <c r="K116" s="4" t="s">
        <v>1756</v>
      </c>
      <c r="L116" s="4" t="s">
        <v>1818</v>
      </c>
    </row>
    <row r="117" spans="1:12" ht="70" x14ac:dyDescent="0.35">
      <c r="A117" s="4" t="s">
        <v>1825</v>
      </c>
      <c r="B117" s="4" t="s">
        <v>1826</v>
      </c>
      <c r="C117" s="4" t="s">
        <v>125</v>
      </c>
      <c r="D117" s="4" t="s">
        <v>1766</v>
      </c>
      <c r="E117" s="4" t="s">
        <v>1767</v>
      </c>
      <c r="F117" s="4" t="s">
        <v>46</v>
      </c>
      <c r="G117" s="4" t="s">
        <v>124</v>
      </c>
      <c r="H117" s="4" t="s">
        <v>45</v>
      </c>
      <c r="I117" s="4" t="s">
        <v>205</v>
      </c>
      <c r="J117" s="4" t="s">
        <v>41</v>
      </c>
      <c r="K117" s="4" t="s">
        <v>1756</v>
      </c>
      <c r="L117" s="4" t="s">
        <v>1818</v>
      </c>
    </row>
    <row r="118" spans="1:12" ht="70" x14ac:dyDescent="0.35">
      <c r="A118" s="4" t="s">
        <v>65</v>
      </c>
      <c r="B118" s="4" t="s">
        <v>65</v>
      </c>
      <c r="C118" s="4" t="s">
        <v>65</v>
      </c>
      <c r="D118" s="4" t="s">
        <v>1754</v>
      </c>
      <c r="E118" s="4" t="s">
        <v>1761</v>
      </c>
      <c r="F118" s="4" t="s">
        <v>46</v>
      </c>
      <c r="G118" s="4" t="s">
        <v>64</v>
      </c>
      <c r="H118" s="4" t="s">
        <v>45</v>
      </c>
      <c r="I118" s="4" t="s">
        <v>205</v>
      </c>
      <c r="J118" s="4" t="s">
        <v>41</v>
      </c>
      <c r="K118" s="4" t="s">
        <v>1756</v>
      </c>
      <c r="L118" s="4" t="s">
        <v>1757</v>
      </c>
    </row>
    <row r="119" spans="1:12" ht="70" x14ac:dyDescent="0.35">
      <c r="A119" s="4" t="s">
        <v>103</v>
      </c>
      <c r="B119" s="4" t="s">
        <v>1765</v>
      </c>
      <c r="C119" s="4" t="s">
        <v>74</v>
      </c>
      <c r="D119" s="4" t="s">
        <v>1766</v>
      </c>
      <c r="E119" s="4" t="s">
        <v>1767</v>
      </c>
      <c r="F119" s="4" t="s">
        <v>46</v>
      </c>
      <c r="G119" s="4" t="s">
        <v>73</v>
      </c>
      <c r="H119" s="4" t="s">
        <v>45</v>
      </c>
      <c r="I119" s="4" t="s">
        <v>205</v>
      </c>
      <c r="J119" s="4" t="s">
        <v>41</v>
      </c>
      <c r="K119" s="4" t="s">
        <v>1756</v>
      </c>
      <c r="L119" s="4" t="s">
        <v>1768</v>
      </c>
    </row>
    <row r="120" spans="1:12" ht="70" x14ac:dyDescent="0.35">
      <c r="A120" s="4" t="s">
        <v>1773</v>
      </c>
      <c r="B120" s="4" t="s">
        <v>1774</v>
      </c>
      <c r="C120" s="4" t="s">
        <v>74</v>
      </c>
      <c r="D120" s="4" t="s">
        <v>1766</v>
      </c>
      <c r="E120" s="4" t="s">
        <v>1767</v>
      </c>
      <c r="F120" s="4" t="s">
        <v>46</v>
      </c>
      <c r="G120" s="4" t="s">
        <v>73</v>
      </c>
      <c r="H120" s="4" t="s">
        <v>45</v>
      </c>
      <c r="I120" s="4" t="s">
        <v>205</v>
      </c>
      <c r="J120" s="4" t="s">
        <v>41</v>
      </c>
      <c r="K120" s="4" t="s">
        <v>1756</v>
      </c>
      <c r="L120" s="4" t="s">
        <v>1768</v>
      </c>
    </row>
    <row r="121" spans="1:12" ht="112" x14ac:dyDescent="0.35">
      <c r="A121" s="4" t="s">
        <v>85</v>
      </c>
      <c r="B121" s="4" t="s">
        <v>85</v>
      </c>
      <c r="C121" s="4" t="s">
        <v>85</v>
      </c>
      <c r="D121" s="4" t="s">
        <v>1754</v>
      </c>
      <c r="E121" s="4" t="s">
        <v>1761</v>
      </c>
      <c r="F121" s="4" t="s">
        <v>83</v>
      </c>
      <c r="G121" s="4" t="s">
        <v>84</v>
      </c>
      <c r="H121" s="4" t="s">
        <v>82</v>
      </c>
      <c r="I121" s="4" t="s">
        <v>205</v>
      </c>
      <c r="J121" s="4" t="s">
        <v>41</v>
      </c>
      <c r="K121" s="4" t="s">
        <v>1778</v>
      </c>
      <c r="L121" s="4" t="s">
        <v>89</v>
      </c>
    </row>
    <row r="122" spans="1:12" ht="168" x14ac:dyDescent="0.35">
      <c r="A122" s="4" t="s">
        <v>103</v>
      </c>
      <c r="B122" s="4" t="s">
        <v>95</v>
      </c>
      <c r="C122" s="4" t="s">
        <v>95</v>
      </c>
      <c r="D122" s="4" t="s">
        <v>1754</v>
      </c>
      <c r="E122" s="4" t="s">
        <v>1755</v>
      </c>
      <c r="F122" s="4" t="s">
        <v>94</v>
      </c>
      <c r="G122" s="4" t="s">
        <v>84</v>
      </c>
      <c r="H122" s="4" t="s">
        <v>93</v>
      </c>
      <c r="I122" s="4" t="s">
        <v>205</v>
      </c>
      <c r="J122" s="4" t="s">
        <v>41</v>
      </c>
      <c r="K122" s="4" t="s">
        <v>1782</v>
      </c>
      <c r="L122" s="4" t="s">
        <v>1783</v>
      </c>
    </row>
    <row r="123" spans="1:12" ht="112" x14ac:dyDescent="0.35">
      <c r="A123" s="4" t="s">
        <v>113</v>
      </c>
      <c r="B123" s="4" t="s">
        <v>107</v>
      </c>
      <c r="C123" s="4" t="s">
        <v>107</v>
      </c>
      <c r="D123" s="4" t="s">
        <v>1754</v>
      </c>
      <c r="E123" s="4" t="s">
        <v>1787</v>
      </c>
      <c r="F123" s="4" t="s">
        <v>106</v>
      </c>
      <c r="G123" s="4" t="s">
        <v>84</v>
      </c>
      <c r="H123" s="4" t="s">
        <v>105</v>
      </c>
      <c r="I123" s="4" t="s">
        <v>205</v>
      </c>
      <c r="J123" s="4" t="s">
        <v>41</v>
      </c>
      <c r="K123" s="4" t="s">
        <v>1788</v>
      </c>
      <c r="L123" s="4" t="s">
        <v>1789</v>
      </c>
    </row>
    <row r="124" spans="1:12" ht="70" x14ac:dyDescent="0.35">
      <c r="A124" s="4" t="s">
        <v>284</v>
      </c>
      <c r="B124" s="4" t="s">
        <v>1816</v>
      </c>
      <c r="C124" s="4" t="s">
        <v>125</v>
      </c>
      <c r="D124" s="4" t="s">
        <v>1766</v>
      </c>
      <c r="E124" s="4" t="s">
        <v>1817</v>
      </c>
      <c r="F124" s="4" t="s">
        <v>46</v>
      </c>
      <c r="G124" s="4" t="s">
        <v>124</v>
      </c>
      <c r="H124" s="4" t="s">
        <v>45</v>
      </c>
      <c r="I124" s="4" t="s">
        <v>212</v>
      </c>
      <c r="J124" s="4" t="s">
        <v>41</v>
      </c>
      <c r="K124" s="4" t="s">
        <v>1756</v>
      </c>
      <c r="L124" s="4" t="s">
        <v>1818</v>
      </c>
    </row>
    <row r="125" spans="1:12" ht="70" x14ac:dyDescent="0.35">
      <c r="A125" s="4" t="s">
        <v>354</v>
      </c>
      <c r="B125" s="4" t="s">
        <v>1822</v>
      </c>
      <c r="C125" s="4" t="s">
        <v>125</v>
      </c>
      <c r="D125" s="4" t="s">
        <v>1766</v>
      </c>
      <c r="E125" s="4" t="s">
        <v>1767</v>
      </c>
      <c r="F125" s="4" t="s">
        <v>46</v>
      </c>
      <c r="G125" s="4" t="s">
        <v>124</v>
      </c>
      <c r="H125" s="4" t="s">
        <v>45</v>
      </c>
      <c r="I125" s="4" t="s">
        <v>212</v>
      </c>
      <c r="J125" s="4" t="s">
        <v>41</v>
      </c>
      <c r="K125" s="4" t="s">
        <v>1756</v>
      </c>
      <c r="L125" s="4" t="s">
        <v>1818</v>
      </c>
    </row>
    <row r="126" spans="1:12" ht="70" x14ac:dyDescent="0.35">
      <c r="A126" s="4" t="s">
        <v>1825</v>
      </c>
      <c r="B126" s="4" t="s">
        <v>1826</v>
      </c>
      <c r="C126" s="4" t="s">
        <v>125</v>
      </c>
      <c r="D126" s="4" t="s">
        <v>1766</v>
      </c>
      <c r="E126" s="4" t="s">
        <v>1767</v>
      </c>
      <c r="F126" s="4" t="s">
        <v>46</v>
      </c>
      <c r="G126" s="4" t="s">
        <v>124</v>
      </c>
      <c r="H126" s="4" t="s">
        <v>45</v>
      </c>
      <c r="I126" s="4" t="s">
        <v>212</v>
      </c>
      <c r="J126" s="4" t="s">
        <v>41</v>
      </c>
      <c r="K126" s="4" t="s">
        <v>1756</v>
      </c>
      <c r="L126" s="4" t="s">
        <v>1818</v>
      </c>
    </row>
    <row r="127" spans="1:12" ht="70" x14ac:dyDescent="0.35">
      <c r="A127" s="4" t="s">
        <v>65</v>
      </c>
      <c r="B127" s="4" t="s">
        <v>65</v>
      </c>
      <c r="C127" s="4" t="s">
        <v>65</v>
      </c>
      <c r="D127" s="4" t="s">
        <v>1754</v>
      </c>
      <c r="E127" s="4" t="s">
        <v>1761</v>
      </c>
      <c r="F127" s="4" t="s">
        <v>46</v>
      </c>
      <c r="G127" s="4" t="s">
        <v>64</v>
      </c>
      <c r="H127" s="4" t="s">
        <v>45</v>
      </c>
      <c r="I127" s="4" t="s">
        <v>212</v>
      </c>
      <c r="J127" s="4" t="s">
        <v>41</v>
      </c>
      <c r="K127" s="4" t="s">
        <v>1756</v>
      </c>
      <c r="L127" s="4" t="s">
        <v>1757</v>
      </c>
    </row>
    <row r="128" spans="1:12" ht="70" x14ac:dyDescent="0.35">
      <c r="A128" s="4" t="s">
        <v>103</v>
      </c>
      <c r="B128" s="4" t="s">
        <v>1765</v>
      </c>
      <c r="C128" s="4" t="s">
        <v>74</v>
      </c>
      <c r="D128" s="4" t="s">
        <v>1766</v>
      </c>
      <c r="E128" s="4" t="s">
        <v>1767</v>
      </c>
      <c r="F128" s="4" t="s">
        <v>46</v>
      </c>
      <c r="G128" s="4" t="s">
        <v>73</v>
      </c>
      <c r="H128" s="4" t="s">
        <v>45</v>
      </c>
      <c r="I128" s="4" t="s">
        <v>212</v>
      </c>
      <c r="J128" s="4" t="s">
        <v>41</v>
      </c>
      <c r="K128" s="4" t="s">
        <v>1756</v>
      </c>
      <c r="L128" s="4" t="s">
        <v>1768</v>
      </c>
    </row>
    <row r="129" spans="1:12" ht="70" x14ac:dyDescent="0.35">
      <c r="A129" s="4" t="s">
        <v>1773</v>
      </c>
      <c r="B129" s="4" t="s">
        <v>1774</v>
      </c>
      <c r="C129" s="4" t="s">
        <v>74</v>
      </c>
      <c r="D129" s="4" t="s">
        <v>1766</v>
      </c>
      <c r="E129" s="4" t="s">
        <v>1767</v>
      </c>
      <c r="F129" s="4" t="s">
        <v>46</v>
      </c>
      <c r="G129" s="4" t="s">
        <v>73</v>
      </c>
      <c r="H129" s="4" t="s">
        <v>45</v>
      </c>
      <c r="I129" s="4" t="s">
        <v>212</v>
      </c>
      <c r="J129" s="4" t="s">
        <v>41</v>
      </c>
      <c r="K129" s="4" t="s">
        <v>1756</v>
      </c>
      <c r="L129" s="4" t="s">
        <v>1768</v>
      </c>
    </row>
    <row r="130" spans="1:12" ht="112" x14ac:dyDescent="0.35">
      <c r="A130" s="4" t="s">
        <v>85</v>
      </c>
      <c r="B130" s="4" t="s">
        <v>85</v>
      </c>
      <c r="C130" s="4" t="s">
        <v>85</v>
      </c>
      <c r="D130" s="4" t="s">
        <v>1754</v>
      </c>
      <c r="E130" s="4" t="s">
        <v>1761</v>
      </c>
      <c r="F130" s="4" t="s">
        <v>83</v>
      </c>
      <c r="G130" s="4" t="s">
        <v>84</v>
      </c>
      <c r="H130" s="4" t="s">
        <v>82</v>
      </c>
      <c r="I130" s="4" t="s">
        <v>212</v>
      </c>
      <c r="J130" s="4" t="s">
        <v>41</v>
      </c>
      <c r="K130" s="4" t="s">
        <v>1778</v>
      </c>
      <c r="L130" s="4" t="s">
        <v>89</v>
      </c>
    </row>
    <row r="131" spans="1:12" ht="168" x14ac:dyDescent="0.35">
      <c r="A131" s="4" t="s">
        <v>103</v>
      </c>
      <c r="B131" s="4" t="s">
        <v>95</v>
      </c>
      <c r="C131" s="4" t="s">
        <v>95</v>
      </c>
      <c r="D131" s="4" t="s">
        <v>1754</v>
      </c>
      <c r="E131" s="4" t="s">
        <v>1755</v>
      </c>
      <c r="F131" s="4" t="s">
        <v>94</v>
      </c>
      <c r="G131" s="4" t="s">
        <v>84</v>
      </c>
      <c r="H131" s="4" t="s">
        <v>93</v>
      </c>
      <c r="I131" s="4" t="s">
        <v>212</v>
      </c>
      <c r="J131" s="4" t="s">
        <v>41</v>
      </c>
      <c r="K131" s="4" t="s">
        <v>1782</v>
      </c>
      <c r="L131" s="4" t="s">
        <v>1783</v>
      </c>
    </row>
    <row r="132" spans="1:12" ht="112" x14ac:dyDescent="0.35">
      <c r="A132" s="4" t="s">
        <v>113</v>
      </c>
      <c r="B132" s="4" t="s">
        <v>107</v>
      </c>
      <c r="C132" s="4" t="s">
        <v>107</v>
      </c>
      <c r="D132" s="4" t="s">
        <v>1754</v>
      </c>
      <c r="E132" s="4" t="s">
        <v>1787</v>
      </c>
      <c r="F132" s="4" t="s">
        <v>106</v>
      </c>
      <c r="G132" s="4" t="s">
        <v>84</v>
      </c>
      <c r="H132" s="4" t="s">
        <v>105</v>
      </c>
      <c r="I132" s="4" t="s">
        <v>212</v>
      </c>
      <c r="J132" s="4" t="s">
        <v>41</v>
      </c>
      <c r="K132" s="4" t="s">
        <v>1788</v>
      </c>
      <c r="L132" s="4" t="s">
        <v>1789</v>
      </c>
    </row>
    <row r="133" spans="1:12" ht="70" x14ac:dyDescent="0.35">
      <c r="A133" s="4" t="s">
        <v>284</v>
      </c>
      <c r="B133" s="4" t="s">
        <v>1816</v>
      </c>
      <c r="C133" s="4" t="s">
        <v>125</v>
      </c>
      <c r="D133" s="4" t="s">
        <v>1766</v>
      </c>
      <c r="E133" s="4" t="s">
        <v>1817</v>
      </c>
      <c r="F133" s="4" t="s">
        <v>46</v>
      </c>
      <c r="G133" s="4" t="s">
        <v>124</v>
      </c>
      <c r="H133" s="4" t="s">
        <v>45</v>
      </c>
      <c r="I133" s="4" t="s">
        <v>219</v>
      </c>
      <c r="J133" s="4" t="s">
        <v>41</v>
      </c>
      <c r="K133" s="4" t="s">
        <v>1756</v>
      </c>
      <c r="L133" s="4" t="s">
        <v>1818</v>
      </c>
    </row>
    <row r="134" spans="1:12" ht="70" x14ac:dyDescent="0.35">
      <c r="A134" s="4" t="s">
        <v>354</v>
      </c>
      <c r="B134" s="4" t="s">
        <v>1822</v>
      </c>
      <c r="C134" s="4" t="s">
        <v>125</v>
      </c>
      <c r="D134" s="4" t="s">
        <v>1766</v>
      </c>
      <c r="E134" s="4" t="s">
        <v>1767</v>
      </c>
      <c r="F134" s="4" t="s">
        <v>46</v>
      </c>
      <c r="G134" s="4" t="s">
        <v>124</v>
      </c>
      <c r="H134" s="4" t="s">
        <v>45</v>
      </c>
      <c r="I134" s="4" t="s">
        <v>219</v>
      </c>
      <c r="J134" s="4" t="s">
        <v>41</v>
      </c>
      <c r="K134" s="4" t="s">
        <v>1756</v>
      </c>
      <c r="L134" s="4" t="s">
        <v>1818</v>
      </c>
    </row>
    <row r="135" spans="1:12" ht="70" x14ac:dyDescent="0.35">
      <c r="A135" s="4" t="s">
        <v>1825</v>
      </c>
      <c r="B135" s="4" t="s">
        <v>1826</v>
      </c>
      <c r="C135" s="4" t="s">
        <v>125</v>
      </c>
      <c r="D135" s="4" t="s">
        <v>1766</v>
      </c>
      <c r="E135" s="4" t="s">
        <v>1767</v>
      </c>
      <c r="F135" s="4" t="s">
        <v>46</v>
      </c>
      <c r="G135" s="4" t="s">
        <v>124</v>
      </c>
      <c r="H135" s="4" t="s">
        <v>45</v>
      </c>
      <c r="I135" s="4" t="s">
        <v>219</v>
      </c>
      <c r="J135" s="4" t="s">
        <v>41</v>
      </c>
      <c r="K135" s="4" t="s">
        <v>1756</v>
      </c>
      <c r="L135" s="4" t="s">
        <v>1818</v>
      </c>
    </row>
    <row r="136" spans="1:12" ht="70" x14ac:dyDescent="0.35">
      <c r="A136" s="4" t="s">
        <v>65</v>
      </c>
      <c r="B136" s="4" t="s">
        <v>65</v>
      </c>
      <c r="C136" s="4" t="s">
        <v>65</v>
      </c>
      <c r="D136" s="4" t="s">
        <v>1754</v>
      </c>
      <c r="E136" s="4" t="s">
        <v>1761</v>
      </c>
      <c r="F136" s="4" t="s">
        <v>46</v>
      </c>
      <c r="G136" s="4" t="s">
        <v>64</v>
      </c>
      <c r="H136" s="4" t="s">
        <v>45</v>
      </c>
      <c r="I136" s="4" t="s">
        <v>219</v>
      </c>
      <c r="J136" s="4" t="s">
        <v>41</v>
      </c>
      <c r="K136" s="4" t="s">
        <v>1756</v>
      </c>
      <c r="L136" s="4" t="s">
        <v>1757</v>
      </c>
    </row>
    <row r="137" spans="1:12" ht="70" x14ac:dyDescent="0.35">
      <c r="A137" s="4" t="s">
        <v>103</v>
      </c>
      <c r="B137" s="4" t="s">
        <v>1765</v>
      </c>
      <c r="C137" s="4" t="s">
        <v>74</v>
      </c>
      <c r="D137" s="4" t="s">
        <v>1766</v>
      </c>
      <c r="E137" s="4" t="s">
        <v>1767</v>
      </c>
      <c r="F137" s="4" t="s">
        <v>46</v>
      </c>
      <c r="G137" s="4" t="s">
        <v>73</v>
      </c>
      <c r="H137" s="4" t="s">
        <v>45</v>
      </c>
      <c r="I137" s="4" t="s">
        <v>219</v>
      </c>
      <c r="J137" s="4" t="s">
        <v>41</v>
      </c>
      <c r="K137" s="4" t="s">
        <v>1756</v>
      </c>
      <c r="L137" s="4" t="s">
        <v>1768</v>
      </c>
    </row>
    <row r="138" spans="1:12" ht="70" x14ac:dyDescent="0.35">
      <c r="A138" s="4" t="s">
        <v>1773</v>
      </c>
      <c r="B138" s="4" t="s">
        <v>1774</v>
      </c>
      <c r="C138" s="4" t="s">
        <v>74</v>
      </c>
      <c r="D138" s="4" t="s">
        <v>1766</v>
      </c>
      <c r="E138" s="4" t="s">
        <v>1767</v>
      </c>
      <c r="F138" s="4" t="s">
        <v>46</v>
      </c>
      <c r="G138" s="4" t="s">
        <v>73</v>
      </c>
      <c r="H138" s="4" t="s">
        <v>45</v>
      </c>
      <c r="I138" s="4" t="s">
        <v>219</v>
      </c>
      <c r="J138" s="4" t="s">
        <v>41</v>
      </c>
      <c r="K138" s="4" t="s">
        <v>1756</v>
      </c>
      <c r="L138" s="4" t="s">
        <v>1768</v>
      </c>
    </row>
    <row r="139" spans="1:12" ht="112" x14ac:dyDescent="0.35">
      <c r="A139" s="4" t="s">
        <v>85</v>
      </c>
      <c r="B139" s="4" t="s">
        <v>85</v>
      </c>
      <c r="C139" s="4" t="s">
        <v>85</v>
      </c>
      <c r="D139" s="4" t="s">
        <v>1754</v>
      </c>
      <c r="E139" s="4" t="s">
        <v>1761</v>
      </c>
      <c r="F139" s="4" t="s">
        <v>83</v>
      </c>
      <c r="G139" s="4" t="s">
        <v>84</v>
      </c>
      <c r="H139" s="4" t="s">
        <v>82</v>
      </c>
      <c r="I139" s="4" t="s">
        <v>219</v>
      </c>
      <c r="J139" s="4" t="s">
        <v>41</v>
      </c>
      <c r="K139" s="4" t="s">
        <v>1778</v>
      </c>
      <c r="L139" s="4" t="s">
        <v>89</v>
      </c>
    </row>
    <row r="140" spans="1:12" ht="168" x14ac:dyDescent="0.35">
      <c r="A140" s="4" t="s">
        <v>103</v>
      </c>
      <c r="B140" s="4" t="s">
        <v>95</v>
      </c>
      <c r="C140" s="4" t="s">
        <v>95</v>
      </c>
      <c r="D140" s="4" t="s">
        <v>1754</v>
      </c>
      <c r="E140" s="4" t="s">
        <v>1755</v>
      </c>
      <c r="F140" s="4" t="s">
        <v>94</v>
      </c>
      <c r="G140" s="4" t="s">
        <v>84</v>
      </c>
      <c r="H140" s="4" t="s">
        <v>93</v>
      </c>
      <c r="I140" s="4" t="s">
        <v>219</v>
      </c>
      <c r="J140" s="4" t="s">
        <v>41</v>
      </c>
      <c r="K140" s="4" t="s">
        <v>1782</v>
      </c>
      <c r="L140" s="4" t="s">
        <v>1783</v>
      </c>
    </row>
    <row r="141" spans="1:12" ht="112" x14ac:dyDescent="0.35">
      <c r="A141" s="4" t="s">
        <v>113</v>
      </c>
      <c r="B141" s="4" t="s">
        <v>107</v>
      </c>
      <c r="C141" s="4" t="s">
        <v>107</v>
      </c>
      <c r="D141" s="4" t="s">
        <v>1754</v>
      </c>
      <c r="E141" s="4" t="s">
        <v>1787</v>
      </c>
      <c r="F141" s="4" t="s">
        <v>106</v>
      </c>
      <c r="G141" s="4" t="s">
        <v>84</v>
      </c>
      <c r="H141" s="4" t="s">
        <v>105</v>
      </c>
      <c r="I141" s="4" t="s">
        <v>219</v>
      </c>
      <c r="J141" s="4" t="s">
        <v>41</v>
      </c>
      <c r="K141" s="4" t="s">
        <v>1788</v>
      </c>
      <c r="L141" s="4" t="s">
        <v>1789</v>
      </c>
    </row>
    <row r="142" spans="1:12" ht="70" x14ac:dyDescent="0.35">
      <c r="A142" s="4" t="s">
        <v>103</v>
      </c>
      <c r="B142" s="4" t="s">
        <v>1765</v>
      </c>
      <c r="C142" s="4" t="s">
        <v>74</v>
      </c>
      <c r="D142" s="4" t="s">
        <v>1766</v>
      </c>
      <c r="E142" s="4" t="s">
        <v>1767</v>
      </c>
      <c r="F142" s="4" t="s">
        <v>46</v>
      </c>
      <c r="G142" s="4" t="s">
        <v>73</v>
      </c>
      <c r="H142" s="4" t="s">
        <v>45</v>
      </c>
      <c r="I142" s="4" t="s">
        <v>226</v>
      </c>
      <c r="J142" s="4" t="s">
        <v>41</v>
      </c>
      <c r="K142" s="4" t="s">
        <v>1756</v>
      </c>
      <c r="L142" s="4" t="s">
        <v>1768</v>
      </c>
    </row>
    <row r="143" spans="1:12" ht="70" x14ac:dyDescent="0.35">
      <c r="A143" s="4" t="s">
        <v>1773</v>
      </c>
      <c r="B143" s="4" t="s">
        <v>1774</v>
      </c>
      <c r="C143" s="4" t="s">
        <v>74</v>
      </c>
      <c r="D143" s="4" t="s">
        <v>1766</v>
      </c>
      <c r="E143" s="4" t="s">
        <v>1767</v>
      </c>
      <c r="F143" s="4" t="s">
        <v>46</v>
      </c>
      <c r="G143" s="4" t="s">
        <v>73</v>
      </c>
      <c r="H143" s="4" t="s">
        <v>45</v>
      </c>
      <c r="I143" s="4" t="s">
        <v>226</v>
      </c>
      <c r="J143" s="4" t="s">
        <v>41</v>
      </c>
      <c r="K143" s="4" t="s">
        <v>1756</v>
      </c>
      <c r="L143" s="4" t="s">
        <v>1768</v>
      </c>
    </row>
    <row r="144" spans="1:12" ht="70" x14ac:dyDescent="0.35">
      <c r="A144" s="4" t="s">
        <v>65</v>
      </c>
      <c r="B144" s="4" t="s">
        <v>65</v>
      </c>
      <c r="C144" s="4" t="s">
        <v>65</v>
      </c>
      <c r="D144" s="4" t="s">
        <v>1754</v>
      </c>
      <c r="E144" s="4" t="s">
        <v>1761</v>
      </c>
      <c r="F144" s="4" t="s">
        <v>46</v>
      </c>
      <c r="G144" s="4" t="s">
        <v>64</v>
      </c>
      <c r="H144" s="4" t="s">
        <v>45</v>
      </c>
      <c r="I144" s="4" t="s">
        <v>226</v>
      </c>
      <c r="J144" s="4" t="s">
        <v>41</v>
      </c>
      <c r="K144" s="4" t="s">
        <v>1756</v>
      </c>
      <c r="L144" s="4" t="s">
        <v>1757</v>
      </c>
    </row>
    <row r="145" spans="1:12" ht="70" x14ac:dyDescent="0.35">
      <c r="A145" s="4" t="s">
        <v>103</v>
      </c>
      <c r="B145" s="4" t="s">
        <v>1765</v>
      </c>
      <c r="C145" s="4" t="s">
        <v>74</v>
      </c>
      <c r="D145" s="4" t="s">
        <v>1766</v>
      </c>
      <c r="E145" s="4" t="s">
        <v>1767</v>
      </c>
      <c r="F145" s="4" t="s">
        <v>46</v>
      </c>
      <c r="G145" s="4" t="s">
        <v>73</v>
      </c>
      <c r="H145" s="4" t="s">
        <v>45</v>
      </c>
      <c r="I145" s="4" t="s">
        <v>226</v>
      </c>
      <c r="J145" s="4" t="s">
        <v>41</v>
      </c>
      <c r="K145" s="4" t="s">
        <v>1756</v>
      </c>
      <c r="L145" s="4" t="s">
        <v>1768</v>
      </c>
    </row>
    <row r="146" spans="1:12" ht="70" x14ac:dyDescent="0.35">
      <c r="A146" s="4" t="s">
        <v>1773</v>
      </c>
      <c r="B146" s="4" t="s">
        <v>1774</v>
      </c>
      <c r="C146" s="4" t="s">
        <v>74</v>
      </c>
      <c r="D146" s="4" t="s">
        <v>1766</v>
      </c>
      <c r="E146" s="4" t="s">
        <v>1767</v>
      </c>
      <c r="F146" s="4" t="s">
        <v>46</v>
      </c>
      <c r="G146" s="4" t="s">
        <v>73</v>
      </c>
      <c r="H146" s="4" t="s">
        <v>45</v>
      </c>
      <c r="I146" s="4" t="s">
        <v>226</v>
      </c>
      <c r="J146" s="4" t="s">
        <v>41</v>
      </c>
      <c r="K146" s="4" t="s">
        <v>1756</v>
      </c>
      <c r="L146" s="4" t="s">
        <v>1768</v>
      </c>
    </row>
    <row r="147" spans="1:12" ht="112" x14ac:dyDescent="0.35">
      <c r="A147" s="4" t="s">
        <v>85</v>
      </c>
      <c r="B147" s="4" t="s">
        <v>85</v>
      </c>
      <c r="C147" s="4" t="s">
        <v>85</v>
      </c>
      <c r="D147" s="4" t="s">
        <v>1754</v>
      </c>
      <c r="E147" s="4" t="s">
        <v>1761</v>
      </c>
      <c r="F147" s="4" t="s">
        <v>83</v>
      </c>
      <c r="G147" s="4" t="s">
        <v>84</v>
      </c>
      <c r="H147" s="4" t="s">
        <v>82</v>
      </c>
      <c r="I147" s="4" t="s">
        <v>226</v>
      </c>
      <c r="J147" s="4" t="s">
        <v>41</v>
      </c>
      <c r="K147" s="4" t="s">
        <v>1778</v>
      </c>
      <c r="L147" s="4" t="s">
        <v>89</v>
      </c>
    </row>
    <row r="148" spans="1:12" ht="168" x14ac:dyDescent="0.35">
      <c r="A148" s="4" t="s">
        <v>103</v>
      </c>
      <c r="B148" s="4" t="s">
        <v>95</v>
      </c>
      <c r="C148" s="4" t="s">
        <v>95</v>
      </c>
      <c r="D148" s="4" t="s">
        <v>1754</v>
      </c>
      <c r="E148" s="4" t="s">
        <v>1755</v>
      </c>
      <c r="F148" s="4" t="s">
        <v>94</v>
      </c>
      <c r="G148" s="4" t="s">
        <v>84</v>
      </c>
      <c r="H148" s="4" t="s">
        <v>93</v>
      </c>
      <c r="I148" s="4" t="s">
        <v>226</v>
      </c>
      <c r="J148" s="4" t="s">
        <v>41</v>
      </c>
      <c r="K148" s="4" t="s">
        <v>1782</v>
      </c>
      <c r="L148" s="4" t="s">
        <v>1783</v>
      </c>
    </row>
    <row r="149" spans="1:12" ht="112" x14ac:dyDescent="0.35">
      <c r="A149" s="4" t="s">
        <v>113</v>
      </c>
      <c r="B149" s="4" t="s">
        <v>107</v>
      </c>
      <c r="C149" s="4" t="s">
        <v>107</v>
      </c>
      <c r="D149" s="4" t="s">
        <v>1754</v>
      </c>
      <c r="E149" s="4" t="s">
        <v>1787</v>
      </c>
      <c r="F149" s="4" t="s">
        <v>106</v>
      </c>
      <c r="G149" s="4" t="s">
        <v>84</v>
      </c>
      <c r="H149" s="4" t="s">
        <v>105</v>
      </c>
      <c r="I149" s="4" t="s">
        <v>226</v>
      </c>
      <c r="J149" s="4" t="s">
        <v>41</v>
      </c>
      <c r="K149" s="4" t="s">
        <v>1788</v>
      </c>
      <c r="L149" s="4" t="s">
        <v>1789</v>
      </c>
    </row>
    <row r="150" spans="1:12" ht="70" x14ac:dyDescent="0.35">
      <c r="A150" s="4" t="s">
        <v>103</v>
      </c>
      <c r="B150" s="4" t="s">
        <v>1765</v>
      </c>
      <c r="C150" s="4" t="s">
        <v>74</v>
      </c>
      <c r="D150" s="4" t="s">
        <v>1766</v>
      </c>
      <c r="E150" s="4" t="s">
        <v>1767</v>
      </c>
      <c r="F150" s="4" t="s">
        <v>46</v>
      </c>
      <c r="G150" s="4" t="s">
        <v>73</v>
      </c>
      <c r="H150" s="4" t="s">
        <v>45</v>
      </c>
      <c r="I150" s="4" t="s">
        <v>233</v>
      </c>
      <c r="J150" s="4" t="s">
        <v>41</v>
      </c>
      <c r="K150" s="4" t="s">
        <v>1756</v>
      </c>
      <c r="L150" s="4" t="s">
        <v>1768</v>
      </c>
    </row>
    <row r="151" spans="1:12" ht="70" x14ac:dyDescent="0.35">
      <c r="A151" s="4" t="s">
        <v>1773</v>
      </c>
      <c r="B151" s="4" t="s">
        <v>1774</v>
      </c>
      <c r="C151" s="4" t="s">
        <v>74</v>
      </c>
      <c r="D151" s="4" t="s">
        <v>1766</v>
      </c>
      <c r="E151" s="4" t="s">
        <v>1767</v>
      </c>
      <c r="F151" s="4" t="s">
        <v>46</v>
      </c>
      <c r="G151" s="4" t="s">
        <v>73</v>
      </c>
      <c r="H151" s="4" t="s">
        <v>45</v>
      </c>
      <c r="I151" s="4" t="s">
        <v>233</v>
      </c>
      <c r="J151" s="4" t="s">
        <v>41</v>
      </c>
      <c r="K151" s="4" t="s">
        <v>1756</v>
      </c>
      <c r="L151" s="4" t="s">
        <v>1768</v>
      </c>
    </row>
    <row r="152" spans="1:12" ht="70" x14ac:dyDescent="0.35">
      <c r="A152" s="4" t="s">
        <v>65</v>
      </c>
      <c r="B152" s="4" t="s">
        <v>65</v>
      </c>
      <c r="C152" s="4" t="s">
        <v>65</v>
      </c>
      <c r="D152" s="4" t="s">
        <v>1754</v>
      </c>
      <c r="E152" s="4" t="s">
        <v>1761</v>
      </c>
      <c r="F152" s="4" t="s">
        <v>46</v>
      </c>
      <c r="G152" s="4" t="s">
        <v>64</v>
      </c>
      <c r="H152" s="4" t="s">
        <v>45</v>
      </c>
      <c r="I152" s="4" t="s">
        <v>233</v>
      </c>
      <c r="J152" s="4" t="s">
        <v>41</v>
      </c>
      <c r="K152" s="4" t="s">
        <v>1756</v>
      </c>
      <c r="L152" s="4" t="s">
        <v>1757</v>
      </c>
    </row>
    <row r="153" spans="1:12" ht="70" x14ac:dyDescent="0.35">
      <c r="A153" s="4" t="s">
        <v>103</v>
      </c>
      <c r="B153" s="4" t="s">
        <v>1765</v>
      </c>
      <c r="C153" s="4" t="s">
        <v>74</v>
      </c>
      <c r="D153" s="4" t="s">
        <v>1766</v>
      </c>
      <c r="E153" s="4" t="s">
        <v>1767</v>
      </c>
      <c r="F153" s="4" t="s">
        <v>46</v>
      </c>
      <c r="G153" s="4" t="s">
        <v>73</v>
      </c>
      <c r="H153" s="4" t="s">
        <v>45</v>
      </c>
      <c r="I153" s="4" t="s">
        <v>233</v>
      </c>
      <c r="J153" s="4" t="s">
        <v>41</v>
      </c>
      <c r="K153" s="4" t="s">
        <v>1756</v>
      </c>
      <c r="L153" s="4" t="s">
        <v>1768</v>
      </c>
    </row>
    <row r="154" spans="1:12" ht="70" x14ac:dyDescent="0.35">
      <c r="A154" s="4" t="s">
        <v>1773</v>
      </c>
      <c r="B154" s="4" t="s">
        <v>1774</v>
      </c>
      <c r="C154" s="4" t="s">
        <v>74</v>
      </c>
      <c r="D154" s="4" t="s">
        <v>1766</v>
      </c>
      <c r="E154" s="4" t="s">
        <v>1767</v>
      </c>
      <c r="F154" s="4" t="s">
        <v>46</v>
      </c>
      <c r="G154" s="4" t="s">
        <v>73</v>
      </c>
      <c r="H154" s="4" t="s">
        <v>45</v>
      </c>
      <c r="I154" s="4" t="s">
        <v>233</v>
      </c>
      <c r="J154" s="4" t="s">
        <v>41</v>
      </c>
      <c r="K154" s="4" t="s">
        <v>1756</v>
      </c>
      <c r="L154" s="4" t="s">
        <v>1768</v>
      </c>
    </row>
    <row r="155" spans="1:12" ht="112" x14ac:dyDescent="0.35">
      <c r="A155" s="4" t="s">
        <v>85</v>
      </c>
      <c r="B155" s="4" t="s">
        <v>85</v>
      </c>
      <c r="C155" s="4" t="s">
        <v>85</v>
      </c>
      <c r="D155" s="4" t="s">
        <v>1754</v>
      </c>
      <c r="E155" s="4" t="s">
        <v>1761</v>
      </c>
      <c r="F155" s="4" t="s">
        <v>83</v>
      </c>
      <c r="G155" s="4" t="s">
        <v>84</v>
      </c>
      <c r="H155" s="4" t="s">
        <v>82</v>
      </c>
      <c r="I155" s="4" t="s">
        <v>233</v>
      </c>
      <c r="J155" s="4" t="s">
        <v>41</v>
      </c>
      <c r="K155" s="4" t="s">
        <v>1778</v>
      </c>
      <c r="L155" s="4" t="s">
        <v>89</v>
      </c>
    </row>
    <row r="156" spans="1:12" ht="168" x14ac:dyDescent="0.35">
      <c r="A156" s="4" t="s">
        <v>103</v>
      </c>
      <c r="B156" s="4" t="s">
        <v>95</v>
      </c>
      <c r="C156" s="4" t="s">
        <v>95</v>
      </c>
      <c r="D156" s="4" t="s">
        <v>1754</v>
      </c>
      <c r="E156" s="4" t="s">
        <v>1755</v>
      </c>
      <c r="F156" s="4" t="s">
        <v>94</v>
      </c>
      <c r="G156" s="4" t="s">
        <v>84</v>
      </c>
      <c r="H156" s="4" t="s">
        <v>93</v>
      </c>
      <c r="I156" s="4" t="s">
        <v>233</v>
      </c>
      <c r="J156" s="4" t="s">
        <v>41</v>
      </c>
      <c r="K156" s="4" t="s">
        <v>1782</v>
      </c>
      <c r="L156" s="4" t="s">
        <v>1783</v>
      </c>
    </row>
    <row r="157" spans="1:12" ht="112" x14ac:dyDescent="0.35">
      <c r="A157" s="4" t="s">
        <v>113</v>
      </c>
      <c r="B157" s="4" t="s">
        <v>107</v>
      </c>
      <c r="C157" s="4" t="s">
        <v>107</v>
      </c>
      <c r="D157" s="4" t="s">
        <v>1754</v>
      </c>
      <c r="E157" s="4" t="s">
        <v>1787</v>
      </c>
      <c r="F157" s="4" t="s">
        <v>106</v>
      </c>
      <c r="G157" s="4" t="s">
        <v>84</v>
      </c>
      <c r="H157" s="4" t="s">
        <v>105</v>
      </c>
      <c r="I157" s="4" t="s">
        <v>233</v>
      </c>
      <c r="J157" s="4" t="s">
        <v>41</v>
      </c>
      <c r="K157" s="4" t="s">
        <v>1788</v>
      </c>
      <c r="L157" s="4" t="s">
        <v>1789</v>
      </c>
    </row>
    <row r="158" spans="1:12" ht="70" x14ac:dyDescent="0.35">
      <c r="A158" s="4" t="s">
        <v>284</v>
      </c>
      <c r="B158" s="4" t="s">
        <v>1816</v>
      </c>
      <c r="C158" s="4" t="s">
        <v>125</v>
      </c>
      <c r="D158" s="4" t="s">
        <v>1766</v>
      </c>
      <c r="E158" s="4" t="s">
        <v>1817</v>
      </c>
      <c r="F158" s="4" t="s">
        <v>46</v>
      </c>
      <c r="G158" s="4" t="s">
        <v>124</v>
      </c>
      <c r="H158" s="4" t="s">
        <v>45</v>
      </c>
      <c r="I158" s="4" t="s">
        <v>240</v>
      </c>
      <c r="J158" s="4" t="s">
        <v>41</v>
      </c>
      <c r="K158" s="4" t="s">
        <v>1756</v>
      </c>
      <c r="L158" s="4" t="s">
        <v>1818</v>
      </c>
    </row>
    <row r="159" spans="1:12" ht="70" x14ac:dyDescent="0.35">
      <c r="A159" s="4" t="s">
        <v>354</v>
      </c>
      <c r="B159" s="4" t="s">
        <v>1822</v>
      </c>
      <c r="C159" s="4" t="s">
        <v>125</v>
      </c>
      <c r="D159" s="4" t="s">
        <v>1766</v>
      </c>
      <c r="E159" s="4" t="s">
        <v>1767</v>
      </c>
      <c r="F159" s="4" t="s">
        <v>46</v>
      </c>
      <c r="G159" s="4" t="s">
        <v>124</v>
      </c>
      <c r="H159" s="4" t="s">
        <v>45</v>
      </c>
      <c r="I159" s="4" t="s">
        <v>240</v>
      </c>
      <c r="J159" s="4" t="s">
        <v>41</v>
      </c>
      <c r="K159" s="4" t="s">
        <v>1756</v>
      </c>
      <c r="L159" s="4" t="s">
        <v>1818</v>
      </c>
    </row>
    <row r="160" spans="1:12" ht="70" x14ac:dyDescent="0.35">
      <c r="A160" s="4" t="s">
        <v>1825</v>
      </c>
      <c r="B160" s="4" t="s">
        <v>1826</v>
      </c>
      <c r="C160" s="4" t="s">
        <v>125</v>
      </c>
      <c r="D160" s="4" t="s">
        <v>1766</v>
      </c>
      <c r="E160" s="4" t="s">
        <v>1767</v>
      </c>
      <c r="F160" s="4" t="s">
        <v>46</v>
      </c>
      <c r="G160" s="4" t="s">
        <v>124</v>
      </c>
      <c r="H160" s="4" t="s">
        <v>45</v>
      </c>
      <c r="I160" s="4" t="s">
        <v>240</v>
      </c>
      <c r="J160" s="4" t="s">
        <v>41</v>
      </c>
      <c r="K160" s="4" t="s">
        <v>1756</v>
      </c>
      <c r="L160" s="4" t="s">
        <v>1818</v>
      </c>
    </row>
    <row r="161" spans="1:12" ht="70" x14ac:dyDescent="0.35">
      <c r="A161" s="4" t="s">
        <v>65</v>
      </c>
      <c r="B161" s="4" t="s">
        <v>65</v>
      </c>
      <c r="C161" s="4" t="s">
        <v>65</v>
      </c>
      <c r="D161" s="4" t="s">
        <v>1754</v>
      </c>
      <c r="E161" s="4" t="s">
        <v>1761</v>
      </c>
      <c r="F161" s="4" t="s">
        <v>46</v>
      </c>
      <c r="G161" s="4" t="s">
        <v>64</v>
      </c>
      <c r="H161" s="4" t="s">
        <v>45</v>
      </c>
      <c r="I161" s="4" t="s">
        <v>240</v>
      </c>
      <c r="J161" s="4" t="s">
        <v>41</v>
      </c>
      <c r="K161" s="4" t="s">
        <v>1756</v>
      </c>
      <c r="L161" s="4" t="s">
        <v>1757</v>
      </c>
    </row>
    <row r="162" spans="1:12" ht="70" x14ac:dyDescent="0.35">
      <c r="A162" s="4" t="s">
        <v>103</v>
      </c>
      <c r="B162" s="4" t="s">
        <v>1765</v>
      </c>
      <c r="C162" s="4" t="s">
        <v>74</v>
      </c>
      <c r="D162" s="4" t="s">
        <v>1766</v>
      </c>
      <c r="E162" s="4" t="s">
        <v>1767</v>
      </c>
      <c r="F162" s="4" t="s">
        <v>46</v>
      </c>
      <c r="G162" s="4" t="s">
        <v>73</v>
      </c>
      <c r="H162" s="4" t="s">
        <v>45</v>
      </c>
      <c r="I162" s="4" t="s">
        <v>240</v>
      </c>
      <c r="J162" s="4" t="s">
        <v>41</v>
      </c>
      <c r="K162" s="4" t="s">
        <v>1756</v>
      </c>
      <c r="L162" s="4" t="s">
        <v>1768</v>
      </c>
    </row>
    <row r="163" spans="1:12" ht="70" x14ac:dyDescent="0.35">
      <c r="A163" s="4" t="s">
        <v>1773</v>
      </c>
      <c r="B163" s="4" t="s">
        <v>1774</v>
      </c>
      <c r="C163" s="4" t="s">
        <v>74</v>
      </c>
      <c r="D163" s="4" t="s">
        <v>1766</v>
      </c>
      <c r="E163" s="4" t="s">
        <v>1767</v>
      </c>
      <c r="F163" s="4" t="s">
        <v>46</v>
      </c>
      <c r="G163" s="4" t="s">
        <v>73</v>
      </c>
      <c r="H163" s="4" t="s">
        <v>45</v>
      </c>
      <c r="I163" s="4" t="s">
        <v>240</v>
      </c>
      <c r="J163" s="4" t="s">
        <v>41</v>
      </c>
      <c r="K163" s="4" t="s">
        <v>1756</v>
      </c>
      <c r="L163" s="4" t="s">
        <v>1768</v>
      </c>
    </row>
    <row r="164" spans="1:12" ht="112" x14ac:dyDescent="0.35">
      <c r="A164" s="4" t="s">
        <v>85</v>
      </c>
      <c r="B164" s="4" t="s">
        <v>85</v>
      </c>
      <c r="C164" s="4" t="s">
        <v>85</v>
      </c>
      <c r="D164" s="4" t="s">
        <v>1754</v>
      </c>
      <c r="E164" s="4" t="s">
        <v>1761</v>
      </c>
      <c r="F164" s="4" t="s">
        <v>83</v>
      </c>
      <c r="G164" s="4" t="s">
        <v>84</v>
      </c>
      <c r="H164" s="4" t="s">
        <v>82</v>
      </c>
      <c r="I164" s="4" t="s">
        <v>240</v>
      </c>
      <c r="J164" s="4" t="s">
        <v>41</v>
      </c>
      <c r="K164" s="4" t="s">
        <v>1778</v>
      </c>
      <c r="L164" s="4" t="s">
        <v>89</v>
      </c>
    </row>
    <row r="165" spans="1:12" ht="168" x14ac:dyDescent="0.35">
      <c r="A165" s="4" t="s">
        <v>103</v>
      </c>
      <c r="B165" s="4" t="s">
        <v>95</v>
      </c>
      <c r="C165" s="4" t="s">
        <v>95</v>
      </c>
      <c r="D165" s="4" t="s">
        <v>1754</v>
      </c>
      <c r="E165" s="4" t="s">
        <v>1755</v>
      </c>
      <c r="F165" s="4" t="s">
        <v>94</v>
      </c>
      <c r="G165" s="4" t="s">
        <v>84</v>
      </c>
      <c r="H165" s="4" t="s">
        <v>93</v>
      </c>
      <c r="I165" s="4" t="s">
        <v>240</v>
      </c>
      <c r="J165" s="4" t="s">
        <v>41</v>
      </c>
      <c r="K165" s="4" t="s">
        <v>1782</v>
      </c>
      <c r="L165" s="4" t="s">
        <v>1783</v>
      </c>
    </row>
    <row r="166" spans="1:12" ht="112" x14ac:dyDescent="0.35">
      <c r="A166" s="4" t="s">
        <v>113</v>
      </c>
      <c r="B166" s="4" t="s">
        <v>107</v>
      </c>
      <c r="C166" s="4" t="s">
        <v>107</v>
      </c>
      <c r="D166" s="4" t="s">
        <v>1754</v>
      </c>
      <c r="E166" s="4" t="s">
        <v>1787</v>
      </c>
      <c r="F166" s="4" t="s">
        <v>106</v>
      </c>
      <c r="G166" s="4" t="s">
        <v>84</v>
      </c>
      <c r="H166" s="4" t="s">
        <v>105</v>
      </c>
      <c r="I166" s="4" t="s">
        <v>240</v>
      </c>
      <c r="J166" s="4" t="s">
        <v>41</v>
      </c>
      <c r="K166" s="4" t="s">
        <v>1788</v>
      </c>
      <c r="L166" s="4" t="s">
        <v>1789</v>
      </c>
    </row>
    <row r="167" spans="1:12" ht="70" x14ac:dyDescent="0.35">
      <c r="A167" s="4" t="s">
        <v>284</v>
      </c>
      <c r="B167" s="4" t="s">
        <v>1816</v>
      </c>
      <c r="C167" s="4" t="s">
        <v>125</v>
      </c>
      <c r="D167" s="4" t="s">
        <v>1766</v>
      </c>
      <c r="E167" s="4" t="s">
        <v>1817</v>
      </c>
      <c r="F167" s="4" t="s">
        <v>46</v>
      </c>
      <c r="G167" s="4" t="s">
        <v>124</v>
      </c>
      <c r="H167" s="4" t="s">
        <v>45</v>
      </c>
      <c r="I167" s="4" t="s">
        <v>247</v>
      </c>
      <c r="J167" s="4" t="s">
        <v>41</v>
      </c>
      <c r="K167" s="4" t="s">
        <v>1756</v>
      </c>
      <c r="L167" s="4" t="s">
        <v>1818</v>
      </c>
    </row>
    <row r="168" spans="1:12" ht="70" x14ac:dyDescent="0.35">
      <c r="A168" s="4" t="s">
        <v>354</v>
      </c>
      <c r="B168" s="4" t="s">
        <v>1822</v>
      </c>
      <c r="C168" s="4" t="s">
        <v>125</v>
      </c>
      <c r="D168" s="4" t="s">
        <v>1766</v>
      </c>
      <c r="E168" s="4" t="s">
        <v>1767</v>
      </c>
      <c r="F168" s="4" t="s">
        <v>46</v>
      </c>
      <c r="G168" s="4" t="s">
        <v>124</v>
      </c>
      <c r="H168" s="4" t="s">
        <v>45</v>
      </c>
      <c r="I168" s="4" t="s">
        <v>247</v>
      </c>
      <c r="J168" s="4" t="s">
        <v>41</v>
      </c>
      <c r="K168" s="4" t="s">
        <v>1756</v>
      </c>
      <c r="L168" s="4" t="s">
        <v>1818</v>
      </c>
    </row>
    <row r="169" spans="1:12" ht="70" x14ac:dyDescent="0.35">
      <c r="A169" s="4" t="s">
        <v>1825</v>
      </c>
      <c r="B169" s="4" t="s">
        <v>1826</v>
      </c>
      <c r="C169" s="4" t="s">
        <v>125</v>
      </c>
      <c r="D169" s="4" t="s">
        <v>1766</v>
      </c>
      <c r="E169" s="4" t="s">
        <v>1767</v>
      </c>
      <c r="F169" s="4" t="s">
        <v>46</v>
      </c>
      <c r="G169" s="4" t="s">
        <v>124</v>
      </c>
      <c r="H169" s="4" t="s">
        <v>45</v>
      </c>
      <c r="I169" s="4" t="s">
        <v>247</v>
      </c>
      <c r="J169" s="4" t="s">
        <v>41</v>
      </c>
      <c r="K169" s="4" t="s">
        <v>1756</v>
      </c>
      <c r="L169" s="4" t="s">
        <v>1818</v>
      </c>
    </row>
    <row r="170" spans="1:12" ht="70" x14ac:dyDescent="0.35">
      <c r="A170" s="4" t="s">
        <v>65</v>
      </c>
      <c r="B170" s="4" t="s">
        <v>65</v>
      </c>
      <c r="C170" s="4" t="s">
        <v>65</v>
      </c>
      <c r="D170" s="4" t="s">
        <v>1754</v>
      </c>
      <c r="E170" s="4" t="s">
        <v>1761</v>
      </c>
      <c r="F170" s="4" t="s">
        <v>46</v>
      </c>
      <c r="G170" s="4" t="s">
        <v>64</v>
      </c>
      <c r="H170" s="4" t="s">
        <v>45</v>
      </c>
      <c r="I170" s="4" t="s">
        <v>247</v>
      </c>
      <c r="J170" s="4" t="s">
        <v>41</v>
      </c>
      <c r="K170" s="4" t="s">
        <v>1756</v>
      </c>
      <c r="L170" s="4" t="s">
        <v>1757</v>
      </c>
    </row>
    <row r="171" spans="1:12" ht="70" x14ac:dyDescent="0.35">
      <c r="A171" s="4" t="s">
        <v>103</v>
      </c>
      <c r="B171" s="4" t="s">
        <v>1765</v>
      </c>
      <c r="C171" s="4" t="s">
        <v>74</v>
      </c>
      <c r="D171" s="4" t="s">
        <v>1766</v>
      </c>
      <c r="E171" s="4" t="s">
        <v>1767</v>
      </c>
      <c r="F171" s="4" t="s">
        <v>46</v>
      </c>
      <c r="G171" s="4" t="s">
        <v>73</v>
      </c>
      <c r="H171" s="4" t="s">
        <v>45</v>
      </c>
      <c r="I171" s="4" t="s">
        <v>247</v>
      </c>
      <c r="J171" s="4" t="s">
        <v>41</v>
      </c>
      <c r="K171" s="4" t="s">
        <v>1756</v>
      </c>
      <c r="L171" s="4" t="s">
        <v>1768</v>
      </c>
    </row>
    <row r="172" spans="1:12" ht="70" x14ac:dyDescent="0.35">
      <c r="A172" s="4" t="s">
        <v>1773</v>
      </c>
      <c r="B172" s="4" t="s">
        <v>1774</v>
      </c>
      <c r="C172" s="4" t="s">
        <v>74</v>
      </c>
      <c r="D172" s="4" t="s">
        <v>1766</v>
      </c>
      <c r="E172" s="4" t="s">
        <v>1767</v>
      </c>
      <c r="F172" s="4" t="s">
        <v>46</v>
      </c>
      <c r="G172" s="4" t="s">
        <v>73</v>
      </c>
      <c r="H172" s="4" t="s">
        <v>45</v>
      </c>
      <c r="I172" s="4" t="s">
        <v>247</v>
      </c>
      <c r="J172" s="4" t="s">
        <v>41</v>
      </c>
      <c r="K172" s="4" t="s">
        <v>1756</v>
      </c>
      <c r="L172" s="4" t="s">
        <v>1768</v>
      </c>
    </row>
    <row r="173" spans="1:12" ht="112" x14ac:dyDescent="0.35">
      <c r="A173" s="4" t="s">
        <v>85</v>
      </c>
      <c r="B173" s="4" t="s">
        <v>85</v>
      </c>
      <c r="C173" s="4" t="s">
        <v>85</v>
      </c>
      <c r="D173" s="4" t="s">
        <v>1754</v>
      </c>
      <c r="E173" s="4" t="s">
        <v>1761</v>
      </c>
      <c r="F173" s="4" t="s">
        <v>83</v>
      </c>
      <c r="G173" s="4" t="s">
        <v>84</v>
      </c>
      <c r="H173" s="4" t="s">
        <v>82</v>
      </c>
      <c r="I173" s="4" t="s">
        <v>247</v>
      </c>
      <c r="J173" s="4" t="s">
        <v>41</v>
      </c>
      <c r="K173" s="4" t="s">
        <v>1778</v>
      </c>
      <c r="L173" s="4" t="s">
        <v>89</v>
      </c>
    </row>
    <row r="174" spans="1:12" ht="168" x14ac:dyDescent="0.35">
      <c r="A174" s="4" t="s">
        <v>103</v>
      </c>
      <c r="B174" s="4" t="s">
        <v>95</v>
      </c>
      <c r="C174" s="4" t="s">
        <v>95</v>
      </c>
      <c r="D174" s="4" t="s">
        <v>1754</v>
      </c>
      <c r="E174" s="4" t="s">
        <v>1755</v>
      </c>
      <c r="F174" s="4" t="s">
        <v>94</v>
      </c>
      <c r="G174" s="4" t="s">
        <v>84</v>
      </c>
      <c r="H174" s="4" t="s">
        <v>93</v>
      </c>
      <c r="I174" s="4" t="s">
        <v>247</v>
      </c>
      <c r="J174" s="4" t="s">
        <v>41</v>
      </c>
      <c r="K174" s="4" t="s">
        <v>1782</v>
      </c>
      <c r="L174" s="4" t="s">
        <v>1783</v>
      </c>
    </row>
    <row r="175" spans="1:12" ht="112" x14ac:dyDescent="0.35">
      <c r="A175" s="4" t="s">
        <v>113</v>
      </c>
      <c r="B175" s="4" t="s">
        <v>107</v>
      </c>
      <c r="C175" s="4" t="s">
        <v>107</v>
      </c>
      <c r="D175" s="4" t="s">
        <v>1754</v>
      </c>
      <c r="E175" s="4" t="s">
        <v>1787</v>
      </c>
      <c r="F175" s="4" t="s">
        <v>106</v>
      </c>
      <c r="G175" s="4" t="s">
        <v>84</v>
      </c>
      <c r="H175" s="4" t="s">
        <v>105</v>
      </c>
      <c r="I175" s="4" t="s">
        <v>247</v>
      </c>
      <c r="J175" s="4" t="s">
        <v>41</v>
      </c>
      <c r="K175" s="4" t="s">
        <v>1788</v>
      </c>
      <c r="L175" s="4" t="s">
        <v>1789</v>
      </c>
    </row>
    <row r="176" spans="1:12" ht="70" x14ac:dyDescent="0.35">
      <c r="A176" s="4" t="s">
        <v>284</v>
      </c>
      <c r="B176" s="4" t="s">
        <v>1816</v>
      </c>
      <c r="C176" s="4" t="s">
        <v>125</v>
      </c>
      <c r="D176" s="4" t="s">
        <v>1766</v>
      </c>
      <c r="E176" s="4" t="s">
        <v>1817</v>
      </c>
      <c r="F176" s="4" t="s">
        <v>46</v>
      </c>
      <c r="G176" s="4" t="s">
        <v>124</v>
      </c>
      <c r="H176" s="4" t="s">
        <v>45</v>
      </c>
      <c r="I176" s="4" t="s">
        <v>254</v>
      </c>
      <c r="J176" s="4" t="s">
        <v>41</v>
      </c>
      <c r="K176" s="4" t="s">
        <v>1756</v>
      </c>
      <c r="L176" s="4" t="s">
        <v>1818</v>
      </c>
    </row>
    <row r="177" spans="1:12" ht="70" x14ac:dyDescent="0.35">
      <c r="A177" s="4" t="s">
        <v>354</v>
      </c>
      <c r="B177" s="4" t="s">
        <v>1822</v>
      </c>
      <c r="C177" s="4" t="s">
        <v>125</v>
      </c>
      <c r="D177" s="4" t="s">
        <v>1766</v>
      </c>
      <c r="E177" s="4" t="s">
        <v>1767</v>
      </c>
      <c r="F177" s="4" t="s">
        <v>46</v>
      </c>
      <c r="G177" s="4" t="s">
        <v>124</v>
      </c>
      <c r="H177" s="4" t="s">
        <v>45</v>
      </c>
      <c r="I177" s="4" t="s">
        <v>254</v>
      </c>
      <c r="J177" s="4" t="s">
        <v>41</v>
      </c>
      <c r="K177" s="4" t="s">
        <v>1756</v>
      </c>
      <c r="L177" s="4" t="s">
        <v>1818</v>
      </c>
    </row>
    <row r="178" spans="1:12" ht="70" x14ac:dyDescent="0.35">
      <c r="A178" s="4" t="s">
        <v>1825</v>
      </c>
      <c r="B178" s="4" t="s">
        <v>1826</v>
      </c>
      <c r="C178" s="4" t="s">
        <v>125</v>
      </c>
      <c r="D178" s="4" t="s">
        <v>1766</v>
      </c>
      <c r="E178" s="4" t="s">
        <v>1767</v>
      </c>
      <c r="F178" s="4" t="s">
        <v>46</v>
      </c>
      <c r="G178" s="4" t="s">
        <v>124</v>
      </c>
      <c r="H178" s="4" t="s">
        <v>45</v>
      </c>
      <c r="I178" s="4" t="s">
        <v>254</v>
      </c>
      <c r="J178" s="4" t="s">
        <v>41</v>
      </c>
      <c r="K178" s="4" t="s">
        <v>1756</v>
      </c>
      <c r="L178" s="4" t="s">
        <v>1818</v>
      </c>
    </row>
    <row r="179" spans="1:12" ht="70" x14ac:dyDescent="0.35">
      <c r="A179" s="4" t="s">
        <v>65</v>
      </c>
      <c r="B179" s="4" t="s">
        <v>65</v>
      </c>
      <c r="C179" s="4" t="s">
        <v>65</v>
      </c>
      <c r="D179" s="4" t="s">
        <v>1754</v>
      </c>
      <c r="E179" s="4" t="s">
        <v>1761</v>
      </c>
      <c r="F179" s="4" t="s">
        <v>46</v>
      </c>
      <c r="G179" s="4" t="s">
        <v>64</v>
      </c>
      <c r="H179" s="4" t="s">
        <v>45</v>
      </c>
      <c r="I179" s="4" t="s">
        <v>254</v>
      </c>
      <c r="J179" s="4" t="s">
        <v>41</v>
      </c>
      <c r="K179" s="4" t="s">
        <v>1756</v>
      </c>
      <c r="L179" s="4" t="s">
        <v>1757</v>
      </c>
    </row>
    <row r="180" spans="1:12" ht="70" x14ac:dyDescent="0.35">
      <c r="A180" s="4" t="s">
        <v>103</v>
      </c>
      <c r="B180" s="4" t="s">
        <v>1765</v>
      </c>
      <c r="C180" s="4" t="s">
        <v>74</v>
      </c>
      <c r="D180" s="4" t="s">
        <v>1766</v>
      </c>
      <c r="E180" s="4" t="s">
        <v>1767</v>
      </c>
      <c r="F180" s="4" t="s">
        <v>46</v>
      </c>
      <c r="G180" s="4" t="s">
        <v>73</v>
      </c>
      <c r="H180" s="4" t="s">
        <v>45</v>
      </c>
      <c r="I180" s="4" t="s">
        <v>254</v>
      </c>
      <c r="J180" s="4" t="s">
        <v>41</v>
      </c>
      <c r="K180" s="4" t="s">
        <v>1756</v>
      </c>
      <c r="L180" s="4" t="s">
        <v>1768</v>
      </c>
    </row>
    <row r="181" spans="1:12" ht="70" x14ac:dyDescent="0.35">
      <c r="A181" s="4" t="s">
        <v>1773</v>
      </c>
      <c r="B181" s="4" t="s">
        <v>1774</v>
      </c>
      <c r="C181" s="4" t="s">
        <v>74</v>
      </c>
      <c r="D181" s="4" t="s">
        <v>1766</v>
      </c>
      <c r="E181" s="4" t="s">
        <v>1767</v>
      </c>
      <c r="F181" s="4" t="s">
        <v>46</v>
      </c>
      <c r="G181" s="4" t="s">
        <v>73</v>
      </c>
      <c r="H181" s="4" t="s">
        <v>45</v>
      </c>
      <c r="I181" s="4" t="s">
        <v>254</v>
      </c>
      <c r="J181" s="4" t="s">
        <v>41</v>
      </c>
      <c r="K181" s="4" t="s">
        <v>1756</v>
      </c>
      <c r="L181" s="4" t="s">
        <v>1768</v>
      </c>
    </row>
    <row r="182" spans="1:12" ht="112" x14ac:dyDescent="0.35">
      <c r="A182" s="4" t="s">
        <v>85</v>
      </c>
      <c r="B182" s="4" t="s">
        <v>85</v>
      </c>
      <c r="C182" s="4" t="s">
        <v>85</v>
      </c>
      <c r="D182" s="4" t="s">
        <v>1754</v>
      </c>
      <c r="E182" s="4" t="s">
        <v>1761</v>
      </c>
      <c r="F182" s="4" t="s">
        <v>83</v>
      </c>
      <c r="G182" s="4" t="s">
        <v>84</v>
      </c>
      <c r="H182" s="4" t="s">
        <v>82</v>
      </c>
      <c r="I182" s="4" t="s">
        <v>254</v>
      </c>
      <c r="J182" s="4" t="s">
        <v>41</v>
      </c>
      <c r="K182" s="4" t="s">
        <v>1778</v>
      </c>
      <c r="L182" s="4" t="s">
        <v>89</v>
      </c>
    </row>
    <row r="183" spans="1:12" ht="168" x14ac:dyDescent="0.35">
      <c r="A183" s="4" t="s">
        <v>103</v>
      </c>
      <c r="B183" s="4" t="s">
        <v>95</v>
      </c>
      <c r="C183" s="4" t="s">
        <v>95</v>
      </c>
      <c r="D183" s="4" t="s">
        <v>1754</v>
      </c>
      <c r="E183" s="4" t="s">
        <v>1755</v>
      </c>
      <c r="F183" s="4" t="s">
        <v>94</v>
      </c>
      <c r="G183" s="4" t="s">
        <v>84</v>
      </c>
      <c r="H183" s="4" t="s">
        <v>93</v>
      </c>
      <c r="I183" s="4" t="s">
        <v>254</v>
      </c>
      <c r="J183" s="4" t="s">
        <v>41</v>
      </c>
      <c r="K183" s="4" t="s">
        <v>1782</v>
      </c>
      <c r="L183" s="4" t="s">
        <v>1783</v>
      </c>
    </row>
    <row r="184" spans="1:12" ht="112" x14ac:dyDescent="0.35">
      <c r="A184" s="4" t="s">
        <v>113</v>
      </c>
      <c r="B184" s="4" t="s">
        <v>107</v>
      </c>
      <c r="C184" s="4" t="s">
        <v>107</v>
      </c>
      <c r="D184" s="4" t="s">
        <v>1754</v>
      </c>
      <c r="E184" s="4" t="s">
        <v>1787</v>
      </c>
      <c r="F184" s="4" t="s">
        <v>106</v>
      </c>
      <c r="G184" s="4" t="s">
        <v>84</v>
      </c>
      <c r="H184" s="4" t="s">
        <v>105</v>
      </c>
      <c r="I184" s="4" t="s">
        <v>254</v>
      </c>
      <c r="J184" s="4" t="s">
        <v>41</v>
      </c>
      <c r="K184" s="4" t="s">
        <v>1788</v>
      </c>
      <c r="L184" s="4" t="s">
        <v>1789</v>
      </c>
    </row>
    <row r="185" spans="1:12" ht="56" x14ac:dyDescent="0.35">
      <c r="A185" s="4" t="s">
        <v>103</v>
      </c>
      <c r="B185" s="4" t="s">
        <v>103</v>
      </c>
      <c r="C185" s="4" t="s">
        <v>266</v>
      </c>
      <c r="D185" s="4" t="s">
        <v>1766</v>
      </c>
      <c r="E185" s="4" t="s">
        <v>1844</v>
      </c>
      <c r="F185" s="4" t="s">
        <v>265</v>
      </c>
      <c r="G185" s="4" t="s">
        <v>47</v>
      </c>
      <c r="H185" s="4" t="s">
        <v>264</v>
      </c>
      <c r="I185" s="4" t="s">
        <v>123</v>
      </c>
      <c r="J185" s="4" t="s">
        <v>261</v>
      </c>
      <c r="K185" s="4" t="s">
        <v>1845</v>
      </c>
      <c r="L185" s="4" t="s">
        <v>273</v>
      </c>
    </row>
    <row r="186" spans="1:12" ht="84" x14ac:dyDescent="0.35">
      <c r="A186" s="4" t="s">
        <v>284</v>
      </c>
      <c r="B186" s="4" t="s">
        <v>276</v>
      </c>
      <c r="C186" s="4" t="s">
        <v>276</v>
      </c>
      <c r="D186" s="4" t="s">
        <v>1754</v>
      </c>
      <c r="E186" s="4" t="s">
        <v>1846</v>
      </c>
      <c r="F186" s="4" t="s">
        <v>265</v>
      </c>
      <c r="G186" s="4" t="s">
        <v>124</v>
      </c>
      <c r="H186" s="4" t="s">
        <v>264</v>
      </c>
      <c r="I186" s="4" t="s">
        <v>170</v>
      </c>
      <c r="J186" s="4" t="s">
        <v>261</v>
      </c>
      <c r="K186" s="4" t="s">
        <v>1845</v>
      </c>
      <c r="L186" s="4" t="s">
        <v>1847</v>
      </c>
    </row>
    <row r="187" spans="1:12" ht="84" x14ac:dyDescent="0.35">
      <c r="A187" s="4" t="s">
        <v>294</v>
      </c>
      <c r="B187" s="4" t="s">
        <v>287</v>
      </c>
      <c r="C187" s="4" t="s">
        <v>287</v>
      </c>
      <c r="D187" s="4" t="s">
        <v>1754</v>
      </c>
      <c r="E187" s="4" t="s">
        <v>1755</v>
      </c>
      <c r="F187" s="4" t="s">
        <v>265</v>
      </c>
      <c r="G187" s="4" t="s">
        <v>73</v>
      </c>
      <c r="H187" s="4" t="s">
        <v>264</v>
      </c>
      <c r="I187" s="4" t="s">
        <v>254</v>
      </c>
      <c r="J187" s="4" t="s">
        <v>261</v>
      </c>
      <c r="K187" s="4" t="s">
        <v>1845</v>
      </c>
      <c r="L187" s="4" t="s">
        <v>291</v>
      </c>
    </row>
    <row r="188" spans="1:12" ht="126" x14ac:dyDescent="0.35">
      <c r="A188" s="4" t="s">
        <v>320</v>
      </c>
      <c r="B188" s="4" t="s">
        <v>1848</v>
      </c>
      <c r="C188" s="4" t="s">
        <v>296</v>
      </c>
      <c r="D188" s="4" t="s">
        <v>1766</v>
      </c>
      <c r="E188" s="4" t="s">
        <v>1844</v>
      </c>
      <c r="F188" s="4" t="s">
        <v>265</v>
      </c>
      <c r="G188" s="4" t="s">
        <v>64</v>
      </c>
      <c r="H188" s="4" t="s">
        <v>264</v>
      </c>
      <c r="I188" s="4" t="s">
        <v>116</v>
      </c>
      <c r="J188" s="4" t="s">
        <v>261</v>
      </c>
      <c r="K188" s="4" t="s">
        <v>1845</v>
      </c>
      <c r="L188" s="4" t="s">
        <v>1849</v>
      </c>
    </row>
    <row r="189" spans="1:12" ht="126" x14ac:dyDescent="0.35">
      <c r="A189" s="4" t="s">
        <v>1631</v>
      </c>
      <c r="B189" s="4" t="s">
        <v>1850</v>
      </c>
      <c r="C189" s="4" t="s">
        <v>296</v>
      </c>
      <c r="D189" s="4" t="s">
        <v>1766</v>
      </c>
      <c r="E189" s="4" t="s">
        <v>1844</v>
      </c>
      <c r="F189" s="4" t="s">
        <v>265</v>
      </c>
      <c r="G189" s="4" t="s">
        <v>64</v>
      </c>
      <c r="H189" s="4" t="s">
        <v>264</v>
      </c>
      <c r="I189" s="4" t="s">
        <v>116</v>
      </c>
      <c r="J189" s="4" t="s">
        <v>261</v>
      </c>
      <c r="K189" s="4" t="s">
        <v>1845</v>
      </c>
      <c r="L189" s="4" t="s">
        <v>1849</v>
      </c>
    </row>
    <row r="190" spans="1:12" ht="84" x14ac:dyDescent="0.35">
      <c r="A190" s="4" t="s">
        <v>284</v>
      </c>
      <c r="B190" s="4" t="s">
        <v>276</v>
      </c>
      <c r="C190" s="4" t="s">
        <v>276</v>
      </c>
      <c r="D190" s="4" t="s">
        <v>1754</v>
      </c>
      <c r="E190" s="4" t="s">
        <v>1846</v>
      </c>
      <c r="F190" s="4" t="s">
        <v>265</v>
      </c>
      <c r="G190" s="4" t="s">
        <v>305</v>
      </c>
      <c r="H190" s="4" t="s">
        <v>264</v>
      </c>
      <c r="I190" s="4" t="s">
        <v>205</v>
      </c>
      <c r="J190" s="4" t="s">
        <v>261</v>
      </c>
      <c r="K190" s="4" t="s">
        <v>1845</v>
      </c>
      <c r="L190" s="4" t="s">
        <v>1847</v>
      </c>
    </row>
    <row r="191" spans="1:12" ht="154" x14ac:dyDescent="0.35">
      <c r="A191" s="4" t="s">
        <v>320</v>
      </c>
      <c r="B191" s="4" t="s">
        <v>1851</v>
      </c>
      <c r="C191" s="4" t="s">
        <v>313</v>
      </c>
      <c r="D191" s="4" t="s">
        <v>1766</v>
      </c>
      <c r="E191" s="4" t="s">
        <v>1844</v>
      </c>
      <c r="F191" s="4" t="s">
        <v>265</v>
      </c>
      <c r="G191" s="4" t="s">
        <v>312</v>
      </c>
      <c r="H191" s="4" t="s">
        <v>264</v>
      </c>
      <c r="I191" s="4" t="s">
        <v>170</v>
      </c>
      <c r="J191" s="4" t="s">
        <v>261</v>
      </c>
      <c r="K191" s="4" t="s">
        <v>1845</v>
      </c>
      <c r="L191" s="4" t="s">
        <v>1852</v>
      </c>
    </row>
    <row r="192" spans="1:12" ht="126" x14ac:dyDescent="0.35">
      <c r="A192" s="4" t="s">
        <v>330</v>
      </c>
      <c r="B192" s="4" t="s">
        <v>323</v>
      </c>
      <c r="C192" s="4" t="s">
        <v>323</v>
      </c>
      <c r="D192" s="4" t="s">
        <v>1754</v>
      </c>
      <c r="E192" s="4" t="s">
        <v>1853</v>
      </c>
      <c r="F192" s="4" t="s">
        <v>265</v>
      </c>
      <c r="G192" s="4" t="s">
        <v>322</v>
      </c>
      <c r="H192" s="4" t="s">
        <v>264</v>
      </c>
      <c r="I192" s="4" t="s">
        <v>123</v>
      </c>
      <c r="J192" s="4" t="s">
        <v>261</v>
      </c>
      <c r="K192" s="4" t="s">
        <v>1845</v>
      </c>
      <c r="L192" s="4" t="s">
        <v>1854</v>
      </c>
    </row>
    <row r="193" spans="1:12" ht="84" x14ac:dyDescent="0.35">
      <c r="A193" s="4" t="s">
        <v>345</v>
      </c>
      <c r="B193" s="4" t="s">
        <v>1855</v>
      </c>
      <c r="C193" s="4" t="s">
        <v>337</v>
      </c>
      <c r="D193" s="4" t="s">
        <v>1766</v>
      </c>
      <c r="E193" s="4" t="s">
        <v>1856</v>
      </c>
      <c r="F193" s="4" t="s">
        <v>336</v>
      </c>
      <c r="G193" s="4" t="s">
        <v>47</v>
      </c>
      <c r="H193" s="4" t="s">
        <v>335</v>
      </c>
      <c r="I193" s="4" t="s">
        <v>40</v>
      </c>
      <c r="J193" s="4" t="s">
        <v>333</v>
      </c>
      <c r="K193" s="4" t="s">
        <v>1857</v>
      </c>
      <c r="L193" s="4" t="s">
        <v>342</v>
      </c>
    </row>
    <row r="194" spans="1:12" ht="84" x14ac:dyDescent="0.35">
      <c r="A194" s="4" t="s">
        <v>345</v>
      </c>
      <c r="B194" s="4" t="s">
        <v>1855</v>
      </c>
      <c r="C194" s="4" t="s">
        <v>337</v>
      </c>
      <c r="D194" s="4" t="s">
        <v>1766</v>
      </c>
      <c r="E194" s="4" t="s">
        <v>1856</v>
      </c>
      <c r="F194" s="4" t="s">
        <v>336</v>
      </c>
      <c r="G194" s="4" t="s">
        <v>47</v>
      </c>
      <c r="H194" s="4" t="s">
        <v>335</v>
      </c>
      <c r="I194" s="4" t="s">
        <v>149</v>
      </c>
      <c r="J194" s="4" t="s">
        <v>333</v>
      </c>
      <c r="K194" s="4" t="s">
        <v>1857</v>
      </c>
      <c r="L194" s="4" t="s">
        <v>342</v>
      </c>
    </row>
    <row r="195" spans="1:12" ht="84" x14ac:dyDescent="0.35">
      <c r="A195" s="4" t="s">
        <v>345</v>
      </c>
      <c r="B195" s="4" t="s">
        <v>1855</v>
      </c>
      <c r="C195" s="4" t="s">
        <v>337</v>
      </c>
      <c r="D195" s="4" t="s">
        <v>1766</v>
      </c>
      <c r="E195" s="4" t="s">
        <v>1856</v>
      </c>
      <c r="F195" s="4" t="s">
        <v>336</v>
      </c>
      <c r="G195" s="4" t="s">
        <v>47</v>
      </c>
      <c r="H195" s="4" t="s">
        <v>335</v>
      </c>
      <c r="I195" s="4" t="s">
        <v>156</v>
      </c>
      <c r="J195" s="4" t="s">
        <v>333</v>
      </c>
      <c r="K195" s="4" t="s">
        <v>1857</v>
      </c>
      <c r="L195" s="4" t="s">
        <v>342</v>
      </c>
    </row>
    <row r="196" spans="1:12" ht="84" x14ac:dyDescent="0.35">
      <c r="A196" s="4" t="s">
        <v>354</v>
      </c>
      <c r="B196" s="4" t="s">
        <v>350</v>
      </c>
      <c r="C196" s="4" t="s">
        <v>350</v>
      </c>
      <c r="D196" s="4" t="s">
        <v>1754</v>
      </c>
      <c r="E196" s="4" t="s">
        <v>1755</v>
      </c>
      <c r="F196" s="4" t="s">
        <v>336</v>
      </c>
      <c r="G196" s="4" t="s">
        <v>124</v>
      </c>
      <c r="H196" s="4" t="s">
        <v>335</v>
      </c>
      <c r="I196" s="4" t="s">
        <v>116</v>
      </c>
      <c r="J196" s="4" t="s">
        <v>333</v>
      </c>
      <c r="K196" s="4" t="s">
        <v>1857</v>
      </c>
      <c r="L196" s="4" t="s">
        <v>342</v>
      </c>
    </row>
    <row r="197" spans="1:12" ht="84" x14ac:dyDescent="0.35">
      <c r="A197" s="4" t="s">
        <v>354</v>
      </c>
      <c r="B197" s="4" t="s">
        <v>350</v>
      </c>
      <c r="C197" s="4" t="s">
        <v>350</v>
      </c>
      <c r="D197" s="4" t="s">
        <v>1754</v>
      </c>
      <c r="E197" s="4" t="s">
        <v>1755</v>
      </c>
      <c r="F197" s="4" t="s">
        <v>336</v>
      </c>
      <c r="G197" s="4" t="s">
        <v>124</v>
      </c>
      <c r="H197" s="4" t="s">
        <v>335</v>
      </c>
      <c r="I197" s="4" t="s">
        <v>123</v>
      </c>
      <c r="J197" s="4" t="s">
        <v>333</v>
      </c>
      <c r="K197" s="4" t="s">
        <v>1857</v>
      </c>
      <c r="L197" s="4" t="s">
        <v>342</v>
      </c>
    </row>
    <row r="198" spans="1:12" ht="84" x14ac:dyDescent="0.35">
      <c r="A198" s="4" t="s">
        <v>354</v>
      </c>
      <c r="B198" s="4" t="s">
        <v>350</v>
      </c>
      <c r="C198" s="4" t="s">
        <v>350</v>
      </c>
      <c r="D198" s="4" t="s">
        <v>1754</v>
      </c>
      <c r="E198" s="4" t="s">
        <v>1755</v>
      </c>
      <c r="F198" s="4" t="s">
        <v>336</v>
      </c>
      <c r="G198" s="4" t="s">
        <v>124</v>
      </c>
      <c r="H198" s="4" t="s">
        <v>335</v>
      </c>
      <c r="I198" s="4" t="s">
        <v>135</v>
      </c>
      <c r="J198" s="4" t="s">
        <v>333</v>
      </c>
      <c r="K198" s="4" t="s">
        <v>1857</v>
      </c>
      <c r="L198" s="4" t="s">
        <v>342</v>
      </c>
    </row>
    <row r="199" spans="1:12" ht="84" x14ac:dyDescent="0.35">
      <c r="A199" s="4" t="s">
        <v>354</v>
      </c>
      <c r="B199" s="4" t="s">
        <v>350</v>
      </c>
      <c r="C199" s="4" t="s">
        <v>350</v>
      </c>
      <c r="D199" s="4" t="s">
        <v>1754</v>
      </c>
      <c r="E199" s="4" t="s">
        <v>1755</v>
      </c>
      <c r="F199" s="4" t="s">
        <v>336</v>
      </c>
      <c r="G199" s="4" t="s">
        <v>124</v>
      </c>
      <c r="H199" s="4" t="s">
        <v>335</v>
      </c>
      <c r="I199" s="4" t="s">
        <v>142</v>
      </c>
      <c r="J199" s="4" t="s">
        <v>333</v>
      </c>
      <c r="K199" s="4" t="s">
        <v>1857</v>
      </c>
      <c r="L199" s="4" t="s">
        <v>342</v>
      </c>
    </row>
    <row r="200" spans="1:12" ht="84" x14ac:dyDescent="0.35">
      <c r="A200" s="4" t="s">
        <v>354</v>
      </c>
      <c r="B200" s="4" t="s">
        <v>350</v>
      </c>
      <c r="C200" s="4" t="s">
        <v>350</v>
      </c>
      <c r="D200" s="4" t="s">
        <v>1754</v>
      </c>
      <c r="E200" s="4" t="s">
        <v>1755</v>
      </c>
      <c r="F200" s="4" t="s">
        <v>336</v>
      </c>
      <c r="G200" s="4" t="s">
        <v>73</v>
      </c>
      <c r="H200" s="4" t="s">
        <v>335</v>
      </c>
      <c r="I200" s="4" t="s">
        <v>163</v>
      </c>
      <c r="J200" s="4" t="s">
        <v>333</v>
      </c>
      <c r="K200" s="4" t="s">
        <v>1857</v>
      </c>
      <c r="L200" s="4" t="s">
        <v>342</v>
      </c>
    </row>
    <row r="201" spans="1:12" ht="84" x14ac:dyDescent="0.35">
      <c r="A201" s="4" t="s">
        <v>354</v>
      </c>
      <c r="B201" s="4" t="s">
        <v>350</v>
      </c>
      <c r="C201" s="4" t="s">
        <v>350</v>
      </c>
      <c r="D201" s="4" t="s">
        <v>1754</v>
      </c>
      <c r="E201" s="4" t="s">
        <v>1755</v>
      </c>
      <c r="F201" s="4" t="s">
        <v>336</v>
      </c>
      <c r="G201" s="4" t="s">
        <v>73</v>
      </c>
      <c r="H201" s="4" t="s">
        <v>335</v>
      </c>
      <c r="I201" s="4" t="s">
        <v>170</v>
      </c>
      <c r="J201" s="4" t="s">
        <v>333</v>
      </c>
      <c r="K201" s="4" t="s">
        <v>1857</v>
      </c>
      <c r="L201" s="4" t="s">
        <v>342</v>
      </c>
    </row>
    <row r="202" spans="1:12" ht="84" x14ac:dyDescent="0.35">
      <c r="A202" s="4" t="s">
        <v>354</v>
      </c>
      <c r="B202" s="4" t="s">
        <v>350</v>
      </c>
      <c r="C202" s="4" t="s">
        <v>350</v>
      </c>
      <c r="D202" s="4" t="s">
        <v>1754</v>
      </c>
      <c r="E202" s="4" t="s">
        <v>1755</v>
      </c>
      <c r="F202" s="4" t="s">
        <v>336</v>
      </c>
      <c r="G202" s="4" t="s">
        <v>73</v>
      </c>
      <c r="H202" s="4" t="s">
        <v>335</v>
      </c>
      <c r="I202" s="4" t="s">
        <v>177</v>
      </c>
      <c r="J202" s="4" t="s">
        <v>333</v>
      </c>
      <c r="K202" s="4" t="s">
        <v>1857</v>
      </c>
      <c r="L202" s="4" t="s">
        <v>342</v>
      </c>
    </row>
    <row r="203" spans="1:12" ht="84" x14ac:dyDescent="0.35">
      <c r="A203" s="4" t="s">
        <v>368</v>
      </c>
      <c r="B203" s="4" t="s">
        <v>1858</v>
      </c>
      <c r="C203" s="4" t="s">
        <v>364</v>
      </c>
      <c r="D203" s="4" t="s">
        <v>1766</v>
      </c>
      <c r="E203" s="4" t="s">
        <v>1844</v>
      </c>
      <c r="F203" s="4" t="s">
        <v>336</v>
      </c>
      <c r="G203" s="4" t="s">
        <v>64</v>
      </c>
      <c r="H203" s="4" t="s">
        <v>335</v>
      </c>
      <c r="I203" s="4" t="s">
        <v>212</v>
      </c>
      <c r="J203" s="4" t="s">
        <v>333</v>
      </c>
      <c r="K203" s="4" t="s">
        <v>1857</v>
      </c>
      <c r="L203" s="4" t="s">
        <v>342</v>
      </c>
    </row>
    <row r="204" spans="1:12" ht="84" x14ac:dyDescent="0.35">
      <c r="A204" s="4" t="s">
        <v>368</v>
      </c>
      <c r="B204" s="4" t="s">
        <v>1858</v>
      </c>
      <c r="C204" s="4" t="s">
        <v>364</v>
      </c>
      <c r="D204" s="4" t="s">
        <v>1766</v>
      </c>
      <c r="E204" s="4" t="s">
        <v>1844</v>
      </c>
      <c r="F204" s="4" t="s">
        <v>336</v>
      </c>
      <c r="G204" s="4" t="s">
        <v>64</v>
      </c>
      <c r="H204" s="4" t="s">
        <v>335</v>
      </c>
      <c r="I204" s="4" t="s">
        <v>219</v>
      </c>
      <c r="J204" s="4" t="s">
        <v>333</v>
      </c>
      <c r="K204" s="4" t="s">
        <v>1857</v>
      </c>
      <c r="L204" s="4" t="s">
        <v>342</v>
      </c>
    </row>
    <row r="205" spans="1:12" ht="84" x14ac:dyDescent="0.35">
      <c r="A205" s="4" t="s">
        <v>368</v>
      </c>
      <c r="B205" s="4" t="s">
        <v>1858</v>
      </c>
      <c r="C205" s="4" t="s">
        <v>364</v>
      </c>
      <c r="D205" s="4" t="s">
        <v>1766</v>
      </c>
      <c r="E205" s="4" t="s">
        <v>1844</v>
      </c>
      <c r="F205" s="4" t="s">
        <v>336</v>
      </c>
      <c r="G205" s="4" t="s">
        <v>64</v>
      </c>
      <c r="H205" s="4" t="s">
        <v>335</v>
      </c>
      <c r="I205" s="4" t="s">
        <v>247</v>
      </c>
      <c r="J205" s="4" t="s">
        <v>333</v>
      </c>
      <c r="K205" s="4" t="s">
        <v>1857</v>
      </c>
      <c r="L205" s="4" t="s">
        <v>342</v>
      </c>
    </row>
    <row r="206" spans="1:12" ht="84" x14ac:dyDescent="0.35">
      <c r="A206" s="4" t="s">
        <v>368</v>
      </c>
      <c r="B206" s="4" t="s">
        <v>1858</v>
      </c>
      <c r="C206" s="4" t="s">
        <v>364</v>
      </c>
      <c r="D206" s="4" t="s">
        <v>1766</v>
      </c>
      <c r="E206" s="4" t="s">
        <v>1844</v>
      </c>
      <c r="F206" s="4" t="s">
        <v>336</v>
      </c>
      <c r="G206" s="4" t="s">
        <v>64</v>
      </c>
      <c r="H206" s="4" t="s">
        <v>335</v>
      </c>
      <c r="I206" s="4" t="s">
        <v>254</v>
      </c>
      <c r="J206" s="4" t="s">
        <v>333</v>
      </c>
      <c r="K206" s="4" t="s">
        <v>1857</v>
      </c>
      <c r="L206" s="4" t="s">
        <v>342</v>
      </c>
    </row>
    <row r="207" spans="1:12" ht="84" x14ac:dyDescent="0.35">
      <c r="A207" s="4" t="s">
        <v>373</v>
      </c>
      <c r="B207" s="4" t="s">
        <v>373</v>
      </c>
      <c r="C207" s="4" t="s">
        <v>373</v>
      </c>
      <c r="D207" s="4" t="s">
        <v>1754</v>
      </c>
      <c r="E207" s="4" t="s">
        <v>1761</v>
      </c>
      <c r="F207" s="4" t="s">
        <v>336</v>
      </c>
      <c r="G207" s="4" t="s">
        <v>305</v>
      </c>
      <c r="H207" s="4" t="s">
        <v>335</v>
      </c>
      <c r="I207" s="4" t="s">
        <v>198</v>
      </c>
      <c r="J207" s="4" t="s">
        <v>333</v>
      </c>
      <c r="K207" s="4" t="s">
        <v>1857</v>
      </c>
      <c r="L207" s="4" t="s">
        <v>342</v>
      </c>
    </row>
    <row r="208" spans="1:12" ht="84" x14ac:dyDescent="0.35">
      <c r="A208" s="4" t="s">
        <v>373</v>
      </c>
      <c r="B208" s="4" t="s">
        <v>373</v>
      </c>
      <c r="C208" s="4" t="s">
        <v>373</v>
      </c>
      <c r="D208" s="4" t="s">
        <v>1754</v>
      </c>
      <c r="E208" s="4" t="s">
        <v>1761</v>
      </c>
      <c r="F208" s="4" t="s">
        <v>336</v>
      </c>
      <c r="G208" s="4" t="s">
        <v>305</v>
      </c>
      <c r="H208" s="4" t="s">
        <v>335</v>
      </c>
      <c r="I208" s="4" t="s">
        <v>205</v>
      </c>
      <c r="J208" s="4" t="s">
        <v>333</v>
      </c>
      <c r="K208" s="4" t="s">
        <v>1857</v>
      </c>
      <c r="L208" s="4" t="s">
        <v>342</v>
      </c>
    </row>
    <row r="209" spans="1:12" ht="84" x14ac:dyDescent="0.35">
      <c r="A209" s="4" t="s">
        <v>373</v>
      </c>
      <c r="B209" s="4" t="s">
        <v>373</v>
      </c>
      <c r="C209" s="4" t="s">
        <v>373</v>
      </c>
      <c r="D209" s="4" t="s">
        <v>1754</v>
      </c>
      <c r="E209" s="4" t="s">
        <v>1761</v>
      </c>
      <c r="F209" s="4" t="s">
        <v>336</v>
      </c>
      <c r="G209" s="4" t="s">
        <v>305</v>
      </c>
      <c r="H209" s="4" t="s">
        <v>335</v>
      </c>
      <c r="I209" s="4" t="s">
        <v>233</v>
      </c>
      <c r="J209" s="4" t="s">
        <v>333</v>
      </c>
      <c r="K209" s="4" t="s">
        <v>1857</v>
      </c>
      <c r="L209" s="4" t="s">
        <v>342</v>
      </c>
    </row>
    <row r="210" spans="1:12" ht="84" x14ac:dyDescent="0.35">
      <c r="A210" s="4" t="s">
        <v>373</v>
      </c>
      <c r="B210" s="4" t="s">
        <v>373</v>
      </c>
      <c r="C210" s="4" t="s">
        <v>373</v>
      </c>
      <c r="D210" s="4" t="s">
        <v>1754</v>
      </c>
      <c r="E210" s="4" t="s">
        <v>1761</v>
      </c>
      <c r="F210" s="4" t="s">
        <v>336</v>
      </c>
      <c r="G210" s="4" t="s">
        <v>305</v>
      </c>
      <c r="H210" s="4" t="s">
        <v>335</v>
      </c>
      <c r="I210" s="4" t="s">
        <v>240</v>
      </c>
      <c r="J210" s="4" t="s">
        <v>333</v>
      </c>
      <c r="K210" s="4" t="s">
        <v>1857</v>
      </c>
      <c r="L210" s="4" t="s">
        <v>342</v>
      </c>
    </row>
    <row r="211" spans="1:12" ht="84" x14ac:dyDescent="0.35">
      <c r="A211" s="4" t="s">
        <v>60</v>
      </c>
      <c r="B211" s="4" t="s">
        <v>381</v>
      </c>
      <c r="C211" s="4" t="s">
        <v>381</v>
      </c>
      <c r="D211" s="4" t="s">
        <v>1754</v>
      </c>
      <c r="E211" s="4" t="s">
        <v>1755</v>
      </c>
      <c r="F211" s="4" t="s">
        <v>336</v>
      </c>
      <c r="G211" s="4" t="s">
        <v>312</v>
      </c>
      <c r="H211" s="4" t="s">
        <v>335</v>
      </c>
      <c r="I211" s="4" t="s">
        <v>184</v>
      </c>
      <c r="J211" s="4" t="s">
        <v>333</v>
      </c>
      <c r="K211" s="4" t="s">
        <v>1857</v>
      </c>
      <c r="L211" s="4" t="s">
        <v>342</v>
      </c>
    </row>
    <row r="212" spans="1:12" ht="84" x14ac:dyDescent="0.35">
      <c r="A212" s="4" t="s">
        <v>60</v>
      </c>
      <c r="B212" s="4" t="s">
        <v>381</v>
      </c>
      <c r="C212" s="4" t="s">
        <v>381</v>
      </c>
      <c r="D212" s="4" t="s">
        <v>1754</v>
      </c>
      <c r="E212" s="4" t="s">
        <v>1755</v>
      </c>
      <c r="F212" s="4" t="s">
        <v>336</v>
      </c>
      <c r="G212" s="4" t="s">
        <v>312</v>
      </c>
      <c r="H212" s="4" t="s">
        <v>335</v>
      </c>
      <c r="I212" s="4" t="s">
        <v>191</v>
      </c>
      <c r="J212" s="4" t="s">
        <v>333</v>
      </c>
      <c r="K212" s="4" t="s">
        <v>1857</v>
      </c>
      <c r="L212" s="4" t="s">
        <v>342</v>
      </c>
    </row>
    <row r="213" spans="1:12" ht="84" x14ac:dyDescent="0.35">
      <c r="A213" s="4" t="s">
        <v>60</v>
      </c>
      <c r="B213" s="4" t="s">
        <v>381</v>
      </c>
      <c r="C213" s="4" t="s">
        <v>381</v>
      </c>
      <c r="D213" s="4" t="s">
        <v>1754</v>
      </c>
      <c r="E213" s="4" t="s">
        <v>1755</v>
      </c>
      <c r="F213" s="4" t="s">
        <v>336</v>
      </c>
      <c r="G213" s="4" t="s">
        <v>312</v>
      </c>
      <c r="H213" s="4" t="s">
        <v>335</v>
      </c>
      <c r="I213" s="4" t="s">
        <v>226</v>
      </c>
      <c r="J213" s="4" t="s">
        <v>333</v>
      </c>
      <c r="K213" s="4" t="s">
        <v>1857</v>
      </c>
      <c r="L213" s="4" t="s">
        <v>342</v>
      </c>
    </row>
    <row r="214" spans="1:12" ht="84" x14ac:dyDescent="0.35">
      <c r="A214" s="4" t="s">
        <v>284</v>
      </c>
      <c r="B214" s="4" t="s">
        <v>276</v>
      </c>
      <c r="C214" s="4" t="s">
        <v>276</v>
      </c>
      <c r="D214" s="4" t="s">
        <v>1754</v>
      </c>
      <c r="E214" s="4" t="s">
        <v>1846</v>
      </c>
      <c r="F214" s="4" t="s">
        <v>265</v>
      </c>
      <c r="G214" s="4" t="s">
        <v>124</v>
      </c>
      <c r="H214" s="4" t="s">
        <v>264</v>
      </c>
      <c r="I214" s="4" t="s">
        <v>247</v>
      </c>
      <c r="J214" s="4" t="s">
        <v>261</v>
      </c>
      <c r="K214" s="4" t="s">
        <v>1845</v>
      </c>
      <c r="L214" s="4" t="s">
        <v>1847</v>
      </c>
    </row>
    <row r="215" spans="1:12" ht="84" x14ac:dyDescent="0.35">
      <c r="A215" s="4" t="s">
        <v>284</v>
      </c>
      <c r="B215" s="4" t="s">
        <v>276</v>
      </c>
      <c r="C215" s="4" t="s">
        <v>276</v>
      </c>
      <c r="D215" s="4" t="s">
        <v>1754</v>
      </c>
      <c r="E215" s="4" t="s">
        <v>1846</v>
      </c>
      <c r="F215" s="4" t="s">
        <v>265</v>
      </c>
      <c r="G215" s="4" t="s">
        <v>124</v>
      </c>
      <c r="H215" s="4" t="s">
        <v>264</v>
      </c>
      <c r="I215" s="4" t="s">
        <v>135</v>
      </c>
      <c r="J215" s="4" t="s">
        <v>261</v>
      </c>
      <c r="K215" s="4" t="s">
        <v>1845</v>
      </c>
      <c r="L215" s="4" t="s">
        <v>1847</v>
      </c>
    </row>
    <row r="216" spans="1:12" ht="84" x14ac:dyDescent="0.35">
      <c r="A216" s="4" t="s">
        <v>284</v>
      </c>
      <c r="B216" s="4" t="s">
        <v>276</v>
      </c>
      <c r="C216" s="4" t="s">
        <v>276</v>
      </c>
      <c r="D216" s="4" t="s">
        <v>1754</v>
      </c>
      <c r="E216" s="4" t="s">
        <v>1846</v>
      </c>
      <c r="F216" s="4" t="s">
        <v>265</v>
      </c>
      <c r="G216" s="4" t="s">
        <v>124</v>
      </c>
      <c r="H216" s="4" t="s">
        <v>264</v>
      </c>
      <c r="I216" s="4" t="s">
        <v>254</v>
      </c>
      <c r="J216" s="4" t="s">
        <v>261</v>
      </c>
      <c r="K216" s="4" t="s">
        <v>1845</v>
      </c>
      <c r="L216" s="4" t="s">
        <v>1847</v>
      </c>
    </row>
    <row r="217" spans="1:12" ht="112" x14ac:dyDescent="0.35">
      <c r="A217" s="4" t="s">
        <v>294</v>
      </c>
      <c r="B217" s="4" t="s">
        <v>287</v>
      </c>
      <c r="C217" s="4" t="s">
        <v>287</v>
      </c>
      <c r="D217" s="4" t="s">
        <v>1754</v>
      </c>
      <c r="E217" s="4" t="s">
        <v>1755</v>
      </c>
      <c r="F217" s="4" t="s">
        <v>265</v>
      </c>
      <c r="G217" s="4" t="s">
        <v>73</v>
      </c>
      <c r="H217" s="4" t="s">
        <v>264</v>
      </c>
      <c r="I217" s="4" t="s">
        <v>219</v>
      </c>
      <c r="J217" s="4" t="s">
        <v>261</v>
      </c>
      <c r="K217" s="4" t="s">
        <v>1845</v>
      </c>
      <c r="L217" s="4" t="s">
        <v>1859</v>
      </c>
    </row>
    <row r="218" spans="1:12" ht="126" x14ac:dyDescent="0.35">
      <c r="A218" s="4" t="s">
        <v>294</v>
      </c>
      <c r="B218" s="4" t="s">
        <v>287</v>
      </c>
      <c r="C218" s="4" t="s">
        <v>287</v>
      </c>
      <c r="D218" s="4" t="s">
        <v>1754</v>
      </c>
      <c r="E218" s="4" t="s">
        <v>1755</v>
      </c>
      <c r="F218" s="4" t="s">
        <v>265</v>
      </c>
      <c r="G218" s="4" t="s">
        <v>73</v>
      </c>
      <c r="H218" s="4" t="s">
        <v>264</v>
      </c>
      <c r="I218" s="4" t="s">
        <v>233</v>
      </c>
      <c r="J218" s="4" t="s">
        <v>261</v>
      </c>
      <c r="K218" s="4" t="s">
        <v>1845</v>
      </c>
      <c r="L218" s="4" t="s">
        <v>1860</v>
      </c>
    </row>
    <row r="219" spans="1:12" ht="84" x14ac:dyDescent="0.35">
      <c r="A219" s="4" t="s">
        <v>294</v>
      </c>
      <c r="B219" s="4" t="s">
        <v>287</v>
      </c>
      <c r="C219" s="4" t="s">
        <v>287</v>
      </c>
      <c r="D219" s="4" t="s">
        <v>1754</v>
      </c>
      <c r="E219" s="4" t="s">
        <v>1755</v>
      </c>
      <c r="F219" s="4" t="s">
        <v>265</v>
      </c>
      <c r="G219" s="4" t="s">
        <v>73</v>
      </c>
      <c r="H219" s="4" t="s">
        <v>264</v>
      </c>
      <c r="I219" s="4" t="s">
        <v>163</v>
      </c>
      <c r="J219" s="4" t="s">
        <v>261</v>
      </c>
      <c r="K219" s="4" t="s">
        <v>1845</v>
      </c>
      <c r="L219" s="4" t="s">
        <v>291</v>
      </c>
    </row>
    <row r="220" spans="1:12" ht="84" x14ac:dyDescent="0.35">
      <c r="A220" s="4" t="s">
        <v>320</v>
      </c>
      <c r="B220" s="4" t="s">
        <v>1848</v>
      </c>
      <c r="C220" s="4" t="s">
        <v>296</v>
      </c>
      <c r="D220" s="4" t="s">
        <v>1766</v>
      </c>
      <c r="E220" s="4" t="s">
        <v>1844</v>
      </c>
      <c r="F220" s="4" t="s">
        <v>265</v>
      </c>
      <c r="G220" s="4" t="s">
        <v>64</v>
      </c>
      <c r="H220" s="4" t="s">
        <v>264</v>
      </c>
      <c r="I220" s="4" t="s">
        <v>177</v>
      </c>
      <c r="J220" s="4" t="s">
        <v>261</v>
      </c>
      <c r="K220" s="4" t="s">
        <v>1845</v>
      </c>
      <c r="L220" s="4" t="s">
        <v>291</v>
      </c>
    </row>
    <row r="221" spans="1:12" ht="84" x14ac:dyDescent="0.35">
      <c r="A221" s="4" t="s">
        <v>1631</v>
      </c>
      <c r="B221" s="4" t="s">
        <v>1850</v>
      </c>
      <c r="C221" s="4" t="s">
        <v>296</v>
      </c>
      <c r="D221" s="4" t="s">
        <v>1766</v>
      </c>
      <c r="E221" s="4" t="s">
        <v>1844</v>
      </c>
      <c r="F221" s="4" t="s">
        <v>265</v>
      </c>
      <c r="G221" s="4" t="s">
        <v>64</v>
      </c>
      <c r="H221" s="4" t="s">
        <v>264</v>
      </c>
      <c r="I221" s="4" t="s">
        <v>177</v>
      </c>
      <c r="J221" s="4" t="s">
        <v>261</v>
      </c>
      <c r="K221" s="4" t="s">
        <v>1845</v>
      </c>
      <c r="L221" s="4" t="s">
        <v>291</v>
      </c>
    </row>
    <row r="222" spans="1:12" ht="84" x14ac:dyDescent="0.35">
      <c r="A222" s="4" t="s">
        <v>320</v>
      </c>
      <c r="B222" s="4" t="s">
        <v>1848</v>
      </c>
      <c r="C222" s="4" t="s">
        <v>296</v>
      </c>
      <c r="D222" s="4" t="s">
        <v>1766</v>
      </c>
      <c r="E222" s="4" t="s">
        <v>1844</v>
      </c>
      <c r="F222" s="4" t="s">
        <v>265</v>
      </c>
      <c r="G222" s="4" t="s">
        <v>64</v>
      </c>
      <c r="H222" s="4" t="s">
        <v>264</v>
      </c>
      <c r="I222" s="4" t="s">
        <v>184</v>
      </c>
      <c r="J222" s="4" t="s">
        <v>261</v>
      </c>
      <c r="K222" s="4" t="s">
        <v>1845</v>
      </c>
      <c r="L222" s="4" t="s">
        <v>291</v>
      </c>
    </row>
    <row r="223" spans="1:12" ht="84" x14ac:dyDescent="0.35">
      <c r="A223" s="4" t="s">
        <v>1631</v>
      </c>
      <c r="B223" s="4" t="s">
        <v>1850</v>
      </c>
      <c r="C223" s="4" t="s">
        <v>296</v>
      </c>
      <c r="D223" s="4" t="s">
        <v>1766</v>
      </c>
      <c r="E223" s="4" t="s">
        <v>1844</v>
      </c>
      <c r="F223" s="4" t="s">
        <v>265</v>
      </c>
      <c r="G223" s="4" t="s">
        <v>64</v>
      </c>
      <c r="H223" s="4" t="s">
        <v>264</v>
      </c>
      <c r="I223" s="4" t="s">
        <v>184</v>
      </c>
      <c r="J223" s="4" t="s">
        <v>261</v>
      </c>
      <c r="K223" s="4" t="s">
        <v>1845</v>
      </c>
      <c r="L223" s="4" t="s">
        <v>291</v>
      </c>
    </row>
    <row r="224" spans="1:12" ht="126" x14ac:dyDescent="0.35">
      <c r="A224" s="4" t="s">
        <v>320</v>
      </c>
      <c r="B224" s="4" t="s">
        <v>1848</v>
      </c>
      <c r="C224" s="4" t="s">
        <v>296</v>
      </c>
      <c r="D224" s="4" t="s">
        <v>1766</v>
      </c>
      <c r="E224" s="4" t="s">
        <v>1844</v>
      </c>
      <c r="F224" s="4" t="s">
        <v>265</v>
      </c>
      <c r="G224" s="4" t="s">
        <v>64</v>
      </c>
      <c r="H224" s="4" t="s">
        <v>264</v>
      </c>
      <c r="I224" s="4" t="s">
        <v>191</v>
      </c>
      <c r="J224" s="4" t="s">
        <v>261</v>
      </c>
      <c r="K224" s="4" t="s">
        <v>1845</v>
      </c>
      <c r="L224" s="4" t="s">
        <v>1861</v>
      </c>
    </row>
    <row r="225" spans="1:12" ht="126" x14ac:dyDescent="0.35">
      <c r="A225" s="4" t="s">
        <v>1631</v>
      </c>
      <c r="B225" s="4" t="s">
        <v>1850</v>
      </c>
      <c r="C225" s="4" t="s">
        <v>296</v>
      </c>
      <c r="D225" s="4" t="s">
        <v>1766</v>
      </c>
      <c r="E225" s="4" t="s">
        <v>1844</v>
      </c>
      <c r="F225" s="4" t="s">
        <v>265</v>
      </c>
      <c r="G225" s="4" t="s">
        <v>64</v>
      </c>
      <c r="H225" s="4" t="s">
        <v>264</v>
      </c>
      <c r="I225" s="4" t="s">
        <v>191</v>
      </c>
      <c r="J225" s="4" t="s">
        <v>261</v>
      </c>
      <c r="K225" s="4" t="s">
        <v>1845</v>
      </c>
      <c r="L225" s="4" t="s">
        <v>1861</v>
      </c>
    </row>
    <row r="226" spans="1:12" ht="126" x14ac:dyDescent="0.35">
      <c r="A226" s="4" t="s">
        <v>320</v>
      </c>
      <c r="B226" s="4" t="s">
        <v>1848</v>
      </c>
      <c r="C226" s="4" t="s">
        <v>296</v>
      </c>
      <c r="D226" s="4" t="s">
        <v>1766</v>
      </c>
      <c r="E226" s="4" t="s">
        <v>1844</v>
      </c>
      <c r="F226" s="4" t="s">
        <v>265</v>
      </c>
      <c r="G226" s="4" t="s">
        <v>64</v>
      </c>
      <c r="H226" s="4" t="s">
        <v>264</v>
      </c>
      <c r="I226" s="4" t="s">
        <v>198</v>
      </c>
      <c r="J226" s="4" t="s">
        <v>261</v>
      </c>
      <c r="K226" s="4" t="s">
        <v>1845</v>
      </c>
      <c r="L226" s="4" t="s">
        <v>1861</v>
      </c>
    </row>
    <row r="227" spans="1:12" ht="126" x14ac:dyDescent="0.35">
      <c r="A227" s="4" t="s">
        <v>1631</v>
      </c>
      <c r="B227" s="4" t="s">
        <v>1850</v>
      </c>
      <c r="C227" s="4" t="s">
        <v>296</v>
      </c>
      <c r="D227" s="4" t="s">
        <v>1766</v>
      </c>
      <c r="E227" s="4" t="s">
        <v>1844</v>
      </c>
      <c r="F227" s="4" t="s">
        <v>265</v>
      </c>
      <c r="G227" s="4" t="s">
        <v>64</v>
      </c>
      <c r="H227" s="4" t="s">
        <v>264</v>
      </c>
      <c r="I227" s="4" t="s">
        <v>198</v>
      </c>
      <c r="J227" s="4" t="s">
        <v>261</v>
      </c>
      <c r="K227" s="4" t="s">
        <v>1845</v>
      </c>
      <c r="L227" s="4" t="s">
        <v>1861</v>
      </c>
    </row>
    <row r="228" spans="1:12" ht="140" x14ac:dyDescent="0.35">
      <c r="A228" s="4" t="s">
        <v>320</v>
      </c>
      <c r="B228" s="4" t="s">
        <v>1848</v>
      </c>
      <c r="C228" s="4" t="s">
        <v>296</v>
      </c>
      <c r="D228" s="4" t="s">
        <v>1766</v>
      </c>
      <c r="E228" s="4" t="s">
        <v>1844</v>
      </c>
      <c r="F228" s="4" t="s">
        <v>265</v>
      </c>
      <c r="G228" s="4" t="s">
        <v>64</v>
      </c>
      <c r="H228" s="4" t="s">
        <v>264</v>
      </c>
      <c r="I228" s="4" t="s">
        <v>40</v>
      </c>
      <c r="J228" s="4" t="s">
        <v>261</v>
      </c>
      <c r="K228" s="4" t="s">
        <v>1845</v>
      </c>
      <c r="L228" s="4" t="s">
        <v>1862</v>
      </c>
    </row>
    <row r="229" spans="1:12" ht="140" x14ac:dyDescent="0.35">
      <c r="A229" s="4" t="s">
        <v>1631</v>
      </c>
      <c r="B229" s="4" t="s">
        <v>1850</v>
      </c>
      <c r="C229" s="4" t="s">
        <v>296</v>
      </c>
      <c r="D229" s="4" t="s">
        <v>1766</v>
      </c>
      <c r="E229" s="4" t="s">
        <v>1844</v>
      </c>
      <c r="F229" s="4" t="s">
        <v>265</v>
      </c>
      <c r="G229" s="4" t="s">
        <v>64</v>
      </c>
      <c r="H229" s="4" t="s">
        <v>264</v>
      </c>
      <c r="I229" s="4" t="s">
        <v>40</v>
      </c>
      <c r="J229" s="4" t="s">
        <v>261</v>
      </c>
      <c r="K229" s="4" t="s">
        <v>1845</v>
      </c>
      <c r="L229" s="4" t="s">
        <v>1862</v>
      </c>
    </row>
    <row r="230" spans="1:12" ht="126" x14ac:dyDescent="0.35">
      <c r="A230" s="4" t="s">
        <v>320</v>
      </c>
      <c r="B230" s="4" t="s">
        <v>1848</v>
      </c>
      <c r="C230" s="4" t="s">
        <v>296</v>
      </c>
      <c r="D230" s="4" t="s">
        <v>1766</v>
      </c>
      <c r="E230" s="4" t="s">
        <v>1844</v>
      </c>
      <c r="F230" s="4" t="s">
        <v>265</v>
      </c>
      <c r="G230" s="4" t="s">
        <v>64</v>
      </c>
      <c r="H230" s="4" t="s">
        <v>264</v>
      </c>
      <c r="I230" s="4" t="s">
        <v>170</v>
      </c>
      <c r="J230" s="4" t="s">
        <v>261</v>
      </c>
      <c r="K230" s="4" t="s">
        <v>1845</v>
      </c>
      <c r="L230" s="4" t="s">
        <v>1863</v>
      </c>
    </row>
    <row r="231" spans="1:12" ht="126" x14ac:dyDescent="0.35">
      <c r="A231" s="4" t="s">
        <v>1631</v>
      </c>
      <c r="B231" s="4" t="s">
        <v>1850</v>
      </c>
      <c r="C231" s="4" t="s">
        <v>296</v>
      </c>
      <c r="D231" s="4" t="s">
        <v>1766</v>
      </c>
      <c r="E231" s="4" t="s">
        <v>1844</v>
      </c>
      <c r="F231" s="4" t="s">
        <v>265</v>
      </c>
      <c r="G231" s="4" t="s">
        <v>64</v>
      </c>
      <c r="H231" s="4" t="s">
        <v>264</v>
      </c>
      <c r="I231" s="4" t="s">
        <v>170</v>
      </c>
      <c r="J231" s="4" t="s">
        <v>261</v>
      </c>
      <c r="K231" s="4" t="s">
        <v>1845</v>
      </c>
      <c r="L231" s="4" t="s">
        <v>1863</v>
      </c>
    </row>
    <row r="232" spans="1:12" ht="84" x14ac:dyDescent="0.35">
      <c r="A232" s="4" t="s">
        <v>284</v>
      </c>
      <c r="B232" s="4" t="s">
        <v>276</v>
      </c>
      <c r="C232" s="4" t="s">
        <v>276</v>
      </c>
      <c r="D232" s="4" t="s">
        <v>1754</v>
      </c>
      <c r="E232" s="4" t="s">
        <v>1846</v>
      </c>
      <c r="F232" s="4" t="s">
        <v>265</v>
      </c>
      <c r="G232" s="4" t="s">
        <v>305</v>
      </c>
      <c r="H232" s="4" t="s">
        <v>264</v>
      </c>
      <c r="I232" s="4" t="s">
        <v>212</v>
      </c>
      <c r="J232" s="4" t="s">
        <v>261</v>
      </c>
      <c r="K232" s="4" t="s">
        <v>1845</v>
      </c>
      <c r="L232" s="4" t="s">
        <v>1847</v>
      </c>
    </row>
    <row r="233" spans="1:12" ht="84" x14ac:dyDescent="0.35">
      <c r="A233" s="4" t="s">
        <v>284</v>
      </c>
      <c r="B233" s="4" t="s">
        <v>276</v>
      </c>
      <c r="C233" s="4" t="s">
        <v>276</v>
      </c>
      <c r="D233" s="4" t="s">
        <v>1754</v>
      </c>
      <c r="E233" s="4" t="s">
        <v>1846</v>
      </c>
      <c r="F233" s="4" t="s">
        <v>265</v>
      </c>
      <c r="G233" s="4" t="s">
        <v>305</v>
      </c>
      <c r="H233" s="4" t="s">
        <v>264</v>
      </c>
      <c r="I233" s="4" t="s">
        <v>219</v>
      </c>
      <c r="J233" s="4" t="s">
        <v>261</v>
      </c>
      <c r="K233" s="4" t="s">
        <v>1845</v>
      </c>
      <c r="L233" s="4" t="s">
        <v>1847</v>
      </c>
    </row>
    <row r="234" spans="1:12" ht="84" x14ac:dyDescent="0.35">
      <c r="A234" s="4" t="s">
        <v>284</v>
      </c>
      <c r="B234" s="4" t="s">
        <v>276</v>
      </c>
      <c r="C234" s="4" t="s">
        <v>276</v>
      </c>
      <c r="D234" s="4" t="s">
        <v>1754</v>
      </c>
      <c r="E234" s="4" t="s">
        <v>1846</v>
      </c>
      <c r="F234" s="4" t="s">
        <v>265</v>
      </c>
      <c r="G234" s="4" t="s">
        <v>305</v>
      </c>
      <c r="H234" s="4" t="s">
        <v>264</v>
      </c>
      <c r="I234" s="4" t="s">
        <v>226</v>
      </c>
      <c r="J234" s="4" t="s">
        <v>261</v>
      </c>
      <c r="K234" s="4" t="s">
        <v>1845</v>
      </c>
      <c r="L234" s="4" t="s">
        <v>1847</v>
      </c>
    </row>
    <row r="235" spans="1:12" ht="84" x14ac:dyDescent="0.35">
      <c r="A235" s="4" t="s">
        <v>284</v>
      </c>
      <c r="B235" s="4" t="s">
        <v>276</v>
      </c>
      <c r="C235" s="4" t="s">
        <v>276</v>
      </c>
      <c r="D235" s="4" t="s">
        <v>1754</v>
      </c>
      <c r="E235" s="4" t="s">
        <v>1846</v>
      </c>
      <c r="F235" s="4" t="s">
        <v>265</v>
      </c>
      <c r="G235" s="4" t="s">
        <v>305</v>
      </c>
      <c r="H235" s="4" t="s">
        <v>264</v>
      </c>
      <c r="I235" s="4" t="s">
        <v>233</v>
      </c>
      <c r="J235" s="4" t="s">
        <v>261</v>
      </c>
      <c r="K235" s="4" t="s">
        <v>1845</v>
      </c>
      <c r="L235" s="4" t="s">
        <v>1847</v>
      </c>
    </row>
    <row r="236" spans="1:12" ht="84" x14ac:dyDescent="0.35">
      <c r="A236" s="4" t="s">
        <v>284</v>
      </c>
      <c r="B236" s="4" t="s">
        <v>276</v>
      </c>
      <c r="C236" s="4" t="s">
        <v>276</v>
      </c>
      <c r="D236" s="4" t="s">
        <v>1754</v>
      </c>
      <c r="E236" s="4" t="s">
        <v>1846</v>
      </c>
      <c r="F236" s="4" t="s">
        <v>265</v>
      </c>
      <c r="G236" s="4" t="s">
        <v>305</v>
      </c>
      <c r="H236" s="4" t="s">
        <v>264</v>
      </c>
      <c r="I236" s="4" t="s">
        <v>198</v>
      </c>
      <c r="J236" s="4" t="s">
        <v>261</v>
      </c>
      <c r="K236" s="4" t="s">
        <v>1845</v>
      </c>
      <c r="L236" s="4" t="s">
        <v>1847</v>
      </c>
    </row>
    <row r="237" spans="1:12" ht="154" x14ac:dyDescent="0.35">
      <c r="A237" s="4" t="s">
        <v>320</v>
      </c>
      <c r="B237" s="4" t="s">
        <v>1851</v>
      </c>
      <c r="C237" s="4" t="s">
        <v>313</v>
      </c>
      <c r="D237" s="4" t="s">
        <v>1766</v>
      </c>
      <c r="E237" s="4" t="s">
        <v>1844</v>
      </c>
      <c r="F237" s="4" t="s">
        <v>265</v>
      </c>
      <c r="G237" s="4" t="s">
        <v>312</v>
      </c>
      <c r="H237" s="4" t="s">
        <v>264</v>
      </c>
      <c r="I237" s="4" t="s">
        <v>163</v>
      </c>
      <c r="J237" s="4" t="s">
        <v>261</v>
      </c>
      <c r="K237" s="4" t="s">
        <v>1845</v>
      </c>
      <c r="L237" s="4" t="s">
        <v>1852</v>
      </c>
    </row>
    <row r="238" spans="1:12" ht="140" x14ac:dyDescent="0.35">
      <c r="A238" s="4" t="s">
        <v>330</v>
      </c>
      <c r="B238" s="4" t="s">
        <v>323</v>
      </c>
      <c r="C238" s="4" t="s">
        <v>323</v>
      </c>
      <c r="D238" s="4" t="s">
        <v>1754</v>
      </c>
      <c r="E238" s="4" t="s">
        <v>1853</v>
      </c>
      <c r="F238" s="4" t="s">
        <v>265</v>
      </c>
      <c r="G238" s="4" t="s">
        <v>322</v>
      </c>
      <c r="H238" s="4" t="s">
        <v>264</v>
      </c>
      <c r="I238" s="4" t="s">
        <v>170</v>
      </c>
      <c r="J238" s="4" t="s">
        <v>261</v>
      </c>
      <c r="K238" s="4" t="s">
        <v>1845</v>
      </c>
      <c r="L238" s="4" t="s">
        <v>1864</v>
      </c>
    </row>
    <row r="239" spans="1:12" ht="70" x14ac:dyDescent="0.35">
      <c r="A239" s="4" t="s">
        <v>469</v>
      </c>
      <c r="B239" s="4" t="s">
        <v>1865</v>
      </c>
      <c r="C239" s="4" t="s">
        <v>460</v>
      </c>
      <c r="D239" s="4" t="s">
        <v>1766</v>
      </c>
      <c r="E239" s="4" t="s">
        <v>1856</v>
      </c>
      <c r="F239" s="4" t="s">
        <v>459</v>
      </c>
      <c r="G239" s="4" t="s">
        <v>84</v>
      </c>
      <c r="H239" s="4" t="s">
        <v>458</v>
      </c>
      <c r="I239" s="4" t="s">
        <v>457</v>
      </c>
      <c r="J239" s="4" t="s">
        <v>333</v>
      </c>
      <c r="K239" s="4" t="s">
        <v>1866</v>
      </c>
      <c r="L239" s="4" t="s">
        <v>1867</v>
      </c>
    </row>
    <row r="240" spans="1:12" ht="112" x14ac:dyDescent="0.35">
      <c r="A240" s="4" t="s">
        <v>476</v>
      </c>
      <c r="B240" s="4" t="s">
        <v>476</v>
      </c>
      <c r="C240" s="4" t="s">
        <v>476</v>
      </c>
      <c r="D240" s="4" t="s">
        <v>1754</v>
      </c>
      <c r="E240" s="4" t="s">
        <v>1761</v>
      </c>
      <c r="F240" s="4" t="s">
        <v>475</v>
      </c>
      <c r="G240" s="4" t="s">
        <v>47</v>
      </c>
      <c r="H240" s="4" t="s">
        <v>474</v>
      </c>
      <c r="I240" s="4" t="s">
        <v>457</v>
      </c>
      <c r="J240" s="4" t="s">
        <v>471</v>
      </c>
      <c r="K240" s="4" t="s">
        <v>1868</v>
      </c>
      <c r="L240" s="4" t="s">
        <v>1869</v>
      </c>
    </row>
    <row r="241" spans="1:12" ht="112" x14ac:dyDescent="0.35">
      <c r="A241" s="4" t="s">
        <v>491</v>
      </c>
      <c r="B241" s="4" t="s">
        <v>485</v>
      </c>
      <c r="C241" s="4" t="s">
        <v>485</v>
      </c>
      <c r="D241" s="4" t="s">
        <v>1754</v>
      </c>
      <c r="E241" s="4" t="s">
        <v>1870</v>
      </c>
      <c r="F241" s="4" t="s">
        <v>475</v>
      </c>
      <c r="G241" s="4" t="s">
        <v>124</v>
      </c>
      <c r="H241" s="4" t="s">
        <v>474</v>
      </c>
      <c r="I241" s="4" t="s">
        <v>457</v>
      </c>
      <c r="J241" s="4" t="s">
        <v>471</v>
      </c>
      <c r="K241" s="4" t="s">
        <v>1868</v>
      </c>
      <c r="L241" s="4" t="s">
        <v>1869</v>
      </c>
    </row>
    <row r="242" spans="1:12" ht="112" x14ac:dyDescent="0.35">
      <c r="A242" s="4" t="s">
        <v>500</v>
      </c>
      <c r="B242" s="4" t="s">
        <v>494</v>
      </c>
      <c r="C242" s="4" t="s">
        <v>494</v>
      </c>
      <c r="D242" s="4" t="s">
        <v>1754</v>
      </c>
      <c r="E242" s="4" t="s">
        <v>1755</v>
      </c>
      <c r="F242" s="4" t="s">
        <v>475</v>
      </c>
      <c r="G242" s="4" t="s">
        <v>73</v>
      </c>
      <c r="H242" s="4" t="s">
        <v>474</v>
      </c>
      <c r="I242" s="4" t="s">
        <v>457</v>
      </c>
      <c r="J242" s="4" t="s">
        <v>471</v>
      </c>
      <c r="K242" s="4" t="s">
        <v>1868</v>
      </c>
      <c r="L242" s="4" t="s">
        <v>1869</v>
      </c>
    </row>
    <row r="243" spans="1:12" ht="112" x14ac:dyDescent="0.35">
      <c r="A243" s="4" t="s">
        <v>508</v>
      </c>
      <c r="B243" s="4" t="s">
        <v>1871</v>
      </c>
      <c r="C243" s="4" t="s">
        <v>502</v>
      </c>
      <c r="D243" s="4" t="s">
        <v>1766</v>
      </c>
      <c r="E243" s="4" t="s">
        <v>1856</v>
      </c>
      <c r="F243" s="4" t="s">
        <v>475</v>
      </c>
      <c r="G243" s="4" t="s">
        <v>64</v>
      </c>
      <c r="H243" s="4" t="s">
        <v>474</v>
      </c>
      <c r="I243" s="4" t="s">
        <v>457</v>
      </c>
      <c r="J243" s="4" t="s">
        <v>471</v>
      </c>
      <c r="K243" s="4" t="s">
        <v>1868</v>
      </c>
      <c r="L243" s="4" t="s">
        <v>1869</v>
      </c>
    </row>
    <row r="244" spans="1:12" ht="168" x14ac:dyDescent="0.35">
      <c r="A244" s="4" t="s">
        <v>284</v>
      </c>
      <c r="B244" s="4" t="s">
        <v>512</v>
      </c>
      <c r="C244" s="4" t="s">
        <v>512</v>
      </c>
      <c r="D244" s="4" t="s">
        <v>1754</v>
      </c>
      <c r="E244" s="4" t="s">
        <v>1846</v>
      </c>
      <c r="F244" s="4" t="s">
        <v>511</v>
      </c>
      <c r="G244" s="4" t="s">
        <v>84</v>
      </c>
      <c r="H244" s="4" t="s">
        <v>510</v>
      </c>
      <c r="I244" s="4" t="s">
        <v>457</v>
      </c>
      <c r="J244" s="4" t="s">
        <v>471</v>
      </c>
      <c r="K244" s="4" t="s">
        <v>1872</v>
      </c>
      <c r="L244" s="4" t="s">
        <v>1873</v>
      </c>
    </row>
    <row r="245" spans="1:12" ht="70" x14ac:dyDescent="0.35">
      <c r="A245" s="4" t="s">
        <v>533</v>
      </c>
      <c r="B245" s="4" t="s">
        <v>525</v>
      </c>
      <c r="C245" s="4" t="s">
        <v>525</v>
      </c>
      <c r="D245" s="4" t="s">
        <v>1754</v>
      </c>
      <c r="E245" s="4" t="s">
        <v>1874</v>
      </c>
      <c r="F245" s="4" t="s">
        <v>524</v>
      </c>
      <c r="G245" s="4" t="s">
        <v>84</v>
      </c>
      <c r="H245" s="4" t="s">
        <v>523</v>
      </c>
      <c r="I245" s="4" t="s">
        <v>457</v>
      </c>
      <c r="J245" s="4" t="s">
        <v>471</v>
      </c>
      <c r="K245" s="4" t="s">
        <v>1875</v>
      </c>
      <c r="L245" s="4" t="s">
        <v>530</v>
      </c>
    </row>
    <row r="246" spans="1:12" ht="98" x14ac:dyDescent="0.35">
      <c r="A246" s="4" t="s">
        <v>476</v>
      </c>
      <c r="B246" s="4" t="s">
        <v>476</v>
      </c>
      <c r="C246" s="4" t="s">
        <v>476</v>
      </c>
      <c r="D246" s="4" t="s">
        <v>1754</v>
      </c>
      <c r="E246" s="4" t="s">
        <v>1761</v>
      </c>
      <c r="F246" s="4" t="s">
        <v>537</v>
      </c>
      <c r="G246" s="4" t="s">
        <v>47</v>
      </c>
      <c r="H246" s="4" t="s">
        <v>536</v>
      </c>
      <c r="I246" s="4" t="s">
        <v>177</v>
      </c>
      <c r="J246" s="4" t="s">
        <v>471</v>
      </c>
      <c r="K246" s="4" t="s">
        <v>1876</v>
      </c>
      <c r="L246" s="4" t="s">
        <v>542</v>
      </c>
    </row>
    <row r="247" spans="1:12" ht="84" x14ac:dyDescent="0.35">
      <c r="A247" s="4" t="s">
        <v>476</v>
      </c>
      <c r="B247" s="4" t="s">
        <v>476</v>
      </c>
      <c r="C247" s="4" t="s">
        <v>476</v>
      </c>
      <c r="D247" s="4" t="s">
        <v>1754</v>
      </c>
      <c r="E247" s="4" t="s">
        <v>1761</v>
      </c>
      <c r="F247" s="4" t="s">
        <v>546</v>
      </c>
      <c r="G247" s="4" t="s">
        <v>47</v>
      </c>
      <c r="H247" s="4" t="s">
        <v>545</v>
      </c>
      <c r="I247" s="4" t="s">
        <v>233</v>
      </c>
      <c r="J247" s="4" t="s">
        <v>471</v>
      </c>
      <c r="K247" s="4" t="s">
        <v>1877</v>
      </c>
      <c r="L247" s="4" t="s">
        <v>1878</v>
      </c>
    </row>
    <row r="248" spans="1:12" ht="42" x14ac:dyDescent="0.35">
      <c r="A248" s="4" t="s">
        <v>491</v>
      </c>
      <c r="B248" s="4" t="s">
        <v>485</v>
      </c>
      <c r="C248" s="4" t="s">
        <v>485</v>
      </c>
      <c r="D248" s="4" t="s">
        <v>1754</v>
      </c>
      <c r="E248" s="4" t="s">
        <v>1870</v>
      </c>
      <c r="F248" s="4" t="s">
        <v>555</v>
      </c>
      <c r="G248" s="4" t="s">
        <v>124</v>
      </c>
      <c r="H248" s="4" t="s">
        <v>554</v>
      </c>
      <c r="I248" s="4" t="s">
        <v>457</v>
      </c>
      <c r="J248" s="4" t="s">
        <v>471</v>
      </c>
      <c r="K248" s="4" t="s">
        <v>1879</v>
      </c>
      <c r="L248" s="4" t="s">
        <v>559</v>
      </c>
    </row>
    <row r="249" spans="1:12" ht="70" x14ac:dyDescent="0.35">
      <c r="A249" s="4" t="s">
        <v>564</v>
      </c>
      <c r="B249" s="4" t="s">
        <v>564</v>
      </c>
      <c r="C249" s="4" t="s">
        <v>564</v>
      </c>
      <c r="D249" s="4" t="s">
        <v>1754</v>
      </c>
      <c r="E249" s="4" t="s">
        <v>1761</v>
      </c>
      <c r="F249" s="4" t="s">
        <v>563</v>
      </c>
      <c r="G249" s="4" t="s">
        <v>47</v>
      </c>
      <c r="H249" s="4" t="s">
        <v>562</v>
      </c>
      <c r="I249" s="4" t="s">
        <v>40</v>
      </c>
      <c r="J249" s="4" t="s">
        <v>333</v>
      </c>
      <c r="K249" s="4" t="s">
        <v>1880</v>
      </c>
      <c r="L249" s="4" t="s">
        <v>569</v>
      </c>
    </row>
    <row r="250" spans="1:12" ht="70" x14ac:dyDescent="0.35">
      <c r="A250" s="4" t="s">
        <v>564</v>
      </c>
      <c r="B250" s="4" t="s">
        <v>564</v>
      </c>
      <c r="C250" s="4" t="s">
        <v>564</v>
      </c>
      <c r="D250" s="4" t="s">
        <v>1754</v>
      </c>
      <c r="E250" s="4" t="s">
        <v>1761</v>
      </c>
      <c r="F250" s="4" t="s">
        <v>563</v>
      </c>
      <c r="G250" s="4" t="s">
        <v>47</v>
      </c>
      <c r="H250" s="4" t="s">
        <v>562</v>
      </c>
      <c r="I250" s="4" t="s">
        <v>156</v>
      </c>
      <c r="J250" s="4" t="s">
        <v>333</v>
      </c>
      <c r="K250" s="4" t="s">
        <v>1880</v>
      </c>
      <c r="L250" s="4" t="s">
        <v>569</v>
      </c>
    </row>
    <row r="251" spans="1:12" ht="70" x14ac:dyDescent="0.35">
      <c r="A251" s="4" t="s">
        <v>564</v>
      </c>
      <c r="B251" s="4" t="s">
        <v>564</v>
      </c>
      <c r="C251" s="4" t="s">
        <v>564</v>
      </c>
      <c r="D251" s="4" t="s">
        <v>1754</v>
      </c>
      <c r="E251" s="4" t="s">
        <v>1761</v>
      </c>
      <c r="F251" s="4" t="s">
        <v>563</v>
      </c>
      <c r="G251" s="4" t="s">
        <v>47</v>
      </c>
      <c r="H251" s="4" t="s">
        <v>562</v>
      </c>
      <c r="I251" s="4" t="s">
        <v>149</v>
      </c>
      <c r="J251" s="4" t="s">
        <v>333</v>
      </c>
      <c r="K251" s="4" t="s">
        <v>1880</v>
      </c>
      <c r="L251" s="4" t="s">
        <v>569</v>
      </c>
    </row>
    <row r="252" spans="1:12" ht="70" x14ac:dyDescent="0.35">
      <c r="A252" s="4" t="s">
        <v>564</v>
      </c>
      <c r="B252" s="4" t="s">
        <v>564</v>
      </c>
      <c r="C252" s="4" t="s">
        <v>564</v>
      </c>
      <c r="D252" s="4" t="s">
        <v>1754</v>
      </c>
      <c r="E252" s="4" t="s">
        <v>1761</v>
      </c>
      <c r="F252" s="4" t="s">
        <v>563</v>
      </c>
      <c r="G252" s="4" t="s">
        <v>47</v>
      </c>
      <c r="H252" s="4" t="s">
        <v>562</v>
      </c>
      <c r="I252" s="4" t="s">
        <v>163</v>
      </c>
      <c r="J252" s="4" t="s">
        <v>333</v>
      </c>
      <c r="K252" s="4" t="s">
        <v>1880</v>
      </c>
      <c r="L252" s="4" t="s">
        <v>569</v>
      </c>
    </row>
    <row r="253" spans="1:12" ht="70" x14ac:dyDescent="0.35">
      <c r="A253" s="4" t="s">
        <v>564</v>
      </c>
      <c r="B253" s="4" t="s">
        <v>564</v>
      </c>
      <c r="C253" s="4" t="s">
        <v>564</v>
      </c>
      <c r="D253" s="4" t="s">
        <v>1754</v>
      </c>
      <c r="E253" s="4" t="s">
        <v>1761</v>
      </c>
      <c r="F253" s="4" t="s">
        <v>563</v>
      </c>
      <c r="G253" s="4" t="s">
        <v>47</v>
      </c>
      <c r="H253" s="4" t="s">
        <v>562</v>
      </c>
      <c r="I253" s="4" t="s">
        <v>170</v>
      </c>
      <c r="J253" s="4" t="s">
        <v>333</v>
      </c>
      <c r="K253" s="4" t="s">
        <v>1880</v>
      </c>
      <c r="L253" s="4" t="s">
        <v>569</v>
      </c>
    </row>
    <row r="254" spans="1:12" ht="70" x14ac:dyDescent="0.35">
      <c r="A254" s="4" t="s">
        <v>564</v>
      </c>
      <c r="B254" s="4" t="s">
        <v>564</v>
      </c>
      <c r="C254" s="4" t="s">
        <v>564</v>
      </c>
      <c r="D254" s="4" t="s">
        <v>1754</v>
      </c>
      <c r="E254" s="4" t="s">
        <v>1761</v>
      </c>
      <c r="F254" s="4" t="s">
        <v>563</v>
      </c>
      <c r="G254" s="4" t="s">
        <v>47</v>
      </c>
      <c r="H254" s="4" t="s">
        <v>562</v>
      </c>
      <c r="I254" s="4" t="s">
        <v>177</v>
      </c>
      <c r="J254" s="4" t="s">
        <v>333</v>
      </c>
      <c r="K254" s="4" t="s">
        <v>1880</v>
      </c>
      <c r="L254" s="4" t="s">
        <v>569</v>
      </c>
    </row>
    <row r="255" spans="1:12" ht="70" x14ac:dyDescent="0.35">
      <c r="A255" s="4" t="s">
        <v>564</v>
      </c>
      <c r="B255" s="4" t="s">
        <v>564</v>
      </c>
      <c r="C255" s="4" t="s">
        <v>564</v>
      </c>
      <c r="D255" s="4" t="s">
        <v>1754</v>
      </c>
      <c r="E255" s="4" t="s">
        <v>1761</v>
      </c>
      <c r="F255" s="4" t="s">
        <v>563</v>
      </c>
      <c r="G255" s="4" t="s">
        <v>47</v>
      </c>
      <c r="H255" s="4" t="s">
        <v>562</v>
      </c>
      <c r="I255" s="4" t="s">
        <v>184</v>
      </c>
      <c r="J255" s="4" t="s">
        <v>333</v>
      </c>
      <c r="K255" s="4" t="s">
        <v>1880</v>
      </c>
      <c r="L255" s="4" t="s">
        <v>569</v>
      </c>
    </row>
    <row r="256" spans="1:12" ht="70" x14ac:dyDescent="0.35">
      <c r="A256" s="4" t="s">
        <v>585</v>
      </c>
      <c r="B256" s="4" t="s">
        <v>585</v>
      </c>
      <c r="C256" s="4" t="s">
        <v>585</v>
      </c>
      <c r="D256" s="4" t="s">
        <v>1754</v>
      </c>
      <c r="E256" s="4" t="s">
        <v>1761</v>
      </c>
      <c r="F256" s="4" t="s">
        <v>563</v>
      </c>
      <c r="G256" s="4" t="s">
        <v>124</v>
      </c>
      <c r="H256" s="4" t="s">
        <v>562</v>
      </c>
      <c r="I256" s="4" t="s">
        <v>116</v>
      </c>
      <c r="J256" s="4" t="s">
        <v>333</v>
      </c>
      <c r="K256" s="4" t="s">
        <v>1880</v>
      </c>
      <c r="L256" s="4" t="s">
        <v>569</v>
      </c>
    </row>
    <row r="257" spans="1:12" ht="70" x14ac:dyDescent="0.35">
      <c r="A257" s="4" t="s">
        <v>585</v>
      </c>
      <c r="B257" s="4" t="s">
        <v>585</v>
      </c>
      <c r="C257" s="4" t="s">
        <v>585</v>
      </c>
      <c r="D257" s="4" t="s">
        <v>1754</v>
      </c>
      <c r="E257" s="4" t="s">
        <v>1761</v>
      </c>
      <c r="F257" s="4" t="s">
        <v>563</v>
      </c>
      <c r="G257" s="4" t="s">
        <v>124</v>
      </c>
      <c r="H257" s="4" t="s">
        <v>562</v>
      </c>
      <c r="I257" s="4" t="s">
        <v>123</v>
      </c>
      <c r="J257" s="4" t="s">
        <v>333</v>
      </c>
      <c r="K257" s="4" t="s">
        <v>1880</v>
      </c>
      <c r="L257" s="4" t="s">
        <v>569</v>
      </c>
    </row>
    <row r="258" spans="1:12" ht="70" x14ac:dyDescent="0.35">
      <c r="A258" s="4" t="s">
        <v>585</v>
      </c>
      <c r="B258" s="4" t="s">
        <v>585</v>
      </c>
      <c r="C258" s="4" t="s">
        <v>585</v>
      </c>
      <c r="D258" s="4" t="s">
        <v>1754</v>
      </c>
      <c r="E258" s="4" t="s">
        <v>1761</v>
      </c>
      <c r="F258" s="4" t="s">
        <v>563</v>
      </c>
      <c r="G258" s="4" t="s">
        <v>124</v>
      </c>
      <c r="H258" s="4" t="s">
        <v>562</v>
      </c>
      <c r="I258" s="4" t="s">
        <v>135</v>
      </c>
      <c r="J258" s="4" t="s">
        <v>333</v>
      </c>
      <c r="K258" s="4" t="s">
        <v>1880</v>
      </c>
      <c r="L258" s="4" t="s">
        <v>569</v>
      </c>
    </row>
    <row r="259" spans="1:12" ht="70" x14ac:dyDescent="0.35">
      <c r="A259" s="4" t="s">
        <v>585</v>
      </c>
      <c r="B259" s="4" t="s">
        <v>585</v>
      </c>
      <c r="C259" s="4" t="s">
        <v>585</v>
      </c>
      <c r="D259" s="4" t="s">
        <v>1754</v>
      </c>
      <c r="E259" s="4" t="s">
        <v>1761</v>
      </c>
      <c r="F259" s="4" t="s">
        <v>563</v>
      </c>
      <c r="G259" s="4" t="s">
        <v>124</v>
      </c>
      <c r="H259" s="4" t="s">
        <v>562</v>
      </c>
      <c r="I259" s="4" t="s">
        <v>142</v>
      </c>
      <c r="J259" s="4" t="s">
        <v>333</v>
      </c>
      <c r="K259" s="4" t="s">
        <v>1880</v>
      </c>
      <c r="L259" s="4" t="s">
        <v>569</v>
      </c>
    </row>
    <row r="260" spans="1:12" ht="70" x14ac:dyDescent="0.35">
      <c r="A260" s="4" t="s">
        <v>585</v>
      </c>
      <c r="B260" s="4" t="s">
        <v>585</v>
      </c>
      <c r="C260" s="4" t="s">
        <v>585</v>
      </c>
      <c r="D260" s="4" t="s">
        <v>1754</v>
      </c>
      <c r="E260" s="4" t="s">
        <v>1761</v>
      </c>
      <c r="F260" s="4" t="s">
        <v>563</v>
      </c>
      <c r="G260" s="4" t="s">
        <v>124</v>
      </c>
      <c r="H260" s="4" t="s">
        <v>562</v>
      </c>
      <c r="I260" s="4" t="s">
        <v>212</v>
      </c>
      <c r="J260" s="4" t="s">
        <v>333</v>
      </c>
      <c r="K260" s="4" t="s">
        <v>1880</v>
      </c>
      <c r="L260" s="4" t="s">
        <v>569</v>
      </c>
    </row>
    <row r="261" spans="1:12" ht="70" x14ac:dyDescent="0.35">
      <c r="A261" s="4" t="s">
        <v>585</v>
      </c>
      <c r="B261" s="4" t="s">
        <v>585</v>
      </c>
      <c r="C261" s="4" t="s">
        <v>585</v>
      </c>
      <c r="D261" s="4" t="s">
        <v>1754</v>
      </c>
      <c r="E261" s="4" t="s">
        <v>1761</v>
      </c>
      <c r="F261" s="4" t="s">
        <v>563</v>
      </c>
      <c r="G261" s="4" t="s">
        <v>124</v>
      </c>
      <c r="H261" s="4" t="s">
        <v>562</v>
      </c>
      <c r="I261" s="4" t="s">
        <v>219</v>
      </c>
      <c r="J261" s="4" t="s">
        <v>333</v>
      </c>
      <c r="K261" s="4" t="s">
        <v>1880</v>
      </c>
      <c r="L261" s="4" t="s">
        <v>569</v>
      </c>
    </row>
    <row r="262" spans="1:12" ht="70" x14ac:dyDescent="0.35">
      <c r="A262" s="4" t="s">
        <v>585</v>
      </c>
      <c r="B262" s="4" t="s">
        <v>585</v>
      </c>
      <c r="C262" s="4" t="s">
        <v>585</v>
      </c>
      <c r="D262" s="4" t="s">
        <v>1754</v>
      </c>
      <c r="E262" s="4" t="s">
        <v>1761</v>
      </c>
      <c r="F262" s="4" t="s">
        <v>563</v>
      </c>
      <c r="G262" s="4" t="s">
        <v>124</v>
      </c>
      <c r="H262" s="4" t="s">
        <v>562</v>
      </c>
      <c r="I262" s="4" t="s">
        <v>247</v>
      </c>
      <c r="J262" s="4" t="s">
        <v>333</v>
      </c>
      <c r="K262" s="4" t="s">
        <v>1880</v>
      </c>
      <c r="L262" s="4" t="s">
        <v>569</v>
      </c>
    </row>
    <row r="263" spans="1:12" ht="70" x14ac:dyDescent="0.35">
      <c r="A263" s="4" t="s">
        <v>585</v>
      </c>
      <c r="B263" s="4" t="s">
        <v>585</v>
      </c>
      <c r="C263" s="4" t="s">
        <v>585</v>
      </c>
      <c r="D263" s="4" t="s">
        <v>1754</v>
      </c>
      <c r="E263" s="4" t="s">
        <v>1761</v>
      </c>
      <c r="F263" s="4" t="s">
        <v>563</v>
      </c>
      <c r="G263" s="4" t="s">
        <v>124</v>
      </c>
      <c r="H263" s="4" t="s">
        <v>562</v>
      </c>
      <c r="I263" s="4" t="s">
        <v>254</v>
      </c>
      <c r="J263" s="4" t="s">
        <v>333</v>
      </c>
      <c r="K263" s="4" t="s">
        <v>1880</v>
      </c>
      <c r="L263" s="4" t="s">
        <v>569</v>
      </c>
    </row>
    <row r="264" spans="1:12" ht="70" x14ac:dyDescent="0.35">
      <c r="A264" s="4" t="s">
        <v>585</v>
      </c>
      <c r="B264" s="4" t="s">
        <v>585</v>
      </c>
      <c r="C264" s="4" t="s">
        <v>585</v>
      </c>
      <c r="D264" s="4" t="s">
        <v>1754</v>
      </c>
      <c r="E264" s="4" t="s">
        <v>1761</v>
      </c>
      <c r="F264" s="4" t="s">
        <v>563</v>
      </c>
      <c r="G264" s="4" t="s">
        <v>124</v>
      </c>
      <c r="H264" s="4" t="s">
        <v>562</v>
      </c>
      <c r="I264" s="4" t="s">
        <v>240</v>
      </c>
      <c r="J264" s="4" t="s">
        <v>333</v>
      </c>
      <c r="K264" s="4" t="s">
        <v>1880</v>
      </c>
      <c r="L264" s="4" t="s">
        <v>569</v>
      </c>
    </row>
    <row r="265" spans="1:12" ht="70" x14ac:dyDescent="0.35">
      <c r="A265" s="4" t="s">
        <v>607</v>
      </c>
      <c r="B265" s="4" t="s">
        <v>607</v>
      </c>
      <c r="C265" s="4" t="s">
        <v>607</v>
      </c>
      <c r="D265" s="4" t="s">
        <v>1754</v>
      </c>
      <c r="E265" s="4" t="s">
        <v>1761</v>
      </c>
      <c r="F265" s="4" t="s">
        <v>563</v>
      </c>
      <c r="G265" s="4" t="s">
        <v>73</v>
      </c>
      <c r="H265" s="4" t="s">
        <v>562</v>
      </c>
      <c r="I265" s="4" t="s">
        <v>191</v>
      </c>
      <c r="J265" s="4" t="s">
        <v>333</v>
      </c>
      <c r="K265" s="4" t="s">
        <v>1880</v>
      </c>
      <c r="L265" s="4" t="s">
        <v>569</v>
      </c>
    </row>
    <row r="266" spans="1:12" ht="70" x14ac:dyDescent="0.35">
      <c r="A266" s="4" t="s">
        <v>607</v>
      </c>
      <c r="B266" s="4" t="s">
        <v>607</v>
      </c>
      <c r="C266" s="4" t="s">
        <v>607</v>
      </c>
      <c r="D266" s="4" t="s">
        <v>1754</v>
      </c>
      <c r="E266" s="4" t="s">
        <v>1761</v>
      </c>
      <c r="F266" s="4" t="s">
        <v>563</v>
      </c>
      <c r="G266" s="4" t="s">
        <v>73</v>
      </c>
      <c r="H266" s="4" t="s">
        <v>562</v>
      </c>
      <c r="I266" s="4" t="s">
        <v>226</v>
      </c>
      <c r="J266" s="4" t="s">
        <v>333</v>
      </c>
      <c r="K266" s="4" t="s">
        <v>1880</v>
      </c>
      <c r="L266" s="4" t="s">
        <v>569</v>
      </c>
    </row>
    <row r="267" spans="1:12" ht="70" x14ac:dyDescent="0.35">
      <c r="A267" s="4" t="s">
        <v>607</v>
      </c>
      <c r="B267" s="4" t="s">
        <v>607</v>
      </c>
      <c r="C267" s="4" t="s">
        <v>607</v>
      </c>
      <c r="D267" s="4" t="s">
        <v>1754</v>
      </c>
      <c r="E267" s="4" t="s">
        <v>1761</v>
      </c>
      <c r="F267" s="4" t="s">
        <v>563</v>
      </c>
      <c r="G267" s="4" t="s">
        <v>73</v>
      </c>
      <c r="H267" s="4" t="s">
        <v>562</v>
      </c>
      <c r="I267" s="4" t="s">
        <v>198</v>
      </c>
      <c r="J267" s="4" t="s">
        <v>333</v>
      </c>
      <c r="K267" s="4" t="s">
        <v>1880</v>
      </c>
      <c r="L267" s="4" t="s">
        <v>569</v>
      </c>
    </row>
    <row r="268" spans="1:12" ht="70" x14ac:dyDescent="0.35">
      <c r="A268" s="4" t="s">
        <v>607</v>
      </c>
      <c r="B268" s="4" t="s">
        <v>607</v>
      </c>
      <c r="C268" s="4" t="s">
        <v>607</v>
      </c>
      <c r="D268" s="4" t="s">
        <v>1754</v>
      </c>
      <c r="E268" s="4" t="s">
        <v>1761</v>
      </c>
      <c r="F268" s="4" t="s">
        <v>563</v>
      </c>
      <c r="G268" s="4" t="s">
        <v>73</v>
      </c>
      <c r="H268" s="4" t="s">
        <v>562</v>
      </c>
      <c r="I268" s="4" t="s">
        <v>233</v>
      </c>
      <c r="J268" s="4" t="s">
        <v>333</v>
      </c>
      <c r="K268" s="4" t="s">
        <v>1880</v>
      </c>
      <c r="L268" s="4" t="s">
        <v>569</v>
      </c>
    </row>
    <row r="269" spans="1:12" ht="70" x14ac:dyDescent="0.35">
      <c r="A269" s="4" t="s">
        <v>607</v>
      </c>
      <c r="B269" s="4" t="s">
        <v>607</v>
      </c>
      <c r="C269" s="4" t="s">
        <v>607</v>
      </c>
      <c r="D269" s="4" t="s">
        <v>1754</v>
      </c>
      <c r="E269" s="4" t="s">
        <v>1761</v>
      </c>
      <c r="F269" s="4" t="s">
        <v>563</v>
      </c>
      <c r="G269" s="4" t="s">
        <v>73</v>
      </c>
      <c r="H269" s="4" t="s">
        <v>562</v>
      </c>
      <c r="I269" s="4" t="s">
        <v>205</v>
      </c>
      <c r="J269" s="4" t="s">
        <v>333</v>
      </c>
      <c r="K269" s="4" t="s">
        <v>1880</v>
      </c>
      <c r="L269" s="4" t="s">
        <v>569</v>
      </c>
    </row>
    <row r="270" spans="1:12" ht="70" x14ac:dyDescent="0.35">
      <c r="A270" s="4" t="s">
        <v>621</v>
      </c>
      <c r="B270" s="4" t="s">
        <v>621</v>
      </c>
      <c r="C270" s="4" t="s">
        <v>621</v>
      </c>
      <c r="D270" s="4" t="s">
        <v>1754</v>
      </c>
      <c r="E270" s="4" t="s">
        <v>1761</v>
      </c>
      <c r="F270" s="4" t="s">
        <v>563</v>
      </c>
      <c r="G270" s="4" t="s">
        <v>64</v>
      </c>
      <c r="H270" s="4" t="s">
        <v>562</v>
      </c>
      <c r="I270" s="4" t="s">
        <v>457</v>
      </c>
      <c r="J270" s="4" t="s">
        <v>333</v>
      </c>
      <c r="K270" s="4" t="s">
        <v>1880</v>
      </c>
      <c r="L270" s="4" t="s">
        <v>569</v>
      </c>
    </row>
    <row r="271" spans="1:12" ht="70" x14ac:dyDescent="0.35">
      <c r="A271" s="4" t="s">
        <v>629</v>
      </c>
      <c r="B271" s="4" t="s">
        <v>629</v>
      </c>
      <c r="C271" s="4" t="s">
        <v>629</v>
      </c>
      <c r="D271" s="4" t="s">
        <v>1754</v>
      </c>
      <c r="E271" s="4" t="s">
        <v>1761</v>
      </c>
      <c r="F271" s="4" t="s">
        <v>563</v>
      </c>
      <c r="G271" s="4" t="s">
        <v>305</v>
      </c>
      <c r="H271" s="4" t="s">
        <v>562</v>
      </c>
      <c r="I271" s="4" t="s">
        <v>457</v>
      </c>
      <c r="J271" s="4" t="s">
        <v>333</v>
      </c>
      <c r="K271" s="4" t="s">
        <v>1881</v>
      </c>
      <c r="L271" s="4" t="s">
        <v>569</v>
      </c>
    </row>
    <row r="272" spans="1:12" ht="70" x14ac:dyDescent="0.35">
      <c r="A272" s="4" t="s">
        <v>637</v>
      </c>
      <c r="B272" s="4" t="s">
        <v>637</v>
      </c>
      <c r="C272" s="4" t="s">
        <v>637</v>
      </c>
      <c r="D272" s="4" t="s">
        <v>1754</v>
      </c>
      <c r="E272" s="4" t="s">
        <v>1761</v>
      </c>
      <c r="F272" s="4" t="s">
        <v>563</v>
      </c>
      <c r="G272" s="4" t="s">
        <v>312</v>
      </c>
      <c r="H272" s="4" t="s">
        <v>562</v>
      </c>
      <c r="I272" s="4" t="s">
        <v>457</v>
      </c>
      <c r="J272" s="4" t="s">
        <v>261</v>
      </c>
      <c r="K272" s="4" t="s">
        <v>1880</v>
      </c>
      <c r="L272" s="4" t="s">
        <v>569</v>
      </c>
    </row>
    <row r="273" spans="1:12" ht="70" x14ac:dyDescent="0.35">
      <c r="A273" s="4" t="s">
        <v>651</v>
      </c>
      <c r="B273" s="4" t="s">
        <v>1882</v>
      </c>
      <c r="C273" s="4" t="s">
        <v>644</v>
      </c>
      <c r="D273" s="4" t="s">
        <v>1766</v>
      </c>
      <c r="E273" s="4" t="s">
        <v>1856</v>
      </c>
      <c r="F273" s="4" t="s">
        <v>643</v>
      </c>
      <c r="G273" s="4" t="s">
        <v>47</v>
      </c>
      <c r="H273" s="4" t="s">
        <v>642</v>
      </c>
      <c r="I273" s="4" t="s">
        <v>40</v>
      </c>
      <c r="J273" s="4" t="s">
        <v>333</v>
      </c>
      <c r="K273" s="4" t="s">
        <v>1883</v>
      </c>
      <c r="L273" s="4" t="s">
        <v>1530</v>
      </c>
    </row>
    <row r="274" spans="1:12" ht="70" x14ac:dyDescent="0.35">
      <c r="A274" s="4" t="s">
        <v>651</v>
      </c>
      <c r="B274" s="4" t="s">
        <v>1882</v>
      </c>
      <c r="C274" s="4" t="s">
        <v>644</v>
      </c>
      <c r="D274" s="4" t="s">
        <v>1766</v>
      </c>
      <c r="E274" s="4" t="s">
        <v>1856</v>
      </c>
      <c r="F274" s="4" t="s">
        <v>643</v>
      </c>
      <c r="G274" s="4" t="s">
        <v>47</v>
      </c>
      <c r="H274" s="4" t="s">
        <v>642</v>
      </c>
      <c r="I274" s="4" t="s">
        <v>156</v>
      </c>
      <c r="J274" s="4" t="s">
        <v>333</v>
      </c>
      <c r="K274" s="4" t="s">
        <v>1883</v>
      </c>
      <c r="L274" s="4" t="s">
        <v>1530</v>
      </c>
    </row>
    <row r="275" spans="1:12" ht="70" x14ac:dyDescent="0.35">
      <c r="A275" s="4" t="s">
        <v>651</v>
      </c>
      <c r="B275" s="4" t="s">
        <v>1882</v>
      </c>
      <c r="C275" s="4" t="s">
        <v>644</v>
      </c>
      <c r="D275" s="4" t="s">
        <v>1766</v>
      </c>
      <c r="E275" s="4" t="s">
        <v>1856</v>
      </c>
      <c r="F275" s="4" t="s">
        <v>643</v>
      </c>
      <c r="G275" s="4" t="s">
        <v>47</v>
      </c>
      <c r="H275" s="4" t="s">
        <v>642</v>
      </c>
      <c r="I275" s="4" t="s">
        <v>149</v>
      </c>
      <c r="J275" s="4" t="s">
        <v>333</v>
      </c>
      <c r="K275" s="4" t="s">
        <v>1883</v>
      </c>
      <c r="L275" s="4" t="s">
        <v>1530</v>
      </c>
    </row>
    <row r="276" spans="1:12" ht="70" x14ac:dyDescent="0.35">
      <c r="A276" s="4" t="s">
        <v>651</v>
      </c>
      <c r="B276" s="4" t="s">
        <v>1882</v>
      </c>
      <c r="C276" s="4" t="s">
        <v>644</v>
      </c>
      <c r="D276" s="4" t="s">
        <v>1766</v>
      </c>
      <c r="E276" s="4" t="s">
        <v>1856</v>
      </c>
      <c r="F276" s="4" t="s">
        <v>643</v>
      </c>
      <c r="G276" s="4" t="s">
        <v>47</v>
      </c>
      <c r="H276" s="4" t="s">
        <v>642</v>
      </c>
      <c r="I276" s="4" t="s">
        <v>163</v>
      </c>
      <c r="J276" s="4" t="s">
        <v>333</v>
      </c>
      <c r="K276" s="4" t="s">
        <v>1883</v>
      </c>
      <c r="L276" s="4" t="s">
        <v>1530</v>
      </c>
    </row>
    <row r="277" spans="1:12" ht="70" x14ac:dyDescent="0.35">
      <c r="A277" s="4" t="s">
        <v>651</v>
      </c>
      <c r="B277" s="4" t="s">
        <v>1882</v>
      </c>
      <c r="C277" s="4" t="s">
        <v>644</v>
      </c>
      <c r="D277" s="4" t="s">
        <v>1766</v>
      </c>
      <c r="E277" s="4" t="s">
        <v>1856</v>
      </c>
      <c r="F277" s="4" t="s">
        <v>643</v>
      </c>
      <c r="G277" s="4" t="s">
        <v>47</v>
      </c>
      <c r="H277" s="4" t="s">
        <v>642</v>
      </c>
      <c r="I277" s="4" t="s">
        <v>170</v>
      </c>
      <c r="J277" s="4" t="s">
        <v>333</v>
      </c>
      <c r="K277" s="4" t="s">
        <v>1883</v>
      </c>
      <c r="L277" s="4" t="s">
        <v>1530</v>
      </c>
    </row>
    <row r="278" spans="1:12" ht="70" x14ac:dyDescent="0.35">
      <c r="A278" s="4" t="s">
        <v>651</v>
      </c>
      <c r="B278" s="4" t="s">
        <v>1882</v>
      </c>
      <c r="C278" s="4" t="s">
        <v>644</v>
      </c>
      <c r="D278" s="4" t="s">
        <v>1766</v>
      </c>
      <c r="E278" s="4" t="s">
        <v>1856</v>
      </c>
      <c r="F278" s="4" t="s">
        <v>643</v>
      </c>
      <c r="G278" s="4" t="s">
        <v>47</v>
      </c>
      <c r="H278" s="4" t="s">
        <v>642</v>
      </c>
      <c r="I278" s="4" t="s">
        <v>177</v>
      </c>
      <c r="J278" s="4" t="s">
        <v>333</v>
      </c>
      <c r="K278" s="4" t="s">
        <v>1883</v>
      </c>
      <c r="L278" s="4" t="s">
        <v>1530</v>
      </c>
    </row>
    <row r="279" spans="1:12" ht="70" x14ac:dyDescent="0.35">
      <c r="A279" s="4" t="s">
        <v>651</v>
      </c>
      <c r="B279" s="4" t="s">
        <v>1882</v>
      </c>
      <c r="C279" s="4" t="s">
        <v>644</v>
      </c>
      <c r="D279" s="4" t="s">
        <v>1766</v>
      </c>
      <c r="E279" s="4" t="s">
        <v>1856</v>
      </c>
      <c r="F279" s="4" t="s">
        <v>643</v>
      </c>
      <c r="G279" s="4" t="s">
        <v>47</v>
      </c>
      <c r="H279" s="4" t="s">
        <v>642</v>
      </c>
      <c r="I279" s="4" t="s">
        <v>184</v>
      </c>
      <c r="J279" s="4" t="s">
        <v>333</v>
      </c>
      <c r="K279" s="4" t="s">
        <v>1883</v>
      </c>
      <c r="L279" s="4" t="s">
        <v>1530</v>
      </c>
    </row>
    <row r="280" spans="1:12" ht="70" x14ac:dyDescent="0.35">
      <c r="A280" s="4" t="s">
        <v>354</v>
      </c>
      <c r="B280" s="4" t="s">
        <v>1884</v>
      </c>
      <c r="C280" s="4" t="s">
        <v>665</v>
      </c>
      <c r="D280" s="4" t="s">
        <v>1766</v>
      </c>
      <c r="E280" s="4" t="s">
        <v>1844</v>
      </c>
      <c r="F280" s="4" t="s">
        <v>643</v>
      </c>
      <c r="G280" s="4" t="s">
        <v>124</v>
      </c>
      <c r="H280" s="4" t="s">
        <v>642</v>
      </c>
      <c r="I280" s="4" t="s">
        <v>116</v>
      </c>
      <c r="J280" s="4" t="s">
        <v>333</v>
      </c>
      <c r="K280" s="4" t="s">
        <v>1883</v>
      </c>
      <c r="L280" s="4" t="s">
        <v>1530</v>
      </c>
    </row>
    <row r="281" spans="1:12" ht="70" x14ac:dyDescent="0.35">
      <c r="A281" s="4" t="s">
        <v>368</v>
      </c>
      <c r="B281" s="4" t="s">
        <v>1884</v>
      </c>
      <c r="C281" s="4" t="s">
        <v>665</v>
      </c>
      <c r="D281" s="4" t="s">
        <v>1766</v>
      </c>
      <c r="E281" s="4" t="s">
        <v>1844</v>
      </c>
      <c r="F281" s="4" t="s">
        <v>643</v>
      </c>
      <c r="G281" s="4" t="s">
        <v>124</v>
      </c>
      <c r="H281" s="4" t="s">
        <v>642</v>
      </c>
      <c r="I281" s="4" t="s">
        <v>116</v>
      </c>
      <c r="J281" s="4" t="s">
        <v>333</v>
      </c>
      <c r="K281" s="4" t="s">
        <v>1883</v>
      </c>
      <c r="L281" s="4" t="s">
        <v>1530</v>
      </c>
    </row>
    <row r="282" spans="1:12" ht="70" x14ac:dyDescent="0.35">
      <c r="A282" s="4" t="s">
        <v>354</v>
      </c>
      <c r="B282" s="4" t="s">
        <v>1884</v>
      </c>
      <c r="C282" s="4" t="s">
        <v>665</v>
      </c>
      <c r="D282" s="4" t="s">
        <v>1766</v>
      </c>
      <c r="E282" s="4" t="s">
        <v>1844</v>
      </c>
      <c r="F282" s="4" t="s">
        <v>643</v>
      </c>
      <c r="G282" s="4" t="s">
        <v>124</v>
      </c>
      <c r="H282" s="4" t="s">
        <v>642</v>
      </c>
      <c r="I282" s="4" t="s">
        <v>123</v>
      </c>
      <c r="J282" s="4" t="s">
        <v>333</v>
      </c>
      <c r="K282" s="4" t="s">
        <v>1883</v>
      </c>
      <c r="L282" s="4" t="s">
        <v>1530</v>
      </c>
    </row>
    <row r="283" spans="1:12" ht="70" x14ac:dyDescent="0.35">
      <c r="A283" s="4" t="s">
        <v>368</v>
      </c>
      <c r="B283" s="4" t="s">
        <v>1884</v>
      </c>
      <c r="C283" s="4" t="s">
        <v>665</v>
      </c>
      <c r="D283" s="4" t="s">
        <v>1766</v>
      </c>
      <c r="E283" s="4" t="s">
        <v>1844</v>
      </c>
      <c r="F283" s="4" t="s">
        <v>643</v>
      </c>
      <c r="G283" s="4" t="s">
        <v>124</v>
      </c>
      <c r="H283" s="4" t="s">
        <v>642</v>
      </c>
      <c r="I283" s="4" t="s">
        <v>123</v>
      </c>
      <c r="J283" s="4" t="s">
        <v>333</v>
      </c>
      <c r="K283" s="4" t="s">
        <v>1883</v>
      </c>
      <c r="L283" s="4" t="s">
        <v>1530</v>
      </c>
    </row>
    <row r="284" spans="1:12" ht="70" x14ac:dyDescent="0.35">
      <c r="A284" s="4" t="s">
        <v>354</v>
      </c>
      <c r="B284" s="4" t="s">
        <v>1884</v>
      </c>
      <c r="C284" s="4" t="s">
        <v>665</v>
      </c>
      <c r="D284" s="4" t="s">
        <v>1766</v>
      </c>
      <c r="E284" s="4" t="s">
        <v>1844</v>
      </c>
      <c r="F284" s="4" t="s">
        <v>643</v>
      </c>
      <c r="G284" s="4" t="s">
        <v>124</v>
      </c>
      <c r="H284" s="4" t="s">
        <v>642</v>
      </c>
      <c r="I284" s="4" t="s">
        <v>135</v>
      </c>
      <c r="J284" s="4" t="s">
        <v>333</v>
      </c>
      <c r="K284" s="4" t="s">
        <v>1883</v>
      </c>
      <c r="L284" s="4" t="s">
        <v>1530</v>
      </c>
    </row>
    <row r="285" spans="1:12" ht="70" x14ac:dyDescent="0.35">
      <c r="A285" s="4" t="s">
        <v>368</v>
      </c>
      <c r="B285" s="4" t="s">
        <v>1884</v>
      </c>
      <c r="C285" s="4" t="s">
        <v>665</v>
      </c>
      <c r="D285" s="4" t="s">
        <v>1766</v>
      </c>
      <c r="E285" s="4" t="s">
        <v>1844</v>
      </c>
      <c r="F285" s="4" t="s">
        <v>643</v>
      </c>
      <c r="G285" s="4" t="s">
        <v>124</v>
      </c>
      <c r="H285" s="4" t="s">
        <v>642</v>
      </c>
      <c r="I285" s="4" t="s">
        <v>135</v>
      </c>
      <c r="J285" s="4" t="s">
        <v>333</v>
      </c>
      <c r="K285" s="4" t="s">
        <v>1883</v>
      </c>
      <c r="L285" s="4" t="s">
        <v>1530</v>
      </c>
    </row>
    <row r="286" spans="1:12" ht="70" x14ac:dyDescent="0.35">
      <c r="A286" s="4" t="s">
        <v>354</v>
      </c>
      <c r="B286" s="4" t="s">
        <v>1884</v>
      </c>
      <c r="C286" s="4" t="s">
        <v>665</v>
      </c>
      <c r="D286" s="4" t="s">
        <v>1766</v>
      </c>
      <c r="E286" s="4" t="s">
        <v>1844</v>
      </c>
      <c r="F286" s="4" t="s">
        <v>643</v>
      </c>
      <c r="G286" s="4" t="s">
        <v>124</v>
      </c>
      <c r="H286" s="4" t="s">
        <v>642</v>
      </c>
      <c r="I286" s="4" t="s">
        <v>142</v>
      </c>
      <c r="J286" s="4" t="s">
        <v>333</v>
      </c>
      <c r="K286" s="4" t="s">
        <v>1883</v>
      </c>
      <c r="L286" s="4" t="s">
        <v>1530</v>
      </c>
    </row>
    <row r="287" spans="1:12" ht="70" x14ac:dyDescent="0.35">
      <c r="A287" s="4" t="s">
        <v>368</v>
      </c>
      <c r="B287" s="4" t="s">
        <v>1884</v>
      </c>
      <c r="C287" s="4" t="s">
        <v>665</v>
      </c>
      <c r="D287" s="4" t="s">
        <v>1766</v>
      </c>
      <c r="E287" s="4" t="s">
        <v>1844</v>
      </c>
      <c r="F287" s="4" t="s">
        <v>643</v>
      </c>
      <c r="G287" s="4" t="s">
        <v>124</v>
      </c>
      <c r="H287" s="4" t="s">
        <v>642</v>
      </c>
      <c r="I287" s="4" t="s">
        <v>142</v>
      </c>
      <c r="J287" s="4" t="s">
        <v>333</v>
      </c>
      <c r="K287" s="4" t="s">
        <v>1883</v>
      </c>
      <c r="L287" s="4" t="s">
        <v>1530</v>
      </c>
    </row>
    <row r="288" spans="1:12" ht="70" x14ac:dyDescent="0.35">
      <c r="A288" s="4" t="s">
        <v>354</v>
      </c>
      <c r="B288" s="4" t="s">
        <v>1884</v>
      </c>
      <c r="C288" s="4" t="s">
        <v>665</v>
      </c>
      <c r="D288" s="4" t="s">
        <v>1766</v>
      </c>
      <c r="E288" s="4" t="s">
        <v>1844</v>
      </c>
      <c r="F288" s="4" t="s">
        <v>643</v>
      </c>
      <c r="G288" s="4" t="s">
        <v>124</v>
      </c>
      <c r="H288" s="4" t="s">
        <v>642</v>
      </c>
      <c r="I288" s="4" t="s">
        <v>212</v>
      </c>
      <c r="J288" s="4" t="s">
        <v>333</v>
      </c>
      <c r="K288" s="4" t="s">
        <v>1883</v>
      </c>
      <c r="L288" s="4" t="s">
        <v>1530</v>
      </c>
    </row>
    <row r="289" spans="1:12" ht="70" x14ac:dyDescent="0.35">
      <c r="A289" s="4" t="s">
        <v>368</v>
      </c>
      <c r="B289" s="4" t="s">
        <v>1884</v>
      </c>
      <c r="C289" s="4" t="s">
        <v>665</v>
      </c>
      <c r="D289" s="4" t="s">
        <v>1766</v>
      </c>
      <c r="E289" s="4" t="s">
        <v>1844</v>
      </c>
      <c r="F289" s="4" t="s">
        <v>643</v>
      </c>
      <c r="G289" s="4" t="s">
        <v>124</v>
      </c>
      <c r="H289" s="4" t="s">
        <v>642</v>
      </c>
      <c r="I289" s="4" t="s">
        <v>212</v>
      </c>
      <c r="J289" s="4" t="s">
        <v>333</v>
      </c>
      <c r="K289" s="4" t="s">
        <v>1883</v>
      </c>
      <c r="L289" s="4" t="s">
        <v>1530</v>
      </c>
    </row>
    <row r="290" spans="1:12" ht="70" x14ac:dyDescent="0.35">
      <c r="A290" s="4" t="s">
        <v>354</v>
      </c>
      <c r="B290" s="4" t="s">
        <v>1884</v>
      </c>
      <c r="C290" s="4" t="s">
        <v>665</v>
      </c>
      <c r="D290" s="4" t="s">
        <v>1766</v>
      </c>
      <c r="E290" s="4" t="s">
        <v>1844</v>
      </c>
      <c r="F290" s="4" t="s">
        <v>643</v>
      </c>
      <c r="G290" s="4" t="s">
        <v>124</v>
      </c>
      <c r="H290" s="4" t="s">
        <v>642</v>
      </c>
      <c r="I290" s="4" t="s">
        <v>219</v>
      </c>
      <c r="J290" s="4" t="s">
        <v>333</v>
      </c>
      <c r="K290" s="4" t="s">
        <v>1883</v>
      </c>
      <c r="L290" s="4" t="s">
        <v>1530</v>
      </c>
    </row>
    <row r="291" spans="1:12" ht="70" x14ac:dyDescent="0.35">
      <c r="A291" s="4" t="s">
        <v>368</v>
      </c>
      <c r="B291" s="4" t="s">
        <v>1884</v>
      </c>
      <c r="C291" s="4" t="s">
        <v>665</v>
      </c>
      <c r="D291" s="4" t="s">
        <v>1766</v>
      </c>
      <c r="E291" s="4" t="s">
        <v>1844</v>
      </c>
      <c r="F291" s="4" t="s">
        <v>643</v>
      </c>
      <c r="G291" s="4" t="s">
        <v>124</v>
      </c>
      <c r="H291" s="4" t="s">
        <v>642</v>
      </c>
      <c r="I291" s="4" t="s">
        <v>219</v>
      </c>
      <c r="J291" s="4" t="s">
        <v>333</v>
      </c>
      <c r="K291" s="4" t="s">
        <v>1883</v>
      </c>
      <c r="L291" s="4" t="s">
        <v>1530</v>
      </c>
    </row>
    <row r="292" spans="1:12" ht="70" x14ac:dyDescent="0.35">
      <c r="A292" s="4" t="s">
        <v>354</v>
      </c>
      <c r="B292" s="4" t="s">
        <v>1884</v>
      </c>
      <c r="C292" s="4" t="s">
        <v>665</v>
      </c>
      <c r="D292" s="4" t="s">
        <v>1766</v>
      </c>
      <c r="E292" s="4" t="s">
        <v>1844</v>
      </c>
      <c r="F292" s="4" t="s">
        <v>643</v>
      </c>
      <c r="G292" s="4" t="s">
        <v>124</v>
      </c>
      <c r="H292" s="4" t="s">
        <v>642</v>
      </c>
      <c r="I292" s="4" t="s">
        <v>247</v>
      </c>
      <c r="J292" s="4" t="s">
        <v>333</v>
      </c>
      <c r="K292" s="4" t="s">
        <v>1883</v>
      </c>
      <c r="L292" s="4" t="s">
        <v>1530</v>
      </c>
    </row>
    <row r="293" spans="1:12" ht="70" x14ac:dyDescent="0.35">
      <c r="A293" s="4" t="s">
        <v>368</v>
      </c>
      <c r="B293" s="4" t="s">
        <v>1884</v>
      </c>
      <c r="C293" s="4" t="s">
        <v>665</v>
      </c>
      <c r="D293" s="4" t="s">
        <v>1766</v>
      </c>
      <c r="E293" s="4" t="s">
        <v>1844</v>
      </c>
      <c r="F293" s="4" t="s">
        <v>643</v>
      </c>
      <c r="G293" s="4" t="s">
        <v>124</v>
      </c>
      <c r="H293" s="4" t="s">
        <v>642</v>
      </c>
      <c r="I293" s="4" t="s">
        <v>247</v>
      </c>
      <c r="J293" s="4" t="s">
        <v>333</v>
      </c>
      <c r="K293" s="4" t="s">
        <v>1883</v>
      </c>
      <c r="L293" s="4" t="s">
        <v>1530</v>
      </c>
    </row>
    <row r="294" spans="1:12" ht="70" x14ac:dyDescent="0.35">
      <c r="A294" s="4" t="s">
        <v>354</v>
      </c>
      <c r="B294" s="4" t="s">
        <v>1884</v>
      </c>
      <c r="C294" s="4" t="s">
        <v>665</v>
      </c>
      <c r="D294" s="4" t="s">
        <v>1766</v>
      </c>
      <c r="E294" s="4" t="s">
        <v>1844</v>
      </c>
      <c r="F294" s="4" t="s">
        <v>643</v>
      </c>
      <c r="G294" s="4" t="s">
        <v>124</v>
      </c>
      <c r="H294" s="4" t="s">
        <v>642</v>
      </c>
      <c r="I294" s="4" t="s">
        <v>254</v>
      </c>
      <c r="J294" s="4" t="s">
        <v>333</v>
      </c>
      <c r="K294" s="4" t="s">
        <v>1883</v>
      </c>
      <c r="L294" s="4" t="s">
        <v>1530</v>
      </c>
    </row>
    <row r="295" spans="1:12" ht="70" x14ac:dyDescent="0.35">
      <c r="A295" s="4" t="s">
        <v>368</v>
      </c>
      <c r="B295" s="4" t="s">
        <v>1884</v>
      </c>
      <c r="C295" s="4" t="s">
        <v>665</v>
      </c>
      <c r="D295" s="4" t="s">
        <v>1766</v>
      </c>
      <c r="E295" s="4" t="s">
        <v>1844</v>
      </c>
      <c r="F295" s="4" t="s">
        <v>643</v>
      </c>
      <c r="G295" s="4" t="s">
        <v>124</v>
      </c>
      <c r="H295" s="4" t="s">
        <v>642</v>
      </c>
      <c r="I295" s="4" t="s">
        <v>254</v>
      </c>
      <c r="J295" s="4" t="s">
        <v>333</v>
      </c>
      <c r="K295" s="4" t="s">
        <v>1883</v>
      </c>
      <c r="L295" s="4" t="s">
        <v>1530</v>
      </c>
    </row>
    <row r="296" spans="1:12" ht="70" x14ac:dyDescent="0.35">
      <c r="A296" s="4" t="s">
        <v>354</v>
      </c>
      <c r="B296" s="4" t="s">
        <v>1884</v>
      </c>
      <c r="C296" s="4" t="s">
        <v>665</v>
      </c>
      <c r="D296" s="4" t="s">
        <v>1766</v>
      </c>
      <c r="E296" s="4" t="s">
        <v>1844</v>
      </c>
      <c r="F296" s="4" t="s">
        <v>643</v>
      </c>
      <c r="G296" s="4" t="s">
        <v>124</v>
      </c>
      <c r="H296" s="4" t="s">
        <v>642</v>
      </c>
      <c r="I296" s="4" t="s">
        <v>240</v>
      </c>
      <c r="J296" s="4" t="s">
        <v>333</v>
      </c>
      <c r="K296" s="4" t="s">
        <v>1883</v>
      </c>
      <c r="L296" s="4" t="s">
        <v>1530</v>
      </c>
    </row>
    <row r="297" spans="1:12" ht="70" x14ac:dyDescent="0.35">
      <c r="A297" s="4" t="s">
        <v>368</v>
      </c>
      <c r="B297" s="4" t="s">
        <v>1884</v>
      </c>
      <c r="C297" s="4" t="s">
        <v>665</v>
      </c>
      <c r="D297" s="4" t="s">
        <v>1766</v>
      </c>
      <c r="E297" s="4" t="s">
        <v>1844</v>
      </c>
      <c r="F297" s="4" t="s">
        <v>643</v>
      </c>
      <c r="G297" s="4" t="s">
        <v>124</v>
      </c>
      <c r="H297" s="4" t="s">
        <v>642</v>
      </c>
      <c r="I297" s="4" t="s">
        <v>240</v>
      </c>
      <c r="J297" s="4" t="s">
        <v>333</v>
      </c>
      <c r="K297" s="4" t="s">
        <v>1883</v>
      </c>
      <c r="L297" s="4" t="s">
        <v>1530</v>
      </c>
    </row>
    <row r="298" spans="1:12" ht="70" x14ac:dyDescent="0.35">
      <c r="A298" s="4" t="s">
        <v>691</v>
      </c>
      <c r="B298" s="4" t="s">
        <v>1885</v>
      </c>
      <c r="C298" s="4" t="s">
        <v>687</v>
      </c>
      <c r="D298" s="4" t="s">
        <v>1766</v>
      </c>
      <c r="E298" s="4" t="s">
        <v>1856</v>
      </c>
      <c r="F298" s="4" t="s">
        <v>643</v>
      </c>
      <c r="G298" s="4" t="s">
        <v>73</v>
      </c>
      <c r="H298" s="4" t="s">
        <v>642</v>
      </c>
      <c r="I298" s="4" t="s">
        <v>191</v>
      </c>
      <c r="J298" s="4" t="s">
        <v>333</v>
      </c>
      <c r="K298" s="4" t="s">
        <v>1883</v>
      </c>
      <c r="L298" s="4" t="s">
        <v>1530</v>
      </c>
    </row>
    <row r="299" spans="1:12" ht="70" x14ac:dyDescent="0.35">
      <c r="A299" s="4" t="s">
        <v>691</v>
      </c>
      <c r="B299" s="4" t="s">
        <v>1885</v>
      </c>
      <c r="C299" s="4" t="s">
        <v>687</v>
      </c>
      <c r="D299" s="4" t="s">
        <v>1766</v>
      </c>
      <c r="E299" s="4" t="s">
        <v>1856</v>
      </c>
      <c r="F299" s="4" t="s">
        <v>643</v>
      </c>
      <c r="G299" s="4" t="s">
        <v>73</v>
      </c>
      <c r="H299" s="4" t="s">
        <v>642</v>
      </c>
      <c r="I299" s="4" t="s">
        <v>226</v>
      </c>
      <c r="J299" s="4" t="s">
        <v>333</v>
      </c>
      <c r="K299" s="4" t="s">
        <v>1883</v>
      </c>
      <c r="L299" s="4" t="s">
        <v>1530</v>
      </c>
    </row>
    <row r="300" spans="1:12" ht="70" x14ac:dyDescent="0.35">
      <c r="A300" s="4" t="s">
        <v>691</v>
      </c>
      <c r="B300" s="4" t="s">
        <v>1885</v>
      </c>
      <c r="C300" s="4" t="s">
        <v>687</v>
      </c>
      <c r="D300" s="4" t="s">
        <v>1766</v>
      </c>
      <c r="E300" s="4" t="s">
        <v>1856</v>
      </c>
      <c r="F300" s="4" t="s">
        <v>643</v>
      </c>
      <c r="G300" s="4" t="s">
        <v>73</v>
      </c>
      <c r="H300" s="4" t="s">
        <v>642</v>
      </c>
      <c r="I300" s="4" t="s">
        <v>198</v>
      </c>
      <c r="J300" s="4" t="s">
        <v>333</v>
      </c>
      <c r="K300" s="4" t="s">
        <v>1883</v>
      </c>
      <c r="L300" s="4" t="s">
        <v>1530</v>
      </c>
    </row>
    <row r="301" spans="1:12" ht="70" x14ac:dyDescent="0.35">
      <c r="A301" s="4" t="s">
        <v>691</v>
      </c>
      <c r="B301" s="4" t="s">
        <v>1885</v>
      </c>
      <c r="C301" s="4" t="s">
        <v>687</v>
      </c>
      <c r="D301" s="4" t="s">
        <v>1766</v>
      </c>
      <c r="E301" s="4" t="s">
        <v>1856</v>
      </c>
      <c r="F301" s="4" t="s">
        <v>643</v>
      </c>
      <c r="G301" s="4" t="s">
        <v>73</v>
      </c>
      <c r="H301" s="4" t="s">
        <v>642</v>
      </c>
      <c r="I301" s="4" t="s">
        <v>233</v>
      </c>
      <c r="J301" s="4" t="s">
        <v>333</v>
      </c>
      <c r="K301" s="4" t="s">
        <v>1883</v>
      </c>
      <c r="L301" s="4" t="s">
        <v>1530</v>
      </c>
    </row>
    <row r="302" spans="1:12" ht="70" x14ac:dyDescent="0.35">
      <c r="A302" s="4" t="s">
        <v>691</v>
      </c>
      <c r="B302" s="4" t="s">
        <v>1885</v>
      </c>
      <c r="C302" s="4" t="s">
        <v>687</v>
      </c>
      <c r="D302" s="4" t="s">
        <v>1766</v>
      </c>
      <c r="E302" s="4" t="s">
        <v>1856</v>
      </c>
      <c r="F302" s="4" t="s">
        <v>643</v>
      </c>
      <c r="G302" s="4" t="s">
        <v>73</v>
      </c>
      <c r="H302" s="4" t="s">
        <v>642</v>
      </c>
      <c r="I302" s="4" t="s">
        <v>205</v>
      </c>
      <c r="J302" s="4" t="s">
        <v>333</v>
      </c>
      <c r="K302" s="4" t="s">
        <v>1883</v>
      </c>
      <c r="L302" s="4" t="s">
        <v>1530</v>
      </c>
    </row>
    <row r="303" spans="1:12" ht="70" x14ac:dyDescent="0.35">
      <c r="A303" s="4" t="s">
        <v>60</v>
      </c>
      <c r="B303" s="4" t="s">
        <v>701</v>
      </c>
      <c r="C303" s="4" t="s">
        <v>701</v>
      </c>
      <c r="D303" s="4" t="s">
        <v>1754</v>
      </c>
      <c r="E303" s="4" t="s">
        <v>1755</v>
      </c>
      <c r="F303" s="4" t="s">
        <v>643</v>
      </c>
      <c r="G303" s="4" t="s">
        <v>322</v>
      </c>
      <c r="H303" s="4" t="s">
        <v>642</v>
      </c>
      <c r="I303" s="4" t="s">
        <v>457</v>
      </c>
      <c r="J303" s="4" t="s">
        <v>261</v>
      </c>
      <c r="K303" s="4" t="s">
        <v>1883</v>
      </c>
      <c r="L303" s="4" t="s">
        <v>1530</v>
      </c>
    </row>
    <row r="304" spans="1:12" ht="42" x14ac:dyDescent="0.35">
      <c r="A304" s="4" t="s">
        <v>651</v>
      </c>
      <c r="B304" s="4" t="s">
        <v>1886</v>
      </c>
      <c r="C304" s="4" t="s">
        <v>651</v>
      </c>
      <c r="D304" s="4" t="s">
        <v>1766</v>
      </c>
      <c r="E304" s="4" t="s">
        <v>1856</v>
      </c>
      <c r="F304" s="4" t="s">
        <v>708</v>
      </c>
      <c r="G304" s="4" t="s">
        <v>47</v>
      </c>
      <c r="H304" s="4" t="s">
        <v>707</v>
      </c>
      <c r="I304" s="4" t="s">
        <v>163</v>
      </c>
      <c r="J304" s="4" t="s">
        <v>333</v>
      </c>
      <c r="K304" s="4" t="s">
        <v>1887</v>
      </c>
      <c r="L304" s="4" t="s">
        <v>712</v>
      </c>
    </row>
    <row r="305" spans="1:12" ht="42" x14ac:dyDescent="0.35">
      <c r="A305" s="4" t="s">
        <v>725</v>
      </c>
      <c r="B305" s="4" t="s">
        <v>1888</v>
      </c>
      <c r="C305" s="4" t="s">
        <v>717</v>
      </c>
      <c r="D305" s="4" t="s">
        <v>1766</v>
      </c>
      <c r="E305" s="4" t="s">
        <v>1856</v>
      </c>
      <c r="F305" s="4" t="s">
        <v>716</v>
      </c>
      <c r="G305" s="4" t="s">
        <v>124</v>
      </c>
      <c r="H305" s="4" t="s">
        <v>715</v>
      </c>
      <c r="I305" s="4" t="s">
        <v>247</v>
      </c>
      <c r="J305" s="4" t="s">
        <v>333</v>
      </c>
      <c r="K305" s="4" t="s">
        <v>1887</v>
      </c>
      <c r="L305" s="4" t="s">
        <v>722</v>
      </c>
    </row>
    <row r="306" spans="1:12" ht="42" x14ac:dyDescent="0.35">
      <c r="A306" s="4" t="s">
        <v>508</v>
      </c>
      <c r="B306" s="4" t="s">
        <v>508</v>
      </c>
      <c r="C306" s="4" t="s">
        <v>508</v>
      </c>
      <c r="D306" s="4" t="s">
        <v>1754</v>
      </c>
      <c r="E306" s="4" t="s">
        <v>1761</v>
      </c>
      <c r="F306" s="4" t="s">
        <v>728</v>
      </c>
      <c r="G306" s="4" t="s">
        <v>64</v>
      </c>
      <c r="H306" s="4" t="s">
        <v>727</v>
      </c>
      <c r="I306" s="4" t="s">
        <v>205</v>
      </c>
      <c r="J306" s="4" t="s">
        <v>471</v>
      </c>
      <c r="K306" s="4" t="s">
        <v>1889</v>
      </c>
      <c r="L306" s="4" t="s">
        <v>733</v>
      </c>
    </row>
    <row r="307" spans="1:12" ht="42" x14ac:dyDescent="0.35">
      <c r="A307" s="4" t="s">
        <v>508</v>
      </c>
      <c r="B307" s="4" t="s">
        <v>508</v>
      </c>
      <c r="C307" s="4" t="s">
        <v>508</v>
      </c>
      <c r="D307" s="4" t="s">
        <v>1754</v>
      </c>
      <c r="E307" s="4" t="s">
        <v>1761</v>
      </c>
      <c r="F307" s="4" t="s">
        <v>736</v>
      </c>
      <c r="G307" s="4" t="s">
        <v>64</v>
      </c>
      <c r="H307" s="4" t="s">
        <v>727</v>
      </c>
      <c r="I307" s="4" t="s">
        <v>205</v>
      </c>
      <c r="J307" s="4" t="s">
        <v>471</v>
      </c>
      <c r="K307" s="4" t="s">
        <v>1889</v>
      </c>
      <c r="L307" s="4" t="s">
        <v>740</v>
      </c>
    </row>
    <row r="308" spans="1:12" ht="42" x14ac:dyDescent="0.35">
      <c r="A308" s="4" t="s">
        <v>508</v>
      </c>
      <c r="B308" s="4" t="s">
        <v>508</v>
      </c>
      <c r="C308" s="4" t="s">
        <v>508</v>
      </c>
      <c r="D308" s="4" t="s">
        <v>1754</v>
      </c>
      <c r="E308" s="4" t="s">
        <v>1761</v>
      </c>
      <c r="F308" s="4" t="s">
        <v>743</v>
      </c>
      <c r="G308" s="4" t="s">
        <v>64</v>
      </c>
      <c r="H308" s="4" t="s">
        <v>727</v>
      </c>
      <c r="I308" s="4" t="s">
        <v>142</v>
      </c>
      <c r="J308" s="4" t="s">
        <v>471</v>
      </c>
      <c r="K308" s="4" t="s">
        <v>1889</v>
      </c>
      <c r="L308" s="4" t="s">
        <v>747</v>
      </c>
    </row>
    <row r="309" spans="1:12" ht="70" x14ac:dyDescent="0.35">
      <c r="A309" s="4" t="s">
        <v>754</v>
      </c>
      <c r="B309" s="4" t="s">
        <v>754</v>
      </c>
      <c r="C309" s="4" t="s">
        <v>754</v>
      </c>
      <c r="D309" s="4" t="s">
        <v>1754</v>
      </c>
      <c r="E309" s="4" t="s">
        <v>1761</v>
      </c>
      <c r="F309" s="4" t="s">
        <v>753</v>
      </c>
      <c r="G309" s="4" t="s">
        <v>47</v>
      </c>
      <c r="H309" s="4" t="s">
        <v>752</v>
      </c>
      <c r="I309" s="4" t="s">
        <v>457</v>
      </c>
      <c r="J309" s="4" t="s">
        <v>750</v>
      </c>
      <c r="K309" s="4" t="s">
        <v>1890</v>
      </c>
      <c r="L309" s="4" t="s">
        <v>759</v>
      </c>
    </row>
    <row r="310" spans="1:12" ht="42" x14ac:dyDescent="0.35">
      <c r="A310" s="4" t="s">
        <v>765</v>
      </c>
      <c r="B310" s="4" t="s">
        <v>765</v>
      </c>
      <c r="C310" s="4" t="s">
        <v>765</v>
      </c>
      <c r="D310" s="4" t="s">
        <v>1754</v>
      </c>
      <c r="E310" s="4" t="s">
        <v>1761</v>
      </c>
      <c r="F310" s="4" t="s">
        <v>764</v>
      </c>
      <c r="G310" s="4" t="s">
        <v>84</v>
      </c>
      <c r="H310" s="4" t="s">
        <v>763</v>
      </c>
      <c r="I310" s="4" t="s">
        <v>457</v>
      </c>
      <c r="J310" s="4" t="s">
        <v>750</v>
      </c>
      <c r="K310" s="4" t="s">
        <v>1891</v>
      </c>
      <c r="L310" s="4" t="s">
        <v>770</v>
      </c>
    </row>
    <row r="311" spans="1:12" ht="140" x14ac:dyDescent="0.35">
      <c r="A311" s="4" t="s">
        <v>491</v>
      </c>
      <c r="B311" s="4" t="s">
        <v>779</v>
      </c>
      <c r="C311" s="4" t="s">
        <v>779</v>
      </c>
      <c r="D311" s="4" t="s">
        <v>1754</v>
      </c>
      <c r="E311" s="4" t="s">
        <v>1892</v>
      </c>
      <c r="F311" s="4" t="s">
        <v>778</v>
      </c>
      <c r="G311" s="4" t="s">
        <v>47</v>
      </c>
      <c r="H311" s="4" t="s">
        <v>777</v>
      </c>
      <c r="I311" s="4" t="s">
        <v>40</v>
      </c>
      <c r="J311" s="4" t="s">
        <v>774</v>
      </c>
      <c r="K311" s="4" t="s">
        <v>1893</v>
      </c>
      <c r="L311" s="4" t="s">
        <v>786</v>
      </c>
    </row>
    <row r="312" spans="1:12" ht="140" x14ac:dyDescent="0.35">
      <c r="A312" s="4" t="s">
        <v>491</v>
      </c>
      <c r="B312" s="4" t="s">
        <v>779</v>
      </c>
      <c r="C312" s="4" t="s">
        <v>779</v>
      </c>
      <c r="D312" s="4" t="s">
        <v>1754</v>
      </c>
      <c r="E312" s="4" t="s">
        <v>1892</v>
      </c>
      <c r="F312" s="4" t="s">
        <v>778</v>
      </c>
      <c r="G312" s="4" t="s">
        <v>47</v>
      </c>
      <c r="H312" s="4" t="s">
        <v>777</v>
      </c>
      <c r="I312" s="4" t="s">
        <v>116</v>
      </c>
      <c r="J312" s="4" t="s">
        <v>774</v>
      </c>
      <c r="K312" s="4" t="s">
        <v>1893</v>
      </c>
      <c r="L312" s="4" t="s">
        <v>786</v>
      </c>
    </row>
    <row r="313" spans="1:12" ht="140" x14ac:dyDescent="0.35">
      <c r="A313" s="4" t="s">
        <v>491</v>
      </c>
      <c r="B313" s="4" t="s">
        <v>779</v>
      </c>
      <c r="C313" s="4" t="s">
        <v>779</v>
      </c>
      <c r="D313" s="4" t="s">
        <v>1754</v>
      </c>
      <c r="E313" s="4" t="s">
        <v>1892</v>
      </c>
      <c r="F313" s="4" t="s">
        <v>778</v>
      </c>
      <c r="G313" s="4" t="s">
        <v>47</v>
      </c>
      <c r="H313" s="4" t="s">
        <v>777</v>
      </c>
      <c r="I313" s="4" t="s">
        <v>123</v>
      </c>
      <c r="J313" s="4" t="s">
        <v>774</v>
      </c>
      <c r="K313" s="4" t="s">
        <v>1893</v>
      </c>
      <c r="L313" s="4" t="s">
        <v>786</v>
      </c>
    </row>
    <row r="314" spans="1:12" ht="140" x14ac:dyDescent="0.35">
      <c r="A314" s="4" t="s">
        <v>491</v>
      </c>
      <c r="B314" s="4" t="s">
        <v>779</v>
      </c>
      <c r="C314" s="4" t="s">
        <v>779</v>
      </c>
      <c r="D314" s="4" t="s">
        <v>1754</v>
      </c>
      <c r="E314" s="4" t="s">
        <v>1892</v>
      </c>
      <c r="F314" s="4" t="s">
        <v>778</v>
      </c>
      <c r="G314" s="4" t="s">
        <v>47</v>
      </c>
      <c r="H314" s="4" t="s">
        <v>777</v>
      </c>
      <c r="I314" s="4" t="s">
        <v>135</v>
      </c>
      <c r="J314" s="4" t="s">
        <v>774</v>
      </c>
      <c r="K314" s="4" t="s">
        <v>1893</v>
      </c>
      <c r="L314" s="4" t="s">
        <v>786</v>
      </c>
    </row>
    <row r="315" spans="1:12" ht="140" x14ac:dyDescent="0.35">
      <c r="A315" s="4" t="s">
        <v>491</v>
      </c>
      <c r="B315" s="4" t="s">
        <v>779</v>
      </c>
      <c r="C315" s="4" t="s">
        <v>779</v>
      </c>
      <c r="D315" s="4" t="s">
        <v>1754</v>
      </c>
      <c r="E315" s="4" t="s">
        <v>1892</v>
      </c>
      <c r="F315" s="4" t="s">
        <v>778</v>
      </c>
      <c r="G315" s="4" t="s">
        <v>47</v>
      </c>
      <c r="H315" s="4" t="s">
        <v>777</v>
      </c>
      <c r="I315" s="4" t="s">
        <v>142</v>
      </c>
      <c r="J315" s="4" t="s">
        <v>774</v>
      </c>
      <c r="K315" s="4" t="s">
        <v>1893</v>
      </c>
      <c r="L315" s="4" t="s">
        <v>786</v>
      </c>
    </row>
    <row r="316" spans="1:12" ht="140" x14ac:dyDescent="0.35">
      <c r="A316" s="4" t="s">
        <v>491</v>
      </c>
      <c r="B316" s="4" t="s">
        <v>779</v>
      </c>
      <c r="C316" s="4" t="s">
        <v>779</v>
      </c>
      <c r="D316" s="4" t="s">
        <v>1754</v>
      </c>
      <c r="E316" s="4" t="s">
        <v>1892</v>
      </c>
      <c r="F316" s="4" t="s">
        <v>778</v>
      </c>
      <c r="G316" s="4" t="s">
        <v>47</v>
      </c>
      <c r="H316" s="4" t="s">
        <v>777</v>
      </c>
      <c r="I316" s="4" t="s">
        <v>149</v>
      </c>
      <c r="J316" s="4" t="s">
        <v>774</v>
      </c>
      <c r="K316" s="4" t="s">
        <v>1893</v>
      </c>
      <c r="L316" s="4" t="s">
        <v>786</v>
      </c>
    </row>
    <row r="317" spans="1:12" ht="140" x14ac:dyDescent="0.35">
      <c r="A317" s="4" t="s">
        <v>491</v>
      </c>
      <c r="B317" s="4" t="s">
        <v>779</v>
      </c>
      <c r="C317" s="4" t="s">
        <v>779</v>
      </c>
      <c r="D317" s="4" t="s">
        <v>1754</v>
      </c>
      <c r="E317" s="4" t="s">
        <v>1892</v>
      </c>
      <c r="F317" s="4" t="s">
        <v>778</v>
      </c>
      <c r="G317" s="4" t="s">
        <v>47</v>
      </c>
      <c r="H317" s="4" t="s">
        <v>777</v>
      </c>
      <c r="I317" s="4" t="s">
        <v>156</v>
      </c>
      <c r="J317" s="4" t="s">
        <v>774</v>
      </c>
      <c r="K317" s="4" t="s">
        <v>1893</v>
      </c>
      <c r="L317" s="4" t="s">
        <v>786</v>
      </c>
    </row>
    <row r="318" spans="1:12" ht="140" x14ac:dyDescent="0.35">
      <c r="A318" s="4" t="s">
        <v>491</v>
      </c>
      <c r="B318" s="4" t="s">
        <v>779</v>
      </c>
      <c r="C318" s="4" t="s">
        <v>779</v>
      </c>
      <c r="D318" s="4" t="s">
        <v>1754</v>
      </c>
      <c r="E318" s="4" t="s">
        <v>1892</v>
      </c>
      <c r="F318" s="4" t="s">
        <v>778</v>
      </c>
      <c r="G318" s="4" t="s">
        <v>47</v>
      </c>
      <c r="H318" s="4" t="s">
        <v>777</v>
      </c>
      <c r="I318" s="4" t="s">
        <v>163</v>
      </c>
      <c r="J318" s="4" t="s">
        <v>774</v>
      </c>
      <c r="K318" s="4" t="s">
        <v>1893</v>
      </c>
      <c r="L318" s="4" t="s">
        <v>786</v>
      </c>
    </row>
    <row r="319" spans="1:12" ht="140" x14ac:dyDescent="0.35">
      <c r="A319" s="4" t="s">
        <v>491</v>
      </c>
      <c r="B319" s="4" t="s">
        <v>779</v>
      </c>
      <c r="C319" s="4" t="s">
        <v>779</v>
      </c>
      <c r="D319" s="4" t="s">
        <v>1754</v>
      </c>
      <c r="E319" s="4" t="s">
        <v>1892</v>
      </c>
      <c r="F319" s="4" t="s">
        <v>778</v>
      </c>
      <c r="G319" s="4" t="s">
        <v>47</v>
      </c>
      <c r="H319" s="4" t="s">
        <v>777</v>
      </c>
      <c r="I319" s="4" t="s">
        <v>170</v>
      </c>
      <c r="J319" s="4" t="s">
        <v>774</v>
      </c>
      <c r="K319" s="4" t="s">
        <v>1893</v>
      </c>
      <c r="L319" s="4" t="s">
        <v>786</v>
      </c>
    </row>
    <row r="320" spans="1:12" ht="140" x14ac:dyDescent="0.35">
      <c r="A320" s="4" t="s">
        <v>804</v>
      </c>
      <c r="B320" s="4" t="s">
        <v>798</v>
      </c>
      <c r="C320" s="4" t="s">
        <v>798</v>
      </c>
      <c r="D320" s="4" t="s">
        <v>1754</v>
      </c>
      <c r="E320" s="4" t="s">
        <v>1755</v>
      </c>
      <c r="F320" s="4" t="s">
        <v>778</v>
      </c>
      <c r="G320" s="4" t="s">
        <v>124</v>
      </c>
      <c r="H320" s="4" t="s">
        <v>777</v>
      </c>
      <c r="I320" s="4" t="s">
        <v>163</v>
      </c>
      <c r="J320" s="4" t="s">
        <v>774</v>
      </c>
      <c r="K320" s="4" t="s">
        <v>1893</v>
      </c>
      <c r="L320" s="4" t="s">
        <v>786</v>
      </c>
    </row>
    <row r="321" spans="1:12" ht="140" x14ac:dyDescent="0.35">
      <c r="A321" s="4" t="s">
        <v>804</v>
      </c>
      <c r="B321" s="4" t="s">
        <v>798</v>
      </c>
      <c r="C321" s="4" t="s">
        <v>798</v>
      </c>
      <c r="D321" s="4" t="s">
        <v>1754</v>
      </c>
      <c r="E321" s="4" t="s">
        <v>1755</v>
      </c>
      <c r="F321" s="4" t="s">
        <v>778</v>
      </c>
      <c r="G321" s="4" t="s">
        <v>124</v>
      </c>
      <c r="H321" s="4" t="s">
        <v>777</v>
      </c>
      <c r="I321" s="4" t="s">
        <v>170</v>
      </c>
      <c r="J321" s="4" t="s">
        <v>774</v>
      </c>
      <c r="K321" s="4" t="s">
        <v>1893</v>
      </c>
      <c r="L321" s="4" t="s">
        <v>786</v>
      </c>
    </row>
    <row r="322" spans="1:12" ht="140" x14ac:dyDescent="0.35">
      <c r="A322" s="4" t="s">
        <v>804</v>
      </c>
      <c r="B322" s="4" t="s">
        <v>798</v>
      </c>
      <c r="C322" s="4" t="s">
        <v>798</v>
      </c>
      <c r="D322" s="4" t="s">
        <v>1754</v>
      </c>
      <c r="E322" s="4" t="s">
        <v>1755</v>
      </c>
      <c r="F322" s="4" t="s">
        <v>778</v>
      </c>
      <c r="G322" s="4" t="s">
        <v>124</v>
      </c>
      <c r="H322" s="4" t="s">
        <v>777</v>
      </c>
      <c r="I322" s="4" t="s">
        <v>177</v>
      </c>
      <c r="J322" s="4" t="s">
        <v>774</v>
      </c>
      <c r="K322" s="4" t="s">
        <v>1893</v>
      </c>
      <c r="L322" s="4" t="s">
        <v>786</v>
      </c>
    </row>
    <row r="323" spans="1:12" ht="140" x14ac:dyDescent="0.35">
      <c r="A323" s="4" t="s">
        <v>804</v>
      </c>
      <c r="B323" s="4" t="s">
        <v>798</v>
      </c>
      <c r="C323" s="4" t="s">
        <v>798</v>
      </c>
      <c r="D323" s="4" t="s">
        <v>1754</v>
      </c>
      <c r="E323" s="4" t="s">
        <v>1755</v>
      </c>
      <c r="F323" s="4" t="s">
        <v>778</v>
      </c>
      <c r="G323" s="4" t="s">
        <v>124</v>
      </c>
      <c r="H323" s="4" t="s">
        <v>777</v>
      </c>
      <c r="I323" s="4" t="s">
        <v>184</v>
      </c>
      <c r="J323" s="4" t="s">
        <v>774</v>
      </c>
      <c r="K323" s="4" t="s">
        <v>1893</v>
      </c>
      <c r="L323" s="4" t="s">
        <v>786</v>
      </c>
    </row>
    <row r="324" spans="1:12" ht="140" x14ac:dyDescent="0.35">
      <c r="A324" s="4" t="s">
        <v>804</v>
      </c>
      <c r="B324" s="4" t="s">
        <v>798</v>
      </c>
      <c r="C324" s="4" t="s">
        <v>798</v>
      </c>
      <c r="D324" s="4" t="s">
        <v>1754</v>
      </c>
      <c r="E324" s="4" t="s">
        <v>1755</v>
      </c>
      <c r="F324" s="4" t="s">
        <v>778</v>
      </c>
      <c r="G324" s="4" t="s">
        <v>124</v>
      </c>
      <c r="H324" s="4" t="s">
        <v>777</v>
      </c>
      <c r="I324" s="4" t="s">
        <v>191</v>
      </c>
      <c r="J324" s="4" t="s">
        <v>774</v>
      </c>
      <c r="K324" s="4" t="s">
        <v>1893</v>
      </c>
      <c r="L324" s="4" t="s">
        <v>786</v>
      </c>
    </row>
    <row r="325" spans="1:12" ht="140" x14ac:dyDescent="0.35">
      <c r="A325" s="4" t="s">
        <v>804</v>
      </c>
      <c r="B325" s="4" t="s">
        <v>798</v>
      </c>
      <c r="C325" s="4" t="s">
        <v>798</v>
      </c>
      <c r="D325" s="4" t="s">
        <v>1754</v>
      </c>
      <c r="E325" s="4" t="s">
        <v>1755</v>
      </c>
      <c r="F325" s="4" t="s">
        <v>778</v>
      </c>
      <c r="G325" s="4" t="s">
        <v>124</v>
      </c>
      <c r="H325" s="4" t="s">
        <v>777</v>
      </c>
      <c r="I325" s="4" t="s">
        <v>226</v>
      </c>
      <c r="J325" s="4" t="s">
        <v>774</v>
      </c>
      <c r="K325" s="4" t="s">
        <v>1893</v>
      </c>
      <c r="L325" s="4" t="s">
        <v>786</v>
      </c>
    </row>
    <row r="326" spans="1:12" ht="140" x14ac:dyDescent="0.35">
      <c r="A326" s="4" t="s">
        <v>817</v>
      </c>
      <c r="B326" s="4" t="s">
        <v>811</v>
      </c>
      <c r="C326" s="4" t="s">
        <v>811</v>
      </c>
      <c r="D326" s="4" t="s">
        <v>1754</v>
      </c>
      <c r="E326" s="4" t="s">
        <v>1894</v>
      </c>
      <c r="F326" s="4" t="s">
        <v>778</v>
      </c>
      <c r="G326" s="4" t="s">
        <v>73</v>
      </c>
      <c r="H326" s="4" t="s">
        <v>777</v>
      </c>
      <c r="I326" s="4" t="s">
        <v>198</v>
      </c>
      <c r="J326" s="4" t="s">
        <v>774</v>
      </c>
      <c r="K326" s="4" t="s">
        <v>1893</v>
      </c>
      <c r="L326" s="4" t="s">
        <v>786</v>
      </c>
    </row>
    <row r="327" spans="1:12" ht="140" x14ac:dyDescent="0.35">
      <c r="A327" s="4" t="s">
        <v>817</v>
      </c>
      <c r="B327" s="4" t="s">
        <v>811</v>
      </c>
      <c r="C327" s="4" t="s">
        <v>811</v>
      </c>
      <c r="D327" s="4" t="s">
        <v>1754</v>
      </c>
      <c r="E327" s="4" t="s">
        <v>1894</v>
      </c>
      <c r="F327" s="4" t="s">
        <v>778</v>
      </c>
      <c r="G327" s="4" t="s">
        <v>73</v>
      </c>
      <c r="H327" s="4" t="s">
        <v>777</v>
      </c>
      <c r="I327" s="4" t="s">
        <v>205</v>
      </c>
      <c r="J327" s="4" t="s">
        <v>774</v>
      </c>
      <c r="K327" s="4" t="s">
        <v>1893</v>
      </c>
      <c r="L327" s="4" t="s">
        <v>786</v>
      </c>
    </row>
    <row r="328" spans="1:12" ht="140" x14ac:dyDescent="0.35">
      <c r="A328" s="4" t="s">
        <v>817</v>
      </c>
      <c r="B328" s="4" t="s">
        <v>811</v>
      </c>
      <c r="C328" s="4" t="s">
        <v>811</v>
      </c>
      <c r="D328" s="4" t="s">
        <v>1754</v>
      </c>
      <c r="E328" s="4" t="s">
        <v>1894</v>
      </c>
      <c r="F328" s="4" t="s">
        <v>778</v>
      </c>
      <c r="G328" s="4" t="s">
        <v>73</v>
      </c>
      <c r="H328" s="4" t="s">
        <v>777</v>
      </c>
      <c r="I328" s="4" t="s">
        <v>212</v>
      </c>
      <c r="J328" s="4" t="s">
        <v>774</v>
      </c>
      <c r="K328" s="4" t="s">
        <v>1893</v>
      </c>
      <c r="L328" s="4" t="s">
        <v>786</v>
      </c>
    </row>
    <row r="329" spans="1:12" ht="140" x14ac:dyDescent="0.35">
      <c r="A329" s="4" t="s">
        <v>817</v>
      </c>
      <c r="B329" s="4" t="s">
        <v>811</v>
      </c>
      <c r="C329" s="4" t="s">
        <v>811</v>
      </c>
      <c r="D329" s="4" t="s">
        <v>1754</v>
      </c>
      <c r="E329" s="4" t="s">
        <v>1894</v>
      </c>
      <c r="F329" s="4" t="s">
        <v>778</v>
      </c>
      <c r="G329" s="4" t="s">
        <v>73</v>
      </c>
      <c r="H329" s="4" t="s">
        <v>777</v>
      </c>
      <c r="I329" s="4" t="s">
        <v>219</v>
      </c>
      <c r="J329" s="4" t="s">
        <v>774</v>
      </c>
      <c r="K329" s="4" t="s">
        <v>1893</v>
      </c>
      <c r="L329" s="4" t="s">
        <v>786</v>
      </c>
    </row>
    <row r="330" spans="1:12" ht="140" x14ac:dyDescent="0.35">
      <c r="A330" s="4" t="s">
        <v>817</v>
      </c>
      <c r="B330" s="4" t="s">
        <v>811</v>
      </c>
      <c r="C330" s="4" t="s">
        <v>811</v>
      </c>
      <c r="D330" s="4" t="s">
        <v>1754</v>
      </c>
      <c r="E330" s="4" t="s">
        <v>1894</v>
      </c>
      <c r="F330" s="4" t="s">
        <v>778</v>
      </c>
      <c r="G330" s="4" t="s">
        <v>73</v>
      </c>
      <c r="H330" s="4" t="s">
        <v>777</v>
      </c>
      <c r="I330" s="4" t="s">
        <v>233</v>
      </c>
      <c r="J330" s="4" t="s">
        <v>774</v>
      </c>
      <c r="K330" s="4" t="s">
        <v>1893</v>
      </c>
      <c r="L330" s="4" t="s">
        <v>786</v>
      </c>
    </row>
    <row r="331" spans="1:12" ht="140" x14ac:dyDescent="0.35">
      <c r="A331" s="4" t="s">
        <v>817</v>
      </c>
      <c r="B331" s="4" t="s">
        <v>811</v>
      </c>
      <c r="C331" s="4" t="s">
        <v>811</v>
      </c>
      <c r="D331" s="4" t="s">
        <v>1754</v>
      </c>
      <c r="E331" s="4" t="s">
        <v>1894</v>
      </c>
      <c r="F331" s="4" t="s">
        <v>778</v>
      </c>
      <c r="G331" s="4" t="s">
        <v>73</v>
      </c>
      <c r="H331" s="4" t="s">
        <v>777</v>
      </c>
      <c r="I331" s="4" t="s">
        <v>240</v>
      </c>
      <c r="J331" s="4" t="s">
        <v>774</v>
      </c>
      <c r="K331" s="4" t="s">
        <v>1893</v>
      </c>
      <c r="L331" s="4" t="s">
        <v>786</v>
      </c>
    </row>
    <row r="332" spans="1:12" ht="140" x14ac:dyDescent="0.35">
      <c r="A332" s="4" t="s">
        <v>817</v>
      </c>
      <c r="B332" s="4" t="s">
        <v>811</v>
      </c>
      <c r="C332" s="4" t="s">
        <v>811</v>
      </c>
      <c r="D332" s="4" t="s">
        <v>1754</v>
      </c>
      <c r="E332" s="4" t="s">
        <v>1894</v>
      </c>
      <c r="F332" s="4" t="s">
        <v>778</v>
      </c>
      <c r="G332" s="4" t="s">
        <v>73</v>
      </c>
      <c r="H332" s="4" t="s">
        <v>777</v>
      </c>
      <c r="I332" s="4" t="s">
        <v>247</v>
      </c>
      <c r="J332" s="4" t="s">
        <v>774</v>
      </c>
      <c r="K332" s="4" t="s">
        <v>1893</v>
      </c>
      <c r="L332" s="4" t="s">
        <v>786</v>
      </c>
    </row>
    <row r="333" spans="1:12" ht="140" x14ac:dyDescent="0.35">
      <c r="A333" s="4" t="s">
        <v>817</v>
      </c>
      <c r="B333" s="4" t="s">
        <v>811</v>
      </c>
      <c r="C333" s="4" t="s">
        <v>811</v>
      </c>
      <c r="D333" s="4" t="s">
        <v>1754</v>
      </c>
      <c r="E333" s="4" t="s">
        <v>1894</v>
      </c>
      <c r="F333" s="4" t="s">
        <v>778</v>
      </c>
      <c r="G333" s="4" t="s">
        <v>73</v>
      </c>
      <c r="H333" s="4" t="s">
        <v>777</v>
      </c>
      <c r="I333" s="4" t="s">
        <v>254</v>
      </c>
      <c r="J333" s="4" t="s">
        <v>774</v>
      </c>
      <c r="K333" s="4" t="s">
        <v>1893</v>
      </c>
      <c r="L333" s="4" t="s">
        <v>786</v>
      </c>
    </row>
    <row r="334" spans="1:12" ht="140" x14ac:dyDescent="0.35">
      <c r="A334" s="4" t="s">
        <v>834</v>
      </c>
      <c r="B334" s="4" t="s">
        <v>1895</v>
      </c>
      <c r="C334" s="4" t="s">
        <v>827</v>
      </c>
      <c r="D334" s="4" t="s">
        <v>1766</v>
      </c>
      <c r="E334" s="4" t="s">
        <v>1856</v>
      </c>
      <c r="F334" s="4" t="s">
        <v>778</v>
      </c>
      <c r="G334" s="4" t="s">
        <v>64</v>
      </c>
      <c r="H334" s="4" t="s">
        <v>777</v>
      </c>
      <c r="I334" s="4" t="s">
        <v>457</v>
      </c>
      <c r="J334" s="4" t="s">
        <v>774</v>
      </c>
      <c r="K334" s="4" t="s">
        <v>1893</v>
      </c>
      <c r="L334" s="4" t="s">
        <v>786</v>
      </c>
    </row>
    <row r="335" spans="1:12" ht="140" x14ac:dyDescent="0.35">
      <c r="A335" s="4" t="s">
        <v>817</v>
      </c>
      <c r="B335" s="4" t="s">
        <v>811</v>
      </c>
      <c r="C335" s="4" t="s">
        <v>811</v>
      </c>
      <c r="D335" s="4" t="s">
        <v>1754</v>
      </c>
      <c r="E335" s="4" t="s">
        <v>1894</v>
      </c>
      <c r="F335" s="4" t="s">
        <v>778</v>
      </c>
      <c r="G335" s="4" t="s">
        <v>305</v>
      </c>
      <c r="H335" s="4" t="s">
        <v>777</v>
      </c>
      <c r="I335" s="4" t="s">
        <v>457</v>
      </c>
      <c r="J335" s="4" t="s">
        <v>774</v>
      </c>
      <c r="K335" s="4" t="s">
        <v>1893</v>
      </c>
      <c r="L335" s="4" t="s">
        <v>786</v>
      </c>
    </row>
    <row r="336" spans="1:12" ht="140" x14ac:dyDescent="0.35">
      <c r="A336" s="4" t="s">
        <v>840</v>
      </c>
      <c r="B336" s="4" t="s">
        <v>840</v>
      </c>
      <c r="C336" s="4" t="s">
        <v>840</v>
      </c>
      <c r="D336" s="4" t="s">
        <v>1754</v>
      </c>
      <c r="E336" s="4" t="s">
        <v>1761</v>
      </c>
      <c r="F336" s="4" t="s">
        <v>778</v>
      </c>
      <c r="G336" s="4" t="s">
        <v>312</v>
      </c>
      <c r="H336" s="4" t="s">
        <v>777</v>
      </c>
      <c r="I336" s="4" t="s">
        <v>457</v>
      </c>
      <c r="J336" s="4" t="s">
        <v>774</v>
      </c>
      <c r="K336" s="4" t="s">
        <v>1893</v>
      </c>
      <c r="L336" s="4" t="s">
        <v>844</v>
      </c>
    </row>
    <row r="337" spans="1:12" ht="182" x14ac:dyDescent="0.35">
      <c r="A337" s="4" t="s">
        <v>848</v>
      </c>
      <c r="B337" s="4" t="s">
        <v>1896</v>
      </c>
      <c r="C337" s="4" t="s">
        <v>848</v>
      </c>
      <c r="D337" s="4" t="s">
        <v>1766</v>
      </c>
      <c r="E337" s="4" t="s">
        <v>1856</v>
      </c>
      <c r="F337" s="4" t="s">
        <v>778</v>
      </c>
      <c r="G337" s="4" t="s">
        <v>322</v>
      </c>
      <c r="H337" s="4" t="s">
        <v>777</v>
      </c>
      <c r="I337" s="4" t="s">
        <v>457</v>
      </c>
      <c r="J337" s="4" t="s">
        <v>774</v>
      </c>
      <c r="K337" s="4" t="s">
        <v>1893</v>
      </c>
      <c r="L337" s="4" t="s">
        <v>851</v>
      </c>
    </row>
    <row r="338" spans="1:12" ht="56" x14ac:dyDescent="0.35">
      <c r="A338" s="4" t="s">
        <v>866</v>
      </c>
      <c r="B338" s="4" t="s">
        <v>857</v>
      </c>
      <c r="C338" s="4" t="s">
        <v>857</v>
      </c>
      <c r="D338" s="4" t="s">
        <v>1897</v>
      </c>
      <c r="E338" s="4" t="s">
        <v>1898</v>
      </c>
      <c r="F338" s="4" t="s">
        <v>856</v>
      </c>
      <c r="G338" s="4" t="s">
        <v>84</v>
      </c>
      <c r="H338" s="4" t="s">
        <v>855</v>
      </c>
      <c r="I338" s="4" t="s">
        <v>457</v>
      </c>
      <c r="J338" s="4" t="s">
        <v>774</v>
      </c>
      <c r="K338" s="4" t="s">
        <v>1899</v>
      </c>
      <c r="L338" s="4" t="s">
        <v>863</v>
      </c>
    </row>
    <row r="339" spans="1:12" ht="42" x14ac:dyDescent="0.35">
      <c r="A339" s="4" t="s">
        <v>873</v>
      </c>
      <c r="B339" s="4" t="s">
        <v>873</v>
      </c>
      <c r="C339" s="4" t="s">
        <v>873</v>
      </c>
      <c r="D339" s="4" t="s">
        <v>1754</v>
      </c>
      <c r="E339" s="4" t="s">
        <v>1761</v>
      </c>
      <c r="F339" s="4" t="s">
        <v>872</v>
      </c>
      <c r="G339" s="4" t="s">
        <v>84</v>
      </c>
      <c r="H339" s="4" t="s">
        <v>871</v>
      </c>
      <c r="I339" s="4" t="s">
        <v>457</v>
      </c>
      <c r="J339" s="4" t="s">
        <v>869</v>
      </c>
      <c r="K339" s="4" t="s">
        <v>1900</v>
      </c>
      <c r="L339" s="4" t="s">
        <v>1901</v>
      </c>
    </row>
    <row r="340" spans="1:12" ht="84" x14ac:dyDescent="0.35">
      <c r="A340" s="4" t="s">
        <v>885</v>
      </c>
      <c r="B340" s="4" t="s">
        <v>885</v>
      </c>
      <c r="C340" s="4" t="s">
        <v>885</v>
      </c>
      <c r="D340" s="4" t="s">
        <v>1754</v>
      </c>
      <c r="E340" s="4" t="s">
        <v>1761</v>
      </c>
      <c r="F340" s="4" t="s">
        <v>884</v>
      </c>
      <c r="G340" s="4" t="s">
        <v>84</v>
      </c>
      <c r="H340" s="4" t="s">
        <v>883</v>
      </c>
      <c r="I340" s="4" t="s">
        <v>457</v>
      </c>
      <c r="J340" s="4" t="s">
        <v>869</v>
      </c>
      <c r="K340" s="4" t="s">
        <v>1902</v>
      </c>
      <c r="L340" s="4" t="s">
        <v>1903</v>
      </c>
    </row>
    <row r="341" spans="1:12" ht="56" x14ac:dyDescent="0.35">
      <c r="A341" s="4" t="s">
        <v>60</v>
      </c>
      <c r="B341" s="4" t="s">
        <v>1904</v>
      </c>
      <c r="C341" s="4" t="s">
        <v>901</v>
      </c>
      <c r="D341" s="4" t="s">
        <v>1766</v>
      </c>
      <c r="E341" s="4" t="s">
        <v>1844</v>
      </c>
      <c r="F341" s="4" t="s">
        <v>900</v>
      </c>
      <c r="G341" s="4" t="s">
        <v>47</v>
      </c>
      <c r="H341" s="4" t="s">
        <v>899</v>
      </c>
      <c r="I341" s="4" t="s">
        <v>40</v>
      </c>
      <c r="J341" s="4" t="s">
        <v>895</v>
      </c>
      <c r="K341" s="4" t="s">
        <v>1905</v>
      </c>
      <c r="L341" s="4" t="s">
        <v>907</v>
      </c>
    </row>
    <row r="342" spans="1:12" ht="56" x14ac:dyDescent="0.35">
      <c r="A342" s="4" t="s">
        <v>500</v>
      </c>
      <c r="B342" s="4" t="s">
        <v>1906</v>
      </c>
      <c r="C342" s="4" t="s">
        <v>901</v>
      </c>
      <c r="D342" s="4" t="s">
        <v>1766</v>
      </c>
      <c r="E342" s="4" t="s">
        <v>1844</v>
      </c>
      <c r="F342" s="4" t="s">
        <v>900</v>
      </c>
      <c r="G342" s="4" t="s">
        <v>47</v>
      </c>
      <c r="H342" s="4" t="s">
        <v>899</v>
      </c>
      <c r="I342" s="4" t="s">
        <v>40</v>
      </c>
      <c r="J342" s="4" t="s">
        <v>895</v>
      </c>
      <c r="K342" s="4" t="s">
        <v>1905</v>
      </c>
      <c r="L342" s="4" t="s">
        <v>907</v>
      </c>
    </row>
    <row r="343" spans="1:12" ht="56" x14ac:dyDescent="0.35">
      <c r="A343" s="4" t="s">
        <v>1836</v>
      </c>
      <c r="B343" s="4" t="s">
        <v>1836</v>
      </c>
      <c r="C343" s="4" t="s">
        <v>901</v>
      </c>
      <c r="D343" s="4" t="s">
        <v>1766</v>
      </c>
      <c r="E343" s="4" t="s">
        <v>1844</v>
      </c>
      <c r="F343" s="4" t="s">
        <v>900</v>
      </c>
      <c r="G343" s="4" t="s">
        <v>47</v>
      </c>
      <c r="H343" s="4" t="s">
        <v>899</v>
      </c>
      <c r="I343" s="4" t="s">
        <v>40</v>
      </c>
      <c r="J343" s="4" t="s">
        <v>895</v>
      </c>
      <c r="K343" s="4" t="s">
        <v>1905</v>
      </c>
      <c r="L343" s="4" t="s">
        <v>907</v>
      </c>
    </row>
    <row r="344" spans="1:12" ht="56" x14ac:dyDescent="0.35">
      <c r="A344" s="4" t="s">
        <v>60</v>
      </c>
      <c r="B344" s="4" t="s">
        <v>1904</v>
      </c>
      <c r="C344" s="4" t="s">
        <v>901</v>
      </c>
      <c r="D344" s="4" t="s">
        <v>1766</v>
      </c>
      <c r="E344" s="4" t="s">
        <v>1844</v>
      </c>
      <c r="F344" s="4" t="s">
        <v>900</v>
      </c>
      <c r="G344" s="4" t="s">
        <v>47</v>
      </c>
      <c r="H344" s="4" t="s">
        <v>899</v>
      </c>
      <c r="I344" s="4" t="s">
        <v>116</v>
      </c>
      <c r="J344" s="4" t="s">
        <v>895</v>
      </c>
      <c r="K344" s="4" t="s">
        <v>1905</v>
      </c>
      <c r="L344" s="4" t="s">
        <v>907</v>
      </c>
    </row>
    <row r="345" spans="1:12" ht="56" x14ac:dyDescent="0.35">
      <c r="A345" s="4" t="s">
        <v>500</v>
      </c>
      <c r="B345" s="4" t="s">
        <v>1906</v>
      </c>
      <c r="C345" s="4" t="s">
        <v>901</v>
      </c>
      <c r="D345" s="4" t="s">
        <v>1766</v>
      </c>
      <c r="E345" s="4" t="s">
        <v>1844</v>
      </c>
      <c r="F345" s="4" t="s">
        <v>900</v>
      </c>
      <c r="G345" s="4" t="s">
        <v>47</v>
      </c>
      <c r="H345" s="4" t="s">
        <v>899</v>
      </c>
      <c r="I345" s="4" t="s">
        <v>116</v>
      </c>
      <c r="J345" s="4" t="s">
        <v>895</v>
      </c>
      <c r="K345" s="4" t="s">
        <v>1905</v>
      </c>
      <c r="L345" s="4" t="s">
        <v>907</v>
      </c>
    </row>
    <row r="346" spans="1:12" ht="56" x14ac:dyDescent="0.35">
      <c r="A346" s="4" t="s">
        <v>1836</v>
      </c>
      <c r="B346" s="4" t="s">
        <v>1836</v>
      </c>
      <c r="C346" s="4" t="s">
        <v>901</v>
      </c>
      <c r="D346" s="4" t="s">
        <v>1766</v>
      </c>
      <c r="E346" s="4" t="s">
        <v>1844</v>
      </c>
      <c r="F346" s="4" t="s">
        <v>900</v>
      </c>
      <c r="G346" s="4" t="s">
        <v>47</v>
      </c>
      <c r="H346" s="4" t="s">
        <v>899</v>
      </c>
      <c r="I346" s="4" t="s">
        <v>116</v>
      </c>
      <c r="J346" s="4" t="s">
        <v>895</v>
      </c>
      <c r="K346" s="4" t="s">
        <v>1905</v>
      </c>
      <c r="L346" s="4" t="s">
        <v>907</v>
      </c>
    </row>
    <row r="347" spans="1:12" ht="56" x14ac:dyDescent="0.35">
      <c r="A347" s="4" t="s">
        <v>60</v>
      </c>
      <c r="B347" s="4" t="s">
        <v>1904</v>
      </c>
      <c r="C347" s="4" t="s">
        <v>901</v>
      </c>
      <c r="D347" s="4" t="s">
        <v>1766</v>
      </c>
      <c r="E347" s="4" t="s">
        <v>1844</v>
      </c>
      <c r="F347" s="4" t="s">
        <v>900</v>
      </c>
      <c r="G347" s="4" t="s">
        <v>47</v>
      </c>
      <c r="H347" s="4" t="s">
        <v>899</v>
      </c>
      <c r="I347" s="4" t="s">
        <v>123</v>
      </c>
      <c r="J347" s="4" t="s">
        <v>895</v>
      </c>
      <c r="K347" s="4" t="s">
        <v>1905</v>
      </c>
      <c r="L347" s="4" t="s">
        <v>907</v>
      </c>
    </row>
    <row r="348" spans="1:12" ht="56" x14ac:dyDescent="0.35">
      <c r="A348" s="4" t="s">
        <v>500</v>
      </c>
      <c r="B348" s="4" t="s">
        <v>1906</v>
      </c>
      <c r="C348" s="4" t="s">
        <v>901</v>
      </c>
      <c r="D348" s="4" t="s">
        <v>1766</v>
      </c>
      <c r="E348" s="4" t="s">
        <v>1844</v>
      </c>
      <c r="F348" s="4" t="s">
        <v>900</v>
      </c>
      <c r="G348" s="4" t="s">
        <v>47</v>
      </c>
      <c r="H348" s="4" t="s">
        <v>899</v>
      </c>
      <c r="I348" s="4" t="s">
        <v>123</v>
      </c>
      <c r="J348" s="4" t="s">
        <v>895</v>
      </c>
      <c r="K348" s="4" t="s">
        <v>1905</v>
      </c>
      <c r="L348" s="4" t="s">
        <v>907</v>
      </c>
    </row>
    <row r="349" spans="1:12" ht="56" x14ac:dyDescent="0.35">
      <c r="A349" s="4" t="s">
        <v>1836</v>
      </c>
      <c r="B349" s="4" t="s">
        <v>1836</v>
      </c>
      <c r="C349" s="4" t="s">
        <v>901</v>
      </c>
      <c r="D349" s="4" t="s">
        <v>1766</v>
      </c>
      <c r="E349" s="4" t="s">
        <v>1844</v>
      </c>
      <c r="F349" s="4" t="s">
        <v>900</v>
      </c>
      <c r="G349" s="4" t="s">
        <v>47</v>
      </c>
      <c r="H349" s="4" t="s">
        <v>899</v>
      </c>
      <c r="I349" s="4" t="s">
        <v>123</v>
      </c>
      <c r="J349" s="4" t="s">
        <v>895</v>
      </c>
      <c r="K349" s="4" t="s">
        <v>1905</v>
      </c>
      <c r="L349" s="4" t="s">
        <v>907</v>
      </c>
    </row>
    <row r="350" spans="1:12" ht="56" x14ac:dyDescent="0.35">
      <c r="A350" s="4" t="s">
        <v>60</v>
      </c>
      <c r="B350" s="4" t="s">
        <v>1904</v>
      </c>
      <c r="C350" s="4" t="s">
        <v>901</v>
      </c>
      <c r="D350" s="4" t="s">
        <v>1766</v>
      </c>
      <c r="E350" s="4" t="s">
        <v>1844</v>
      </c>
      <c r="F350" s="4" t="s">
        <v>900</v>
      </c>
      <c r="G350" s="4" t="s">
        <v>47</v>
      </c>
      <c r="H350" s="4" t="s">
        <v>899</v>
      </c>
      <c r="I350" s="4" t="s">
        <v>135</v>
      </c>
      <c r="J350" s="4" t="s">
        <v>895</v>
      </c>
      <c r="K350" s="4" t="s">
        <v>1905</v>
      </c>
      <c r="L350" s="4" t="s">
        <v>907</v>
      </c>
    </row>
    <row r="351" spans="1:12" ht="56" x14ac:dyDescent="0.35">
      <c r="A351" s="4" t="s">
        <v>500</v>
      </c>
      <c r="B351" s="4" t="s">
        <v>1906</v>
      </c>
      <c r="C351" s="4" t="s">
        <v>901</v>
      </c>
      <c r="D351" s="4" t="s">
        <v>1766</v>
      </c>
      <c r="E351" s="4" t="s">
        <v>1844</v>
      </c>
      <c r="F351" s="4" t="s">
        <v>900</v>
      </c>
      <c r="G351" s="4" t="s">
        <v>47</v>
      </c>
      <c r="H351" s="4" t="s">
        <v>899</v>
      </c>
      <c r="I351" s="4" t="s">
        <v>135</v>
      </c>
      <c r="J351" s="4" t="s">
        <v>895</v>
      </c>
      <c r="K351" s="4" t="s">
        <v>1905</v>
      </c>
      <c r="L351" s="4" t="s">
        <v>907</v>
      </c>
    </row>
    <row r="352" spans="1:12" ht="56" x14ac:dyDescent="0.35">
      <c r="A352" s="4" t="s">
        <v>1836</v>
      </c>
      <c r="B352" s="4" t="s">
        <v>1836</v>
      </c>
      <c r="C352" s="4" t="s">
        <v>901</v>
      </c>
      <c r="D352" s="4" t="s">
        <v>1766</v>
      </c>
      <c r="E352" s="4" t="s">
        <v>1844</v>
      </c>
      <c r="F352" s="4" t="s">
        <v>900</v>
      </c>
      <c r="G352" s="4" t="s">
        <v>47</v>
      </c>
      <c r="H352" s="4" t="s">
        <v>899</v>
      </c>
      <c r="I352" s="4" t="s">
        <v>135</v>
      </c>
      <c r="J352" s="4" t="s">
        <v>895</v>
      </c>
      <c r="K352" s="4" t="s">
        <v>1905</v>
      </c>
      <c r="L352" s="4" t="s">
        <v>907</v>
      </c>
    </row>
    <row r="353" spans="1:12" ht="56" x14ac:dyDescent="0.35">
      <c r="A353" s="4" t="s">
        <v>60</v>
      </c>
      <c r="B353" s="4" t="s">
        <v>1904</v>
      </c>
      <c r="C353" s="4" t="s">
        <v>901</v>
      </c>
      <c r="D353" s="4" t="s">
        <v>1766</v>
      </c>
      <c r="E353" s="4" t="s">
        <v>1844</v>
      </c>
      <c r="F353" s="4" t="s">
        <v>900</v>
      </c>
      <c r="G353" s="4" t="s">
        <v>47</v>
      </c>
      <c r="H353" s="4" t="s">
        <v>899</v>
      </c>
      <c r="I353" s="4" t="s">
        <v>142</v>
      </c>
      <c r="J353" s="4" t="s">
        <v>895</v>
      </c>
      <c r="K353" s="4" t="s">
        <v>1905</v>
      </c>
      <c r="L353" s="4" t="s">
        <v>907</v>
      </c>
    </row>
    <row r="354" spans="1:12" ht="56" x14ac:dyDescent="0.35">
      <c r="A354" s="4" t="s">
        <v>500</v>
      </c>
      <c r="B354" s="4" t="s">
        <v>1906</v>
      </c>
      <c r="C354" s="4" t="s">
        <v>901</v>
      </c>
      <c r="D354" s="4" t="s">
        <v>1766</v>
      </c>
      <c r="E354" s="4" t="s">
        <v>1844</v>
      </c>
      <c r="F354" s="4" t="s">
        <v>900</v>
      </c>
      <c r="G354" s="4" t="s">
        <v>47</v>
      </c>
      <c r="H354" s="4" t="s">
        <v>899</v>
      </c>
      <c r="I354" s="4" t="s">
        <v>142</v>
      </c>
      <c r="J354" s="4" t="s">
        <v>895</v>
      </c>
      <c r="K354" s="4" t="s">
        <v>1905</v>
      </c>
      <c r="L354" s="4" t="s">
        <v>907</v>
      </c>
    </row>
    <row r="355" spans="1:12" ht="56" x14ac:dyDescent="0.35">
      <c r="A355" s="4" t="s">
        <v>1836</v>
      </c>
      <c r="B355" s="4" t="s">
        <v>1836</v>
      </c>
      <c r="C355" s="4" t="s">
        <v>901</v>
      </c>
      <c r="D355" s="4" t="s">
        <v>1766</v>
      </c>
      <c r="E355" s="4" t="s">
        <v>1844</v>
      </c>
      <c r="F355" s="4" t="s">
        <v>900</v>
      </c>
      <c r="G355" s="4" t="s">
        <v>47</v>
      </c>
      <c r="H355" s="4" t="s">
        <v>899</v>
      </c>
      <c r="I355" s="4" t="s">
        <v>142</v>
      </c>
      <c r="J355" s="4" t="s">
        <v>895</v>
      </c>
      <c r="K355" s="4" t="s">
        <v>1905</v>
      </c>
      <c r="L355" s="4" t="s">
        <v>907</v>
      </c>
    </row>
    <row r="356" spans="1:12" ht="56" x14ac:dyDescent="0.35">
      <c r="A356" s="4" t="s">
        <v>60</v>
      </c>
      <c r="B356" s="4" t="s">
        <v>1904</v>
      </c>
      <c r="C356" s="4" t="s">
        <v>901</v>
      </c>
      <c r="D356" s="4" t="s">
        <v>1766</v>
      </c>
      <c r="E356" s="4" t="s">
        <v>1844</v>
      </c>
      <c r="F356" s="4" t="s">
        <v>900</v>
      </c>
      <c r="G356" s="4" t="s">
        <v>47</v>
      </c>
      <c r="H356" s="4" t="s">
        <v>899</v>
      </c>
      <c r="I356" s="4" t="s">
        <v>149</v>
      </c>
      <c r="J356" s="4" t="s">
        <v>895</v>
      </c>
      <c r="K356" s="4" t="s">
        <v>1905</v>
      </c>
      <c r="L356" s="4" t="s">
        <v>907</v>
      </c>
    </row>
    <row r="357" spans="1:12" ht="56" x14ac:dyDescent="0.35">
      <c r="A357" s="4" t="s">
        <v>500</v>
      </c>
      <c r="B357" s="4" t="s">
        <v>1906</v>
      </c>
      <c r="C357" s="4" t="s">
        <v>901</v>
      </c>
      <c r="D357" s="4" t="s">
        <v>1766</v>
      </c>
      <c r="E357" s="4" t="s">
        <v>1844</v>
      </c>
      <c r="F357" s="4" t="s">
        <v>900</v>
      </c>
      <c r="G357" s="4" t="s">
        <v>47</v>
      </c>
      <c r="H357" s="4" t="s">
        <v>899</v>
      </c>
      <c r="I357" s="4" t="s">
        <v>149</v>
      </c>
      <c r="J357" s="4" t="s">
        <v>895</v>
      </c>
      <c r="K357" s="4" t="s">
        <v>1905</v>
      </c>
      <c r="L357" s="4" t="s">
        <v>907</v>
      </c>
    </row>
    <row r="358" spans="1:12" ht="56" x14ac:dyDescent="0.35">
      <c r="A358" s="4" t="s">
        <v>1836</v>
      </c>
      <c r="B358" s="4" t="s">
        <v>1836</v>
      </c>
      <c r="C358" s="4" t="s">
        <v>901</v>
      </c>
      <c r="D358" s="4" t="s">
        <v>1766</v>
      </c>
      <c r="E358" s="4" t="s">
        <v>1844</v>
      </c>
      <c r="F358" s="4" t="s">
        <v>900</v>
      </c>
      <c r="G358" s="4" t="s">
        <v>47</v>
      </c>
      <c r="H358" s="4" t="s">
        <v>899</v>
      </c>
      <c r="I358" s="4" t="s">
        <v>149</v>
      </c>
      <c r="J358" s="4" t="s">
        <v>895</v>
      </c>
      <c r="K358" s="4" t="s">
        <v>1905</v>
      </c>
      <c r="L358" s="4" t="s">
        <v>907</v>
      </c>
    </row>
    <row r="359" spans="1:12" ht="56" x14ac:dyDescent="0.35">
      <c r="A359" s="4" t="s">
        <v>60</v>
      </c>
      <c r="B359" s="4" t="s">
        <v>1904</v>
      </c>
      <c r="C359" s="4" t="s">
        <v>901</v>
      </c>
      <c r="D359" s="4" t="s">
        <v>1766</v>
      </c>
      <c r="E359" s="4" t="s">
        <v>1844</v>
      </c>
      <c r="F359" s="4" t="s">
        <v>900</v>
      </c>
      <c r="G359" s="4" t="s">
        <v>47</v>
      </c>
      <c r="H359" s="4" t="s">
        <v>899</v>
      </c>
      <c r="I359" s="4" t="s">
        <v>156</v>
      </c>
      <c r="J359" s="4" t="s">
        <v>895</v>
      </c>
      <c r="K359" s="4" t="s">
        <v>1905</v>
      </c>
      <c r="L359" s="4" t="s">
        <v>907</v>
      </c>
    </row>
    <row r="360" spans="1:12" ht="56" x14ac:dyDescent="0.35">
      <c r="A360" s="4" t="s">
        <v>500</v>
      </c>
      <c r="B360" s="4" t="s">
        <v>1906</v>
      </c>
      <c r="C360" s="4" t="s">
        <v>901</v>
      </c>
      <c r="D360" s="4" t="s">
        <v>1766</v>
      </c>
      <c r="E360" s="4" t="s">
        <v>1844</v>
      </c>
      <c r="F360" s="4" t="s">
        <v>900</v>
      </c>
      <c r="G360" s="4" t="s">
        <v>47</v>
      </c>
      <c r="H360" s="4" t="s">
        <v>899</v>
      </c>
      <c r="I360" s="4" t="s">
        <v>156</v>
      </c>
      <c r="J360" s="4" t="s">
        <v>895</v>
      </c>
      <c r="K360" s="4" t="s">
        <v>1905</v>
      </c>
      <c r="L360" s="4" t="s">
        <v>907</v>
      </c>
    </row>
    <row r="361" spans="1:12" ht="56" x14ac:dyDescent="0.35">
      <c r="A361" s="4" t="s">
        <v>1836</v>
      </c>
      <c r="B361" s="4" t="s">
        <v>1836</v>
      </c>
      <c r="C361" s="4" t="s">
        <v>901</v>
      </c>
      <c r="D361" s="4" t="s">
        <v>1766</v>
      </c>
      <c r="E361" s="4" t="s">
        <v>1844</v>
      </c>
      <c r="F361" s="4" t="s">
        <v>900</v>
      </c>
      <c r="G361" s="4" t="s">
        <v>47</v>
      </c>
      <c r="H361" s="4" t="s">
        <v>899</v>
      </c>
      <c r="I361" s="4" t="s">
        <v>156</v>
      </c>
      <c r="J361" s="4" t="s">
        <v>895</v>
      </c>
      <c r="K361" s="4" t="s">
        <v>1905</v>
      </c>
      <c r="L361" s="4" t="s">
        <v>907</v>
      </c>
    </row>
    <row r="362" spans="1:12" ht="56" x14ac:dyDescent="0.35">
      <c r="A362" s="4" t="s">
        <v>60</v>
      </c>
      <c r="B362" s="4" t="s">
        <v>1904</v>
      </c>
      <c r="C362" s="4" t="s">
        <v>901</v>
      </c>
      <c r="D362" s="4" t="s">
        <v>1766</v>
      </c>
      <c r="E362" s="4" t="s">
        <v>1844</v>
      </c>
      <c r="F362" s="4" t="s">
        <v>900</v>
      </c>
      <c r="G362" s="4" t="s">
        <v>47</v>
      </c>
      <c r="H362" s="4" t="s">
        <v>899</v>
      </c>
      <c r="I362" s="4" t="s">
        <v>163</v>
      </c>
      <c r="J362" s="4" t="s">
        <v>895</v>
      </c>
      <c r="K362" s="4" t="s">
        <v>1905</v>
      </c>
      <c r="L362" s="4" t="s">
        <v>907</v>
      </c>
    </row>
    <row r="363" spans="1:12" ht="56" x14ac:dyDescent="0.35">
      <c r="A363" s="4" t="s">
        <v>500</v>
      </c>
      <c r="B363" s="4" t="s">
        <v>1906</v>
      </c>
      <c r="C363" s="4" t="s">
        <v>901</v>
      </c>
      <c r="D363" s="4" t="s">
        <v>1766</v>
      </c>
      <c r="E363" s="4" t="s">
        <v>1844</v>
      </c>
      <c r="F363" s="4" t="s">
        <v>900</v>
      </c>
      <c r="G363" s="4" t="s">
        <v>47</v>
      </c>
      <c r="H363" s="4" t="s">
        <v>899</v>
      </c>
      <c r="I363" s="4" t="s">
        <v>163</v>
      </c>
      <c r="J363" s="4" t="s">
        <v>895</v>
      </c>
      <c r="K363" s="4" t="s">
        <v>1905</v>
      </c>
      <c r="L363" s="4" t="s">
        <v>907</v>
      </c>
    </row>
    <row r="364" spans="1:12" ht="56" x14ac:dyDescent="0.35">
      <c r="A364" s="4" t="s">
        <v>1836</v>
      </c>
      <c r="B364" s="4" t="s">
        <v>1836</v>
      </c>
      <c r="C364" s="4" t="s">
        <v>901</v>
      </c>
      <c r="D364" s="4" t="s">
        <v>1766</v>
      </c>
      <c r="E364" s="4" t="s">
        <v>1844</v>
      </c>
      <c r="F364" s="4" t="s">
        <v>900</v>
      </c>
      <c r="G364" s="4" t="s">
        <v>47</v>
      </c>
      <c r="H364" s="4" t="s">
        <v>899</v>
      </c>
      <c r="I364" s="4" t="s">
        <v>163</v>
      </c>
      <c r="J364" s="4" t="s">
        <v>895</v>
      </c>
      <c r="K364" s="4" t="s">
        <v>1905</v>
      </c>
      <c r="L364" s="4" t="s">
        <v>907</v>
      </c>
    </row>
    <row r="365" spans="1:12" ht="56" x14ac:dyDescent="0.35">
      <c r="A365" s="4" t="s">
        <v>60</v>
      </c>
      <c r="B365" s="4" t="s">
        <v>1904</v>
      </c>
      <c r="C365" s="4" t="s">
        <v>901</v>
      </c>
      <c r="D365" s="4" t="s">
        <v>1766</v>
      </c>
      <c r="E365" s="4" t="s">
        <v>1844</v>
      </c>
      <c r="F365" s="4" t="s">
        <v>900</v>
      </c>
      <c r="G365" s="4" t="s">
        <v>47</v>
      </c>
      <c r="H365" s="4" t="s">
        <v>899</v>
      </c>
      <c r="I365" s="4" t="s">
        <v>170</v>
      </c>
      <c r="J365" s="4" t="s">
        <v>895</v>
      </c>
      <c r="K365" s="4" t="s">
        <v>1905</v>
      </c>
      <c r="L365" s="4" t="s">
        <v>907</v>
      </c>
    </row>
    <row r="366" spans="1:12" ht="56" x14ac:dyDescent="0.35">
      <c r="A366" s="4" t="s">
        <v>500</v>
      </c>
      <c r="B366" s="4" t="s">
        <v>1906</v>
      </c>
      <c r="C366" s="4" t="s">
        <v>901</v>
      </c>
      <c r="D366" s="4" t="s">
        <v>1766</v>
      </c>
      <c r="E366" s="4" t="s">
        <v>1844</v>
      </c>
      <c r="F366" s="4" t="s">
        <v>900</v>
      </c>
      <c r="G366" s="4" t="s">
        <v>47</v>
      </c>
      <c r="H366" s="4" t="s">
        <v>899</v>
      </c>
      <c r="I366" s="4" t="s">
        <v>170</v>
      </c>
      <c r="J366" s="4" t="s">
        <v>895</v>
      </c>
      <c r="K366" s="4" t="s">
        <v>1905</v>
      </c>
      <c r="L366" s="4" t="s">
        <v>907</v>
      </c>
    </row>
    <row r="367" spans="1:12" ht="56" x14ac:dyDescent="0.35">
      <c r="A367" s="4" t="s">
        <v>1836</v>
      </c>
      <c r="B367" s="4" t="s">
        <v>1836</v>
      </c>
      <c r="C367" s="4" t="s">
        <v>901</v>
      </c>
      <c r="D367" s="4" t="s">
        <v>1766</v>
      </c>
      <c r="E367" s="4" t="s">
        <v>1844</v>
      </c>
      <c r="F367" s="4" t="s">
        <v>900</v>
      </c>
      <c r="G367" s="4" t="s">
        <v>47</v>
      </c>
      <c r="H367" s="4" t="s">
        <v>899</v>
      </c>
      <c r="I367" s="4" t="s">
        <v>170</v>
      </c>
      <c r="J367" s="4" t="s">
        <v>895</v>
      </c>
      <c r="K367" s="4" t="s">
        <v>1905</v>
      </c>
      <c r="L367" s="4" t="s">
        <v>907</v>
      </c>
    </row>
    <row r="368" spans="1:12" ht="56" x14ac:dyDescent="0.35">
      <c r="A368" s="4" t="s">
        <v>491</v>
      </c>
      <c r="B368" s="4" t="s">
        <v>1907</v>
      </c>
      <c r="C368" s="4" t="s">
        <v>920</v>
      </c>
      <c r="D368" s="4" t="s">
        <v>1766</v>
      </c>
      <c r="E368" s="4" t="s">
        <v>1870</v>
      </c>
      <c r="F368" s="4" t="s">
        <v>900</v>
      </c>
      <c r="G368" s="4" t="s">
        <v>124</v>
      </c>
      <c r="H368" s="4" t="s">
        <v>899</v>
      </c>
      <c r="I368" s="4" t="s">
        <v>163</v>
      </c>
      <c r="J368" s="4" t="s">
        <v>895</v>
      </c>
      <c r="K368" s="4" t="s">
        <v>1905</v>
      </c>
      <c r="L368" s="4" t="s">
        <v>907</v>
      </c>
    </row>
    <row r="369" spans="1:12" ht="56" x14ac:dyDescent="0.35">
      <c r="A369" s="4" t="s">
        <v>1843</v>
      </c>
      <c r="B369" s="4" t="s">
        <v>1843</v>
      </c>
      <c r="C369" s="4" t="s">
        <v>920</v>
      </c>
      <c r="D369" s="4" t="s">
        <v>1766</v>
      </c>
      <c r="E369" s="4" t="s">
        <v>1844</v>
      </c>
      <c r="F369" s="4" t="s">
        <v>900</v>
      </c>
      <c r="G369" s="4" t="s">
        <v>124</v>
      </c>
      <c r="H369" s="4" t="s">
        <v>899</v>
      </c>
      <c r="I369" s="4" t="s">
        <v>163</v>
      </c>
      <c r="J369" s="4" t="s">
        <v>895</v>
      </c>
      <c r="K369" s="4" t="s">
        <v>1905</v>
      </c>
      <c r="L369" s="4" t="s">
        <v>907</v>
      </c>
    </row>
    <row r="370" spans="1:12" ht="56" x14ac:dyDescent="0.35">
      <c r="A370" s="4" t="s">
        <v>491</v>
      </c>
      <c r="B370" s="4" t="s">
        <v>1907</v>
      </c>
      <c r="C370" s="4" t="s">
        <v>920</v>
      </c>
      <c r="D370" s="4" t="s">
        <v>1766</v>
      </c>
      <c r="E370" s="4" t="s">
        <v>1870</v>
      </c>
      <c r="F370" s="4" t="s">
        <v>900</v>
      </c>
      <c r="G370" s="4" t="s">
        <v>124</v>
      </c>
      <c r="H370" s="4" t="s">
        <v>899</v>
      </c>
      <c r="I370" s="4" t="s">
        <v>170</v>
      </c>
      <c r="J370" s="4" t="s">
        <v>895</v>
      </c>
      <c r="K370" s="4" t="s">
        <v>1905</v>
      </c>
      <c r="L370" s="4" t="s">
        <v>907</v>
      </c>
    </row>
    <row r="371" spans="1:12" ht="56" x14ac:dyDescent="0.35">
      <c r="A371" s="4" t="s">
        <v>1843</v>
      </c>
      <c r="B371" s="4" t="s">
        <v>1843</v>
      </c>
      <c r="C371" s="4" t="s">
        <v>920</v>
      </c>
      <c r="D371" s="4" t="s">
        <v>1766</v>
      </c>
      <c r="E371" s="4" t="s">
        <v>1844</v>
      </c>
      <c r="F371" s="4" t="s">
        <v>900</v>
      </c>
      <c r="G371" s="4" t="s">
        <v>124</v>
      </c>
      <c r="H371" s="4" t="s">
        <v>899</v>
      </c>
      <c r="I371" s="4" t="s">
        <v>170</v>
      </c>
      <c r="J371" s="4" t="s">
        <v>895</v>
      </c>
      <c r="K371" s="4" t="s">
        <v>1905</v>
      </c>
      <c r="L371" s="4" t="s">
        <v>907</v>
      </c>
    </row>
    <row r="372" spans="1:12" ht="56" x14ac:dyDescent="0.35">
      <c r="A372" s="4" t="s">
        <v>491</v>
      </c>
      <c r="B372" s="4" t="s">
        <v>1907</v>
      </c>
      <c r="C372" s="4" t="s">
        <v>920</v>
      </c>
      <c r="D372" s="4" t="s">
        <v>1766</v>
      </c>
      <c r="E372" s="4" t="s">
        <v>1870</v>
      </c>
      <c r="F372" s="4" t="s">
        <v>900</v>
      </c>
      <c r="G372" s="4" t="s">
        <v>124</v>
      </c>
      <c r="H372" s="4" t="s">
        <v>899</v>
      </c>
      <c r="I372" s="4" t="s">
        <v>177</v>
      </c>
      <c r="J372" s="4" t="s">
        <v>895</v>
      </c>
      <c r="K372" s="4" t="s">
        <v>1905</v>
      </c>
      <c r="L372" s="4" t="s">
        <v>907</v>
      </c>
    </row>
    <row r="373" spans="1:12" ht="56" x14ac:dyDescent="0.35">
      <c r="A373" s="4" t="s">
        <v>1843</v>
      </c>
      <c r="B373" s="4" t="s">
        <v>1843</v>
      </c>
      <c r="C373" s="4" t="s">
        <v>920</v>
      </c>
      <c r="D373" s="4" t="s">
        <v>1766</v>
      </c>
      <c r="E373" s="4" t="s">
        <v>1844</v>
      </c>
      <c r="F373" s="4" t="s">
        <v>900</v>
      </c>
      <c r="G373" s="4" t="s">
        <v>124</v>
      </c>
      <c r="H373" s="4" t="s">
        <v>899</v>
      </c>
      <c r="I373" s="4" t="s">
        <v>177</v>
      </c>
      <c r="J373" s="4" t="s">
        <v>895</v>
      </c>
      <c r="K373" s="4" t="s">
        <v>1905</v>
      </c>
      <c r="L373" s="4" t="s">
        <v>907</v>
      </c>
    </row>
    <row r="374" spans="1:12" ht="56" x14ac:dyDescent="0.35">
      <c r="A374" s="4" t="s">
        <v>491</v>
      </c>
      <c r="B374" s="4" t="s">
        <v>1907</v>
      </c>
      <c r="C374" s="4" t="s">
        <v>920</v>
      </c>
      <c r="D374" s="4" t="s">
        <v>1766</v>
      </c>
      <c r="E374" s="4" t="s">
        <v>1870</v>
      </c>
      <c r="F374" s="4" t="s">
        <v>900</v>
      </c>
      <c r="G374" s="4" t="s">
        <v>124</v>
      </c>
      <c r="H374" s="4" t="s">
        <v>899</v>
      </c>
      <c r="I374" s="4" t="s">
        <v>184</v>
      </c>
      <c r="J374" s="4" t="s">
        <v>895</v>
      </c>
      <c r="K374" s="4" t="s">
        <v>1905</v>
      </c>
      <c r="L374" s="4" t="s">
        <v>907</v>
      </c>
    </row>
    <row r="375" spans="1:12" ht="56" x14ac:dyDescent="0.35">
      <c r="A375" s="4" t="s">
        <v>1843</v>
      </c>
      <c r="B375" s="4" t="s">
        <v>1843</v>
      </c>
      <c r="C375" s="4" t="s">
        <v>920</v>
      </c>
      <c r="D375" s="4" t="s">
        <v>1766</v>
      </c>
      <c r="E375" s="4" t="s">
        <v>1844</v>
      </c>
      <c r="F375" s="4" t="s">
        <v>900</v>
      </c>
      <c r="G375" s="4" t="s">
        <v>124</v>
      </c>
      <c r="H375" s="4" t="s">
        <v>899</v>
      </c>
      <c r="I375" s="4" t="s">
        <v>184</v>
      </c>
      <c r="J375" s="4" t="s">
        <v>895</v>
      </c>
      <c r="K375" s="4" t="s">
        <v>1905</v>
      </c>
      <c r="L375" s="4" t="s">
        <v>907</v>
      </c>
    </row>
    <row r="376" spans="1:12" ht="56" x14ac:dyDescent="0.35">
      <c r="A376" s="4" t="s">
        <v>491</v>
      </c>
      <c r="B376" s="4" t="s">
        <v>1907</v>
      </c>
      <c r="C376" s="4" t="s">
        <v>920</v>
      </c>
      <c r="D376" s="4" t="s">
        <v>1766</v>
      </c>
      <c r="E376" s="4" t="s">
        <v>1870</v>
      </c>
      <c r="F376" s="4" t="s">
        <v>900</v>
      </c>
      <c r="G376" s="4" t="s">
        <v>124</v>
      </c>
      <c r="H376" s="4" t="s">
        <v>899</v>
      </c>
      <c r="I376" s="4" t="s">
        <v>191</v>
      </c>
      <c r="J376" s="4" t="s">
        <v>895</v>
      </c>
      <c r="K376" s="4" t="s">
        <v>1905</v>
      </c>
      <c r="L376" s="4" t="s">
        <v>907</v>
      </c>
    </row>
    <row r="377" spans="1:12" ht="56" x14ac:dyDescent="0.35">
      <c r="A377" s="4" t="s">
        <v>1843</v>
      </c>
      <c r="B377" s="4" t="s">
        <v>1843</v>
      </c>
      <c r="C377" s="4" t="s">
        <v>920</v>
      </c>
      <c r="D377" s="4" t="s">
        <v>1766</v>
      </c>
      <c r="E377" s="4" t="s">
        <v>1844</v>
      </c>
      <c r="F377" s="4" t="s">
        <v>900</v>
      </c>
      <c r="G377" s="4" t="s">
        <v>124</v>
      </c>
      <c r="H377" s="4" t="s">
        <v>899</v>
      </c>
      <c r="I377" s="4" t="s">
        <v>191</v>
      </c>
      <c r="J377" s="4" t="s">
        <v>895</v>
      </c>
      <c r="K377" s="4" t="s">
        <v>1905</v>
      </c>
      <c r="L377" s="4" t="s">
        <v>907</v>
      </c>
    </row>
    <row r="378" spans="1:12" ht="56" x14ac:dyDescent="0.35">
      <c r="A378" s="4" t="s">
        <v>491</v>
      </c>
      <c r="B378" s="4" t="s">
        <v>1907</v>
      </c>
      <c r="C378" s="4" t="s">
        <v>920</v>
      </c>
      <c r="D378" s="4" t="s">
        <v>1766</v>
      </c>
      <c r="E378" s="4" t="s">
        <v>1870</v>
      </c>
      <c r="F378" s="4" t="s">
        <v>900</v>
      </c>
      <c r="G378" s="4" t="s">
        <v>124</v>
      </c>
      <c r="H378" s="4" t="s">
        <v>899</v>
      </c>
      <c r="I378" s="4" t="s">
        <v>226</v>
      </c>
      <c r="J378" s="4" t="s">
        <v>895</v>
      </c>
      <c r="K378" s="4" t="s">
        <v>1905</v>
      </c>
      <c r="L378" s="4" t="s">
        <v>907</v>
      </c>
    </row>
    <row r="379" spans="1:12" ht="56" x14ac:dyDescent="0.35">
      <c r="A379" s="4" t="s">
        <v>1843</v>
      </c>
      <c r="B379" s="4" t="s">
        <v>1843</v>
      </c>
      <c r="C379" s="4" t="s">
        <v>920</v>
      </c>
      <c r="D379" s="4" t="s">
        <v>1766</v>
      </c>
      <c r="E379" s="4" t="s">
        <v>1844</v>
      </c>
      <c r="F379" s="4" t="s">
        <v>900</v>
      </c>
      <c r="G379" s="4" t="s">
        <v>124</v>
      </c>
      <c r="H379" s="4" t="s">
        <v>899</v>
      </c>
      <c r="I379" s="4" t="s">
        <v>226</v>
      </c>
      <c r="J379" s="4" t="s">
        <v>895</v>
      </c>
      <c r="K379" s="4" t="s">
        <v>1905</v>
      </c>
      <c r="L379" s="4" t="s">
        <v>907</v>
      </c>
    </row>
    <row r="380" spans="1:12" ht="56" x14ac:dyDescent="0.35">
      <c r="A380" s="4" t="s">
        <v>940</v>
      </c>
      <c r="B380" s="4" t="s">
        <v>1908</v>
      </c>
      <c r="C380" s="4" t="s">
        <v>934</v>
      </c>
      <c r="D380" s="4" t="s">
        <v>1766</v>
      </c>
      <c r="E380" s="4" t="s">
        <v>1844</v>
      </c>
      <c r="F380" s="4" t="s">
        <v>900</v>
      </c>
      <c r="G380" s="4" t="s">
        <v>73</v>
      </c>
      <c r="H380" s="4" t="s">
        <v>899</v>
      </c>
      <c r="I380" s="4" t="s">
        <v>198</v>
      </c>
      <c r="J380" s="4" t="s">
        <v>895</v>
      </c>
      <c r="K380" s="4" t="s">
        <v>1905</v>
      </c>
      <c r="L380" s="4" t="s">
        <v>907</v>
      </c>
    </row>
    <row r="381" spans="1:12" ht="56" x14ac:dyDescent="0.35">
      <c r="A381" s="4" t="s">
        <v>940</v>
      </c>
      <c r="B381" s="4" t="s">
        <v>1908</v>
      </c>
      <c r="C381" s="4" t="s">
        <v>934</v>
      </c>
      <c r="D381" s="4" t="s">
        <v>1766</v>
      </c>
      <c r="E381" s="4" t="s">
        <v>1844</v>
      </c>
      <c r="F381" s="4" t="s">
        <v>900</v>
      </c>
      <c r="G381" s="4" t="s">
        <v>73</v>
      </c>
      <c r="H381" s="4" t="s">
        <v>899</v>
      </c>
      <c r="I381" s="4" t="s">
        <v>205</v>
      </c>
      <c r="J381" s="4" t="s">
        <v>895</v>
      </c>
      <c r="K381" s="4" t="s">
        <v>1905</v>
      </c>
      <c r="L381" s="4" t="s">
        <v>907</v>
      </c>
    </row>
    <row r="382" spans="1:12" ht="56" x14ac:dyDescent="0.35">
      <c r="A382" s="4" t="s">
        <v>940</v>
      </c>
      <c r="B382" s="4" t="s">
        <v>1908</v>
      </c>
      <c r="C382" s="4" t="s">
        <v>934</v>
      </c>
      <c r="D382" s="4" t="s">
        <v>1766</v>
      </c>
      <c r="E382" s="4" t="s">
        <v>1844</v>
      </c>
      <c r="F382" s="4" t="s">
        <v>900</v>
      </c>
      <c r="G382" s="4" t="s">
        <v>73</v>
      </c>
      <c r="H382" s="4" t="s">
        <v>899</v>
      </c>
      <c r="I382" s="4" t="s">
        <v>212</v>
      </c>
      <c r="J382" s="4" t="s">
        <v>895</v>
      </c>
      <c r="K382" s="4" t="s">
        <v>1905</v>
      </c>
      <c r="L382" s="4" t="s">
        <v>907</v>
      </c>
    </row>
    <row r="383" spans="1:12" ht="56" x14ac:dyDescent="0.35">
      <c r="A383" s="4" t="s">
        <v>940</v>
      </c>
      <c r="B383" s="4" t="s">
        <v>1908</v>
      </c>
      <c r="C383" s="4" t="s">
        <v>934</v>
      </c>
      <c r="D383" s="4" t="s">
        <v>1766</v>
      </c>
      <c r="E383" s="4" t="s">
        <v>1844</v>
      </c>
      <c r="F383" s="4" t="s">
        <v>900</v>
      </c>
      <c r="G383" s="4" t="s">
        <v>73</v>
      </c>
      <c r="H383" s="4" t="s">
        <v>899</v>
      </c>
      <c r="I383" s="4" t="s">
        <v>219</v>
      </c>
      <c r="J383" s="4" t="s">
        <v>895</v>
      </c>
      <c r="K383" s="4" t="s">
        <v>1905</v>
      </c>
      <c r="L383" s="4" t="s">
        <v>907</v>
      </c>
    </row>
    <row r="384" spans="1:12" ht="56" x14ac:dyDescent="0.35">
      <c r="A384" s="4" t="s">
        <v>940</v>
      </c>
      <c r="B384" s="4" t="s">
        <v>1908</v>
      </c>
      <c r="C384" s="4" t="s">
        <v>934</v>
      </c>
      <c r="D384" s="4" t="s">
        <v>1766</v>
      </c>
      <c r="E384" s="4" t="s">
        <v>1844</v>
      </c>
      <c r="F384" s="4" t="s">
        <v>900</v>
      </c>
      <c r="G384" s="4" t="s">
        <v>73</v>
      </c>
      <c r="H384" s="4" t="s">
        <v>899</v>
      </c>
      <c r="I384" s="4" t="s">
        <v>233</v>
      </c>
      <c r="J384" s="4" t="s">
        <v>895</v>
      </c>
      <c r="K384" s="4" t="s">
        <v>1905</v>
      </c>
      <c r="L384" s="4" t="s">
        <v>907</v>
      </c>
    </row>
    <row r="385" spans="1:12" ht="56" x14ac:dyDescent="0.35">
      <c r="A385" s="4" t="s">
        <v>940</v>
      </c>
      <c r="B385" s="4" t="s">
        <v>1908</v>
      </c>
      <c r="C385" s="4" t="s">
        <v>934</v>
      </c>
      <c r="D385" s="4" t="s">
        <v>1766</v>
      </c>
      <c r="E385" s="4" t="s">
        <v>1844</v>
      </c>
      <c r="F385" s="4" t="s">
        <v>900</v>
      </c>
      <c r="G385" s="4" t="s">
        <v>73</v>
      </c>
      <c r="H385" s="4" t="s">
        <v>899</v>
      </c>
      <c r="I385" s="4" t="s">
        <v>240</v>
      </c>
      <c r="J385" s="4" t="s">
        <v>895</v>
      </c>
      <c r="K385" s="4" t="s">
        <v>1905</v>
      </c>
      <c r="L385" s="4" t="s">
        <v>907</v>
      </c>
    </row>
    <row r="386" spans="1:12" ht="56" x14ac:dyDescent="0.35">
      <c r="A386" s="4" t="s">
        <v>940</v>
      </c>
      <c r="B386" s="4" t="s">
        <v>1908</v>
      </c>
      <c r="C386" s="4" t="s">
        <v>934</v>
      </c>
      <c r="D386" s="4" t="s">
        <v>1766</v>
      </c>
      <c r="E386" s="4" t="s">
        <v>1844</v>
      </c>
      <c r="F386" s="4" t="s">
        <v>900</v>
      </c>
      <c r="G386" s="4" t="s">
        <v>73</v>
      </c>
      <c r="H386" s="4" t="s">
        <v>899</v>
      </c>
      <c r="I386" s="4" t="s">
        <v>247</v>
      </c>
      <c r="J386" s="4" t="s">
        <v>895</v>
      </c>
      <c r="K386" s="4" t="s">
        <v>1905</v>
      </c>
      <c r="L386" s="4" t="s">
        <v>907</v>
      </c>
    </row>
    <row r="387" spans="1:12" ht="56" x14ac:dyDescent="0.35">
      <c r="A387" s="4" t="s">
        <v>940</v>
      </c>
      <c r="B387" s="4" t="s">
        <v>1908</v>
      </c>
      <c r="C387" s="4" t="s">
        <v>934</v>
      </c>
      <c r="D387" s="4" t="s">
        <v>1766</v>
      </c>
      <c r="E387" s="4" t="s">
        <v>1844</v>
      </c>
      <c r="F387" s="4" t="s">
        <v>900</v>
      </c>
      <c r="G387" s="4" t="s">
        <v>73</v>
      </c>
      <c r="H387" s="4" t="s">
        <v>899</v>
      </c>
      <c r="I387" s="4" t="s">
        <v>254</v>
      </c>
      <c r="J387" s="4" t="s">
        <v>895</v>
      </c>
      <c r="K387" s="4" t="s">
        <v>1905</v>
      </c>
      <c r="L387" s="4" t="s">
        <v>907</v>
      </c>
    </row>
    <row r="388" spans="1:12" ht="98" x14ac:dyDescent="0.35">
      <c r="A388" s="4" t="s">
        <v>804</v>
      </c>
      <c r="B388" s="4" t="s">
        <v>1909</v>
      </c>
      <c r="C388" s="4" t="s">
        <v>1002</v>
      </c>
      <c r="D388" s="4" t="s">
        <v>1766</v>
      </c>
      <c r="E388" s="4" t="s">
        <v>1844</v>
      </c>
      <c r="F388" s="4" t="s">
        <v>1001</v>
      </c>
      <c r="G388" s="4" t="s">
        <v>84</v>
      </c>
      <c r="H388" s="4" t="s">
        <v>1000</v>
      </c>
      <c r="I388" s="4" t="s">
        <v>457</v>
      </c>
      <c r="J388" s="4" t="s">
        <v>895</v>
      </c>
      <c r="K388" s="4" t="s">
        <v>1910</v>
      </c>
      <c r="L388" s="4" t="s">
        <v>1911</v>
      </c>
    </row>
    <row r="389" spans="1:12" ht="126" x14ac:dyDescent="0.35">
      <c r="A389" s="4" t="s">
        <v>491</v>
      </c>
      <c r="B389" s="4" t="s">
        <v>1907</v>
      </c>
      <c r="C389" s="4" t="s">
        <v>1013</v>
      </c>
      <c r="D389" s="4" t="s">
        <v>1766</v>
      </c>
      <c r="E389" s="4" t="s">
        <v>1870</v>
      </c>
      <c r="F389" s="4" t="s">
        <v>1012</v>
      </c>
      <c r="G389" s="4" t="s">
        <v>84</v>
      </c>
      <c r="H389" s="4" t="s">
        <v>1011</v>
      </c>
      <c r="I389" s="4" t="s">
        <v>457</v>
      </c>
      <c r="J389" s="4" t="s">
        <v>895</v>
      </c>
      <c r="K389" s="4" t="s">
        <v>1910</v>
      </c>
      <c r="L389" s="4" t="s">
        <v>1912</v>
      </c>
    </row>
    <row r="390" spans="1:12" ht="126" x14ac:dyDescent="0.35">
      <c r="A390" s="4" t="s">
        <v>940</v>
      </c>
      <c r="B390" s="4" t="s">
        <v>1908</v>
      </c>
      <c r="C390" s="4" t="s">
        <v>1013</v>
      </c>
      <c r="D390" s="4" t="s">
        <v>1766</v>
      </c>
      <c r="E390" s="4" t="s">
        <v>1844</v>
      </c>
      <c r="F390" s="4" t="s">
        <v>1012</v>
      </c>
      <c r="G390" s="4" t="s">
        <v>84</v>
      </c>
      <c r="H390" s="4" t="s">
        <v>1011</v>
      </c>
      <c r="I390" s="4" t="s">
        <v>457</v>
      </c>
      <c r="J390" s="4" t="s">
        <v>895</v>
      </c>
      <c r="K390" s="4" t="s">
        <v>1910</v>
      </c>
      <c r="L390" s="4" t="s">
        <v>1912</v>
      </c>
    </row>
    <row r="391" spans="1:12" ht="126" x14ac:dyDescent="0.35">
      <c r="A391" s="4" t="s">
        <v>1034</v>
      </c>
      <c r="B391" s="4" t="s">
        <v>1026</v>
      </c>
      <c r="C391" s="4" t="s">
        <v>1026</v>
      </c>
      <c r="D391" s="4" t="s">
        <v>1754</v>
      </c>
      <c r="E391" s="4" t="s">
        <v>1755</v>
      </c>
      <c r="F391" s="4" t="s">
        <v>1025</v>
      </c>
      <c r="G391" s="4" t="s">
        <v>84</v>
      </c>
      <c r="H391" s="4" t="s">
        <v>1024</v>
      </c>
      <c r="I391" s="4" t="s">
        <v>457</v>
      </c>
      <c r="J391" s="4" t="s">
        <v>895</v>
      </c>
      <c r="K391" s="4" t="s">
        <v>1913</v>
      </c>
      <c r="L391" s="4" t="s">
        <v>1914</v>
      </c>
    </row>
    <row r="392" spans="1:12" ht="42" x14ac:dyDescent="0.35">
      <c r="A392" s="4" t="s">
        <v>1840</v>
      </c>
      <c r="B392" s="4" t="s">
        <v>1915</v>
      </c>
      <c r="C392" s="4" t="s">
        <v>1038</v>
      </c>
      <c r="D392" s="4" t="s">
        <v>1766</v>
      </c>
      <c r="E392" s="4" t="s">
        <v>1844</v>
      </c>
      <c r="F392" s="4" t="s">
        <v>1037</v>
      </c>
      <c r="G392" s="4" t="s">
        <v>84</v>
      </c>
      <c r="H392" s="4" t="s">
        <v>1036</v>
      </c>
      <c r="I392" s="4" t="s">
        <v>457</v>
      </c>
      <c r="J392" s="4" t="s">
        <v>895</v>
      </c>
      <c r="K392" s="4" t="s">
        <v>1916</v>
      </c>
      <c r="L392" s="4" t="s">
        <v>1043</v>
      </c>
    </row>
    <row r="393" spans="1:12" ht="42" x14ac:dyDescent="0.35">
      <c r="A393" s="4" t="s">
        <v>1157</v>
      </c>
      <c r="B393" s="4" t="s">
        <v>1917</v>
      </c>
      <c r="C393" s="4" t="s">
        <v>1038</v>
      </c>
      <c r="D393" s="4" t="s">
        <v>1766</v>
      </c>
      <c r="E393" s="4" t="s">
        <v>1844</v>
      </c>
      <c r="F393" s="4" t="s">
        <v>1037</v>
      </c>
      <c r="G393" s="4" t="s">
        <v>84</v>
      </c>
      <c r="H393" s="4" t="s">
        <v>1036</v>
      </c>
      <c r="I393" s="4" t="s">
        <v>457</v>
      </c>
      <c r="J393" s="4" t="s">
        <v>895</v>
      </c>
      <c r="K393" s="4" t="s">
        <v>1916</v>
      </c>
      <c r="L393" s="4" t="s">
        <v>1043</v>
      </c>
    </row>
    <row r="394" spans="1:12" ht="70" x14ac:dyDescent="0.35">
      <c r="A394" s="4" t="s">
        <v>1058</v>
      </c>
      <c r="B394" s="4" t="s">
        <v>1050</v>
      </c>
      <c r="C394" s="4" t="s">
        <v>1050</v>
      </c>
      <c r="D394" s="4" t="s">
        <v>1754</v>
      </c>
      <c r="E394" s="4" t="s">
        <v>1755</v>
      </c>
      <c r="F394" s="4" t="s">
        <v>1049</v>
      </c>
      <c r="G394" s="4" t="s">
        <v>47</v>
      </c>
      <c r="H394" s="4" t="s">
        <v>1048</v>
      </c>
      <c r="I394" s="4" t="s">
        <v>457</v>
      </c>
      <c r="J394" s="4" t="s">
        <v>895</v>
      </c>
      <c r="K394" s="4" t="s">
        <v>1918</v>
      </c>
      <c r="L394" s="4" t="s">
        <v>1055</v>
      </c>
    </row>
    <row r="395" spans="1:12" ht="70" x14ac:dyDescent="0.35">
      <c r="A395" s="4" t="s">
        <v>1058</v>
      </c>
      <c r="B395" s="4" t="s">
        <v>1050</v>
      </c>
      <c r="C395" s="4" t="s">
        <v>1050</v>
      </c>
      <c r="D395" s="4" t="s">
        <v>1754</v>
      </c>
      <c r="E395" s="4" t="s">
        <v>1755</v>
      </c>
      <c r="F395" s="4" t="s">
        <v>1049</v>
      </c>
      <c r="G395" s="4" t="s">
        <v>124</v>
      </c>
      <c r="H395" s="4" t="s">
        <v>1048</v>
      </c>
      <c r="I395" s="4" t="s">
        <v>457</v>
      </c>
      <c r="J395" s="4" t="s">
        <v>895</v>
      </c>
      <c r="K395" s="4" t="s">
        <v>1918</v>
      </c>
      <c r="L395" s="4" t="s">
        <v>1055</v>
      </c>
    </row>
    <row r="396" spans="1:12" ht="70" x14ac:dyDescent="0.35">
      <c r="A396" s="4" t="s">
        <v>1058</v>
      </c>
      <c r="B396" s="4" t="s">
        <v>1050</v>
      </c>
      <c r="C396" s="4" t="s">
        <v>1050</v>
      </c>
      <c r="D396" s="4" t="s">
        <v>1754</v>
      </c>
      <c r="E396" s="4" t="s">
        <v>1755</v>
      </c>
      <c r="F396" s="4" t="s">
        <v>1063</v>
      </c>
      <c r="G396" s="4" t="s">
        <v>47</v>
      </c>
      <c r="H396" s="4" t="s">
        <v>1062</v>
      </c>
      <c r="I396" s="4" t="s">
        <v>457</v>
      </c>
      <c r="J396" s="4" t="s">
        <v>895</v>
      </c>
      <c r="K396" s="4" t="s">
        <v>1919</v>
      </c>
      <c r="L396" s="4" t="s">
        <v>1068</v>
      </c>
    </row>
    <row r="397" spans="1:12" ht="56" x14ac:dyDescent="0.35">
      <c r="A397" s="4" t="s">
        <v>1058</v>
      </c>
      <c r="B397" s="4" t="s">
        <v>1050</v>
      </c>
      <c r="C397" s="4" t="s">
        <v>1050</v>
      </c>
      <c r="D397" s="4" t="s">
        <v>1754</v>
      </c>
      <c r="E397" s="4" t="s">
        <v>1755</v>
      </c>
      <c r="F397" s="4" t="s">
        <v>1071</v>
      </c>
      <c r="G397" s="4" t="s">
        <v>124</v>
      </c>
      <c r="H397" s="4" t="s">
        <v>1062</v>
      </c>
      <c r="I397" s="4" t="s">
        <v>457</v>
      </c>
      <c r="J397" s="4" t="s">
        <v>895</v>
      </c>
      <c r="K397" s="4" t="s">
        <v>1920</v>
      </c>
      <c r="L397" s="4" t="s">
        <v>1073</v>
      </c>
    </row>
    <row r="398" spans="1:12" ht="126" x14ac:dyDescent="0.35">
      <c r="A398" s="4" t="s">
        <v>1034</v>
      </c>
      <c r="B398" s="4" t="s">
        <v>1026</v>
      </c>
      <c r="C398" s="4" t="s">
        <v>1081</v>
      </c>
      <c r="D398" s="4" t="s">
        <v>1766</v>
      </c>
      <c r="E398" s="4" t="s">
        <v>1844</v>
      </c>
      <c r="F398" s="4" t="s">
        <v>1080</v>
      </c>
      <c r="G398" s="4" t="s">
        <v>47</v>
      </c>
      <c r="H398" s="4" t="s">
        <v>1079</v>
      </c>
      <c r="I398" s="4" t="s">
        <v>40</v>
      </c>
      <c r="J398" s="4" t="s">
        <v>1076</v>
      </c>
      <c r="K398" s="4" t="s">
        <v>1921</v>
      </c>
      <c r="L398" s="4" t="s">
        <v>1086</v>
      </c>
    </row>
    <row r="399" spans="1:12" ht="126" x14ac:dyDescent="0.35">
      <c r="A399" s="4" t="s">
        <v>1034</v>
      </c>
      <c r="B399" s="4" t="s">
        <v>1026</v>
      </c>
      <c r="C399" s="4" t="s">
        <v>1081</v>
      </c>
      <c r="D399" s="4" t="s">
        <v>1766</v>
      </c>
      <c r="E399" s="4" t="s">
        <v>1844</v>
      </c>
      <c r="F399" s="4" t="s">
        <v>1080</v>
      </c>
      <c r="G399" s="4" t="s">
        <v>47</v>
      </c>
      <c r="H399" s="4" t="s">
        <v>1079</v>
      </c>
      <c r="I399" s="4" t="s">
        <v>123</v>
      </c>
      <c r="J399" s="4" t="s">
        <v>1076</v>
      </c>
      <c r="K399" s="4" t="s">
        <v>1921</v>
      </c>
      <c r="L399" s="4" t="s">
        <v>1086</v>
      </c>
    </row>
    <row r="400" spans="1:12" ht="126" x14ac:dyDescent="0.35">
      <c r="A400" s="4" t="s">
        <v>1094</v>
      </c>
      <c r="B400" s="4" t="s">
        <v>1922</v>
      </c>
      <c r="C400" s="4" t="s">
        <v>1090</v>
      </c>
      <c r="D400" s="4" t="s">
        <v>1766</v>
      </c>
      <c r="E400" s="4" t="s">
        <v>1844</v>
      </c>
      <c r="F400" s="4" t="s">
        <v>1080</v>
      </c>
      <c r="G400" s="4" t="s">
        <v>124</v>
      </c>
      <c r="H400" s="4" t="s">
        <v>1079</v>
      </c>
      <c r="I400" s="4" t="s">
        <v>163</v>
      </c>
      <c r="J400" s="4" t="s">
        <v>1076</v>
      </c>
      <c r="K400" s="4" t="s">
        <v>1921</v>
      </c>
      <c r="L400" s="4" t="s">
        <v>1086</v>
      </c>
    </row>
    <row r="401" spans="1:12" ht="126" x14ac:dyDescent="0.35">
      <c r="A401" s="4" t="s">
        <v>1094</v>
      </c>
      <c r="B401" s="4" t="s">
        <v>1922</v>
      </c>
      <c r="C401" s="4" t="s">
        <v>1090</v>
      </c>
      <c r="D401" s="4" t="s">
        <v>1766</v>
      </c>
      <c r="E401" s="4" t="s">
        <v>1844</v>
      </c>
      <c r="F401" s="4" t="s">
        <v>1080</v>
      </c>
      <c r="G401" s="4" t="s">
        <v>124</v>
      </c>
      <c r="H401" s="4" t="s">
        <v>1079</v>
      </c>
      <c r="I401" s="4" t="s">
        <v>170</v>
      </c>
      <c r="J401" s="4" t="s">
        <v>1076</v>
      </c>
      <c r="K401" s="4" t="s">
        <v>1921</v>
      </c>
      <c r="L401" s="4" t="s">
        <v>1086</v>
      </c>
    </row>
    <row r="402" spans="1:12" ht="126" x14ac:dyDescent="0.35">
      <c r="A402" s="4" t="s">
        <v>1094</v>
      </c>
      <c r="B402" s="4" t="s">
        <v>1922</v>
      </c>
      <c r="C402" s="4" t="s">
        <v>1090</v>
      </c>
      <c r="D402" s="4" t="s">
        <v>1766</v>
      </c>
      <c r="E402" s="4" t="s">
        <v>1844</v>
      </c>
      <c r="F402" s="4" t="s">
        <v>1080</v>
      </c>
      <c r="G402" s="4" t="s">
        <v>124</v>
      </c>
      <c r="H402" s="4" t="s">
        <v>1079</v>
      </c>
      <c r="I402" s="4" t="s">
        <v>149</v>
      </c>
      <c r="J402" s="4" t="s">
        <v>1076</v>
      </c>
      <c r="K402" s="4" t="s">
        <v>1921</v>
      </c>
      <c r="L402" s="4" t="s">
        <v>1086</v>
      </c>
    </row>
    <row r="403" spans="1:12" ht="126" x14ac:dyDescent="0.35">
      <c r="A403" s="4" t="s">
        <v>1094</v>
      </c>
      <c r="B403" s="4" t="s">
        <v>1922</v>
      </c>
      <c r="C403" s="4" t="s">
        <v>1090</v>
      </c>
      <c r="D403" s="4" t="s">
        <v>1766</v>
      </c>
      <c r="E403" s="4" t="s">
        <v>1844</v>
      </c>
      <c r="F403" s="4" t="s">
        <v>1080</v>
      </c>
      <c r="G403" s="4" t="s">
        <v>124</v>
      </c>
      <c r="H403" s="4" t="s">
        <v>1079</v>
      </c>
      <c r="I403" s="4" t="s">
        <v>156</v>
      </c>
      <c r="J403" s="4" t="s">
        <v>1076</v>
      </c>
      <c r="K403" s="4" t="s">
        <v>1921</v>
      </c>
      <c r="L403" s="4" t="s">
        <v>1086</v>
      </c>
    </row>
    <row r="404" spans="1:12" ht="126" x14ac:dyDescent="0.35">
      <c r="A404" s="4" t="s">
        <v>1094</v>
      </c>
      <c r="B404" s="4" t="s">
        <v>1922</v>
      </c>
      <c r="C404" s="4" t="s">
        <v>1090</v>
      </c>
      <c r="D404" s="4" t="s">
        <v>1766</v>
      </c>
      <c r="E404" s="4" t="s">
        <v>1844</v>
      </c>
      <c r="F404" s="4" t="s">
        <v>1080</v>
      </c>
      <c r="G404" s="4" t="s">
        <v>124</v>
      </c>
      <c r="H404" s="4" t="s">
        <v>1079</v>
      </c>
      <c r="I404" s="4" t="s">
        <v>177</v>
      </c>
      <c r="J404" s="4" t="s">
        <v>1076</v>
      </c>
      <c r="K404" s="4" t="s">
        <v>1921</v>
      </c>
      <c r="L404" s="4" t="s">
        <v>1086</v>
      </c>
    </row>
    <row r="405" spans="1:12" ht="126" x14ac:dyDescent="0.35">
      <c r="A405" s="4" t="s">
        <v>1104</v>
      </c>
      <c r="B405" s="4" t="s">
        <v>1923</v>
      </c>
      <c r="C405" s="4" t="s">
        <v>1100</v>
      </c>
      <c r="D405" s="4" t="s">
        <v>1766</v>
      </c>
      <c r="E405" s="4" t="s">
        <v>1856</v>
      </c>
      <c r="F405" s="4" t="s">
        <v>1080</v>
      </c>
      <c r="G405" s="4" t="s">
        <v>73</v>
      </c>
      <c r="H405" s="4" t="s">
        <v>1079</v>
      </c>
      <c r="I405" s="4" t="s">
        <v>142</v>
      </c>
      <c r="J405" s="4" t="s">
        <v>1076</v>
      </c>
      <c r="K405" s="4" t="s">
        <v>1921</v>
      </c>
      <c r="L405" s="4" t="s">
        <v>1086</v>
      </c>
    </row>
    <row r="406" spans="1:12" ht="126" x14ac:dyDescent="0.35">
      <c r="A406" s="4" t="s">
        <v>1104</v>
      </c>
      <c r="B406" s="4" t="s">
        <v>1923</v>
      </c>
      <c r="C406" s="4" t="s">
        <v>1100</v>
      </c>
      <c r="D406" s="4" t="s">
        <v>1766</v>
      </c>
      <c r="E406" s="4" t="s">
        <v>1856</v>
      </c>
      <c r="F406" s="4" t="s">
        <v>1080</v>
      </c>
      <c r="G406" s="4" t="s">
        <v>73</v>
      </c>
      <c r="H406" s="4" t="s">
        <v>1079</v>
      </c>
      <c r="I406" s="4" t="s">
        <v>135</v>
      </c>
      <c r="J406" s="4" t="s">
        <v>1076</v>
      </c>
      <c r="K406" s="4" t="s">
        <v>1921</v>
      </c>
      <c r="L406" s="4" t="s">
        <v>1086</v>
      </c>
    </row>
    <row r="407" spans="1:12" ht="126" x14ac:dyDescent="0.35">
      <c r="A407" s="4" t="s">
        <v>1104</v>
      </c>
      <c r="B407" s="4" t="s">
        <v>1923</v>
      </c>
      <c r="C407" s="4" t="s">
        <v>1100</v>
      </c>
      <c r="D407" s="4" t="s">
        <v>1766</v>
      </c>
      <c r="E407" s="4" t="s">
        <v>1856</v>
      </c>
      <c r="F407" s="4" t="s">
        <v>1080</v>
      </c>
      <c r="G407" s="4" t="s">
        <v>73</v>
      </c>
      <c r="H407" s="4" t="s">
        <v>1079</v>
      </c>
      <c r="I407" s="4" t="s">
        <v>212</v>
      </c>
      <c r="J407" s="4" t="s">
        <v>1076</v>
      </c>
      <c r="K407" s="4" t="s">
        <v>1921</v>
      </c>
      <c r="L407" s="4" t="s">
        <v>1086</v>
      </c>
    </row>
    <row r="408" spans="1:12" ht="126" x14ac:dyDescent="0.35">
      <c r="A408" s="4" t="s">
        <v>1104</v>
      </c>
      <c r="B408" s="4" t="s">
        <v>1923</v>
      </c>
      <c r="C408" s="4" t="s">
        <v>1100</v>
      </c>
      <c r="D408" s="4" t="s">
        <v>1766</v>
      </c>
      <c r="E408" s="4" t="s">
        <v>1856</v>
      </c>
      <c r="F408" s="4" t="s">
        <v>1080</v>
      </c>
      <c r="G408" s="4" t="s">
        <v>73</v>
      </c>
      <c r="H408" s="4" t="s">
        <v>1079</v>
      </c>
      <c r="I408" s="4" t="s">
        <v>205</v>
      </c>
      <c r="J408" s="4" t="s">
        <v>1076</v>
      </c>
      <c r="K408" s="4" t="s">
        <v>1921</v>
      </c>
      <c r="L408" s="4" t="s">
        <v>1086</v>
      </c>
    </row>
    <row r="409" spans="1:12" ht="126" x14ac:dyDescent="0.35">
      <c r="A409" s="4" t="s">
        <v>1104</v>
      </c>
      <c r="B409" s="4" t="s">
        <v>1923</v>
      </c>
      <c r="C409" s="4" t="s">
        <v>1100</v>
      </c>
      <c r="D409" s="4" t="s">
        <v>1766</v>
      </c>
      <c r="E409" s="4" t="s">
        <v>1856</v>
      </c>
      <c r="F409" s="4" t="s">
        <v>1080</v>
      </c>
      <c r="G409" s="4" t="s">
        <v>73</v>
      </c>
      <c r="H409" s="4" t="s">
        <v>1079</v>
      </c>
      <c r="I409" s="4" t="s">
        <v>198</v>
      </c>
      <c r="J409" s="4" t="s">
        <v>1076</v>
      </c>
      <c r="K409" s="4" t="s">
        <v>1921</v>
      </c>
      <c r="L409" s="4" t="s">
        <v>1086</v>
      </c>
    </row>
    <row r="410" spans="1:12" ht="126" x14ac:dyDescent="0.35">
      <c r="A410" s="4" t="s">
        <v>1104</v>
      </c>
      <c r="B410" s="4" t="s">
        <v>1923</v>
      </c>
      <c r="C410" s="4" t="s">
        <v>1100</v>
      </c>
      <c r="D410" s="4" t="s">
        <v>1766</v>
      </c>
      <c r="E410" s="4" t="s">
        <v>1856</v>
      </c>
      <c r="F410" s="4" t="s">
        <v>1080</v>
      </c>
      <c r="G410" s="4" t="s">
        <v>73</v>
      </c>
      <c r="H410" s="4" t="s">
        <v>1079</v>
      </c>
      <c r="I410" s="4" t="s">
        <v>116</v>
      </c>
      <c r="J410" s="4" t="s">
        <v>1076</v>
      </c>
      <c r="K410" s="4" t="s">
        <v>1921</v>
      </c>
      <c r="L410" s="4" t="s">
        <v>1086</v>
      </c>
    </row>
    <row r="411" spans="1:12" ht="126" x14ac:dyDescent="0.35">
      <c r="A411" s="4" t="s">
        <v>1115</v>
      </c>
      <c r="B411" s="4" t="s">
        <v>1924</v>
      </c>
      <c r="C411" s="4" t="s">
        <v>1111</v>
      </c>
      <c r="D411" s="4" t="s">
        <v>1766</v>
      </c>
      <c r="E411" s="4" t="s">
        <v>1844</v>
      </c>
      <c r="F411" s="4" t="s">
        <v>1080</v>
      </c>
      <c r="G411" s="4" t="s">
        <v>64</v>
      </c>
      <c r="H411" s="4" t="s">
        <v>1079</v>
      </c>
      <c r="I411" s="4" t="s">
        <v>219</v>
      </c>
      <c r="J411" s="4" t="s">
        <v>1076</v>
      </c>
      <c r="K411" s="4" t="s">
        <v>1921</v>
      </c>
      <c r="L411" s="4" t="s">
        <v>1086</v>
      </c>
    </row>
    <row r="412" spans="1:12" ht="126" x14ac:dyDescent="0.35">
      <c r="A412" s="4" t="s">
        <v>1115</v>
      </c>
      <c r="B412" s="4" t="s">
        <v>1924</v>
      </c>
      <c r="C412" s="4" t="s">
        <v>1111</v>
      </c>
      <c r="D412" s="4" t="s">
        <v>1766</v>
      </c>
      <c r="E412" s="4" t="s">
        <v>1844</v>
      </c>
      <c r="F412" s="4" t="s">
        <v>1080</v>
      </c>
      <c r="G412" s="4" t="s">
        <v>64</v>
      </c>
      <c r="H412" s="4" t="s">
        <v>1079</v>
      </c>
      <c r="I412" s="4" t="s">
        <v>254</v>
      </c>
      <c r="J412" s="4" t="s">
        <v>1076</v>
      </c>
      <c r="K412" s="4" t="s">
        <v>1921</v>
      </c>
      <c r="L412" s="4" t="s">
        <v>1086</v>
      </c>
    </row>
    <row r="413" spans="1:12" ht="126" x14ac:dyDescent="0.35">
      <c r="A413" s="4" t="s">
        <v>1115</v>
      </c>
      <c r="B413" s="4" t="s">
        <v>1924</v>
      </c>
      <c r="C413" s="4" t="s">
        <v>1111</v>
      </c>
      <c r="D413" s="4" t="s">
        <v>1766</v>
      </c>
      <c r="E413" s="4" t="s">
        <v>1844</v>
      </c>
      <c r="F413" s="4" t="s">
        <v>1080</v>
      </c>
      <c r="G413" s="4" t="s">
        <v>64</v>
      </c>
      <c r="H413" s="4" t="s">
        <v>1079</v>
      </c>
      <c r="I413" s="4" t="s">
        <v>247</v>
      </c>
      <c r="J413" s="4" t="s">
        <v>1076</v>
      </c>
      <c r="K413" s="4" t="s">
        <v>1921</v>
      </c>
      <c r="L413" s="4" t="s">
        <v>1086</v>
      </c>
    </row>
    <row r="414" spans="1:12" ht="126" x14ac:dyDescent="0.35">
      <c r="A414" s="4" t="s">
        <v>1115</v>
      </c>
      <c r="B414" s="4" t="s">
        <v>1924</v>
      </c>
      <c r="C414" s="4" t="s">
        <v>1111</v>
      </c>
      <c r="D414" s="4" t="s">
        <v>1766</v>
      </c>
      <c r="E414" s="4" t="s">
        <v>1844</v>
      </c>
      <c r="F414" s="4" t="s">
        <v>1080</v>
      </c>
      <c r="G414" s="4" t="s">
        <v>64</v>
      </c>
      <c r="H414" s="4" t="s">
        <v>1079</v>
      </c>
      <c r="I414" s="4" t="s">
        <v>240</v>
      </c>
      <c r="J414" s="4" t="s">
        <v>1076</v>
      </c>
      <c r="K414" s="4" t="s">
        <v>1921</v>
      </c>
      <c r="L414" s="4" t="s">
        <v>1086</v>
      </c>
    </row>
    <row r="415" spans="1:12" ht="126" x14ac:dyDescent="0.35">
      <c r="A415" s="4" t="s">
        <v>1115</v>
      </c>
      <c r="B415" s="4" t="s">
        <v>1924</v>
      </c>
      <c r="C415" s="4" t="s">
        <v>1111</v>
      </c>
      <c r="D415" s="4" t="s">
        <v>1766</v>
      </c>
      <c r="E415" s="4" t="s">
        <v>1844</v>
      </c>
      <c r="F415" s="4" t="s">
        <v>1080</v>
      </c>
      <c r="G415" s="4" t="s">
        <v>64</v>
      </c>
      <c r="H415" s="4" t="s">
        <v>1079</v>
      </c>
      <c r="I415" s="4" t="s">
        <v>233</v>
      </c>
      <c r="J415" s="4" t="s">
        <v>1076</v>
      </c>
      <c r="K415" s="4" t="s">
        <v>1921</v>
      </c>
      <c r="L415" s="4" t="s">
        <v>1086</v>
      </c>
    </row>
    <row r="416" spans="1:12" ht="126" x14ac:dyDescent="0.35">
      <c r="A416" s="4" t="s">
        <v>1115</v>
      </c>
      <c r="B416" s="4" t="s">
        <v>1924</v>
      </c>
      <c r="C416" s="4" t="s">
        <v>1111</v>
      </c>
      <c r="D416" s="4" t="s">
        <v>1766</v>
      </c>
      <c r="E416" s="4" t="s">
        <v>1844</v>
      </c>
      <c r="F416" s="4" t="s">
        <v>1080</v>
      </c>
      <c r="G416" s="4" t="s">
        <v>64</v>
      </c>
      <c r="H416" s="4" t="s">
        <v>1079</v>
      </c>
      <c r="I416" s="4" t="s">
        <v>226</v>
      </c>
      <c r="J416" s="4" t="s">
        <v>1076</v>
      </c>
      <c r="K416" s="4" t="s">
        <v>1921</v>
      </c>
      <c r="L416" s="4" t="s">
        <v>1086</v>
      </c>
    </row>
    <row r="417" spans="1:12" ht="126" x14ac:dyDescent="0.35">
      <c r="A417" s="4" t="s">
        <v>1115</v>
      </c>
      <c r="B417" s="4" t="s">
        <v>1924</v>
      </c>
      <c r="C417" s="4" t="s">
        <v>1111</v>
      </c>
      <c r="D417" s="4" t="s">
        <v>1766</v>
      </c>
      <c r="E417" s="4" t="s">
        <v>1844</v>
      </c>
      <c r="F417" s="4" t="s">
        <v>1080</v>
      </c>
      <c r="G417" s="4" t="s">
        <v>64</v>
      </c>
      <c r="H417" s="4" t="s">
        <v>1079</v>
      </c>
      <c r="I417" s="4" t="s">
        <v>184</v>
      </c>
      <c r="J417" s="4" t="s">
        <v>1076</v>
      </c>
      <c r="K417" s="4" t="s">
        <v>1921</v>
      </c>
      <c r="L417" s="4" t="s">
        <v>1086</v>
      </c>
    </row>
    <row r="418" spans="1:12" ht="126" x14ac:dyDescent="0.35">
      <c r="A418" s="4" t="s">
        <v>1115</v>
      </c>
      <c r="B418" s="4" t="s">
        <v>1924</v>
      </c>
      <c r="C418" s="4" t="s">
        <v>1111</v>
      </c>
      <c r="D418" s="4" t="s">
        <v>1766</v>
      </c>
      <c r="E418" s="4" t="s">
        <v>1844</v>
      </c>
      <c r="F418" s="4" t="s">
        <v>1080</v>
      </c>
      <c r="G418" s="4" t="s">
        <v>64</v>
      </c>
      <c r="H418" s="4" t="s">
        <v>1079</v>
      </c>
      <c r="I418" s="4" t="s">
        <v>191</v>
      </c>
      <c r="J418" s="4" t="s">
        <v>1076</v>
      </c>
      <c r="K418" s="4" t="s">
        <v>1921</v>
      </c>
      <c r="L418" s="4" t="s">
        <v>1086</v>
      </c>
    </row>
    <row r="419" spans="1:12" ht="126" x14ac:dyDescent="0.35">
      <c r="A419" s="4" t="s">
        <v>1130</v>
      </c>
      <c r="B419" s="4" t="s">
        <v>1925</v>
      </c>
      <c r="C419" s="4" t="s">
        <v>1124</v>
      </c>
      <c r="D419" s="4" t="s">
        <v>1766</v>
      </c>
      <c r="E419" s="4" t="s">
        <v>1856</v>
      </c>
      <c r="F419" s="4" t="s">
        <v>1080</v>
      </c>
      <c r="G419" s="4" t="s">
        <v>305</v>
      </c>
      <c r="H419" s="4" t="s">
        <v>1079</v>
      </c>
      <c r="I419" s="4" t="s">
        <v>457</v>
      </c>
      <c r="J419" s="4" t="s">
        <v>1076</v>
      </c>
      <c r="K419" s="4" t="s">
        <v>1921</v>
      </c>
      <c r="L419" s="4" t="s">
        <v>1086</v>
      </c>
    </row>
    <row r="420" spans="1:12" ht="42" x14ac:dyDescent="0.35">
      <c r="A420" s="4" t="s">
        <v>1134</v>
      </c>
      <c r="B420" s="4" t="s">
        <v>1134</v>
      </c>
      <c r="C420" s="4" t="s">
        <v>1134</v>
      </c>
      <c r="D420" s="4" t="s">
        <v>1754</v>
      </c>
      <c r="E420" s="4" t="s">
        <v>1761</v>
      </c>
      <c r="F420" s="4" t="s">
        <v>1133</v>
      </c>
      <c r="G420" s="4" t="s">
        <v>47</v>
      </c>
      <c r="H420" s="4" t="s">
        <v>1132</v>
      </c>
      <c r="I420" s="4" t="s">
        <v>40</v>
      </c>
      <c r="J420" s="4" t="s">
        <v>1076</v>
      </c>
      <c r="K420" s="4" t="s">
        <v>1926</v>
      </c>
      <c r="L420" s="4" t="s">
        <v>1927</v>
      </c>
    </row>
    <row r="421" spans="1:12" ht="42" x14ac:dyDescent="0.35">
      <c r="A421" s="4" t="s">
        <v>1134</v>
      </c>
      <c r="B421" s="4" t="s">
        <v>1134</v>
      </c>
      <c r="C421" s="4" t="s">
        <v>1134</v>
      </c>
      <c r="D421" s="4" t="s">
        <v>1754</v>
      </c>
      <c r="E421" s="4" t="s">
        <v>1761</v>
      </c>
      <c r="F421" s="4" t="s">
        <v>1133</v>
      </c>
      <c r="G421" s="4" t="s">
        <v>47</v>
      </c>
      <c r="H421" s="4" t="s">
        <v>1132</v>
      </c>
      <c r="I421" s="4" t="s">
        <v>123</v>
      </c>
      <c r="J421" s="4" t="s">
        <v>1076</v>
      </c>
      <c r="K421" s="4" t="s">
        <v>1926</v>
      </c>
      <c r="L421" s="4" t="s">
        <v>1927</v>
      </c>
    </row>
    <row r="422" spans="1:12" ht="42" x14ac:dyDescent="0.35">
      <c r="A422" s="4" t="s">
        <v>1144</v>
      </c>
      <c r="B422" s="4" t="s">
        <v>1144</v>
      </c>
      <c r="C422" s="4" t="s">
        <v>1144</v>
      </c>
      <c r="D422" s="4" t="s">
        <v>1754</v>
      </c>
      <c r="E422" s="4" t="s">
        <v>1761</v>
      </c>
      <c r="F422" s="4" t="s">
        <v>1133</v>
      </c>
      <c r="G422" s="4" t="s">
        <v>124</v>
      </c>
      <c r="H422" s="4" t="s">
        <v>1132</v>
      </c>
      <c r="I422" s="4" t="s">
        <v>163</v>
      </c>
      <c r="J422" s="4" t="s">
        <v>1076</v>
      </c>
      <c r="K422" s="4" t="s">
        <v>1926</v>
      </c>
      <c r="L422" s="4" t="s">
        <v>1927</v>
      </c>
    </row>
    <row r="423" spans="1:12" ht="42" x14ac:dyDescent="0.35">
      <c r="A423" s="4" t="s">
        <v>1144</v>
      </c>
      <c r="B423" s="4" t="s">
        <v>1144</v>
      </c>
      <c r="C423" s="4" t="s">
        <v>1144</v>
      </c>
      <c r="D423" s="4" t="s">
        <v>1754</v>
      </c>
      <c r="E423" s="4" t="s">
        <v>1761</v>
      </c>
      <c r="F423" s="4" t="s">
        <v>1133</v>
      </c>
      <c r="G423" s="4" t="s">
        <v>124</v>
      </c>
      <c r="H423" s="4" t="s">
        <v>1132</v>
      </c>
      <c r="I423" s="4" t="s">
        <v>170</v>
      </c>
      <c r="J423" s="4" t="s">
        <v>1076</v>
      </c>
      <c r="K423" s="4" t="s">
        <v>1926</v>
      </c>
      <c r="L423" s="4" t="s">
        <v>1927</v>
      </c>
    </row>
    <row r="424" spans="1:12" ht="42" x14ac:dyDescent="0.35">
      <c r="A424" s="4" t="s">
        <v>1144</v>
      </c>
      <c r="B424" s="4" t="s">
        <v>1144</v>
      </c>
      <c r="C424" s="4" t="s">
        <v>1144</v>
      </c>
      <c r="D424" s="4" t="s">
        <v>1754</v>
      </c>
      <c r="E424" s="4" t="s">
        <v>1761</v>
      </c>
      <c r="F424" s="4" t="s">
        <v>1133</v>
      </c>
      <c r="G424" s="4" t="s">
        <v>124</v>
      </c>
      <c r="H424" s="4" t="s">
        <v>1132</v>
      </c>
      <c r="I424" s="4" t="s">
        <v>149</v>
      </c>
      <c r="J424" s="4" t="s">
        <v>1076</v>
      </c>
      <c r="K424" s="4" t="s">
        <v>1926</v>
      </c>
      <c r="L424" s="4" t="s">
        <v>1927</v>
      </c>
    </row>
    <row r="425" spans="1:12" ht="42" x14ac:dyDescent="0.35">
      <c r="A425" s="4" t="s">
        <v>1144</v>
      </c>
      <c r="B425" s="4" t="s">
        <v>1144</v>
      </c>
      <c r="C425" s="4" t="s">
        <v>1144</v>
      </c>
      <c r="D425" s="4" t="s">
        <v>1754</v>
      </c>
      <c r="E425" s="4" t="s">
        <v>1761</v>
      </c>
      <c r="F425" s="4" t="s">
        <v>1133</v>
      </c>
      <c r="G425" s="4" t="s">
        <v>124</v>
      </c>
      <c r="H425" s="4" t="s">
        <v>1132</v>
      </c>
      <c r="I425" s="4" t="s">
        <v>156</v>
      </c>
      <c r="J425" s="4" t="s">
        <v>1076</v>
      </c>
      <c r="K425" s="4" t="s">
        <v>1926</v>
      </c>
      <c r="L425" s="4" t="s">
        <v>1927</v>
      </c>
    </row>
    <row r="426" spans="1:12" ht="42" x14ac:dyDescent="0.35">
      <c r="A426" s="4" t="s">
        <v>1144</v>
      </c>
      <c r="B426" s="4" t="s">
        <v>1144</v>
      </c>
      <c r="C426" s="4" t="s">
        <v>1144</v>
      </c>
      <c r="D426" s="4" t="s">
        <v>1754</v>
      </c>
      <c r="E426" s="4" t="s">
        <v>1761</v>
      </c>
      <c r="F426" s="4" t="s">
        <v>1133</v>
      </c>
      <c r="G426" s="4" t="s">
        <v>124</v>
      </c>
      <c r="H426" s="4" t="s">
        <v>1132</v>
      </c>
      <c r="I426" s="4" t="s">
        <v>177</v>
      </c>
      <c r="J426" s="4" t="s">
        <v>1076</v>
      </c>
      <c r="K426" s="4" t="s">
        <v>1926</v>
      </c>
      <c r="L426" s="4" t="s">
        <v>1927</v>
      </c>
    </row>
    <row r="427" spans="1:12" ht="42" x14ac:dyDescent="0.35">
      <c r="A427" s="4" t="s">
        <v>1157</v>
      </c>
      <c r="B427" s="4" t="s">
        <v>1153</v>
      </c>
      <c r="C427" s="4" t="s">
        <v>1153</v>
      </c>
      <c r="D427" s="4" t="s">
        <v>1754</v>
      </c>
      <c r="E427" s="4" t="s">
        <v>1755</v>
      </c>
      <c r="F427" s="4" t="s">
        <v>1133</v>
      </c>
      <c r="G427" s="4" t="s">
        <v>73</v>
      </c>
      <c r="H427" s="4" t="s">
        <v>1132</v>
      </c>
      <c r="I427" s="4" t="s">
        <v>142</v>
      </c>
      <c r="J427" s="4" t="s">
        <v>1076</v>
      </c>
      <c r="K427" s="4" t="s">
        <v>1926</v>
      </c>
      <c r="L427" s="4" t="s">
        <v>1927</v>
      </c>
    </row>
    <row r="428" spans="1:12" ht="42" x14ac:dyDescent="0.35">
      <c r="A428" s="4" t="s">
        <v>1157</v>
      </c>
      <c r="B428" s="4" t="s">
        <v>1153</v>
      </c>
      <c r="C428" s="4" t="s">
        <v>1153</v>
      </c>
      <c r="D428" s="4" t="s">
        <v>1754</v>
      </c>
      <c r="E428" s="4" t="s">
        <v>1755</v>
      </c>
      <c r="F428" s="4" t="s">
        <v>1133</v>
      </c>
      <c r="G428" s="4" t="s">
        <v>73</v>
      </c>
      <c r="H428" s="4" t="s">
        <v>1132</v>
      </c>
      <c r="I428" s="4" t="s">
        <v>135</v>
      </c>
      <c r="J428" s="4" t="s">
        <v>1076</v>
      </c>
      <c r="K428" s="4" t="s">
        <v>1926</v>
      </c>
      <c r="L428" s="4" t="s">
        <v>1927</v>
      </c>
    </row>
    <row r="429" spans="1:12" ht="42" x14ac:dyDescent="0.35">
      <c r="A429" s="4" t="s">
        <v>1157</v>
      </c>
      <c r="B429" s="4" t="s">
        <v>1153</v>
      </c>
      <c r="C429" s="4" t="s">
        <v>1153</v>
      </c>
      <c r="D429" s="4" t="s">
        <v>1754</v>
      </c>
      <c r="E429" s="4" t="s">
        <v>1755</v>
      </c>
      <c r="F429" s="4" t="s">
        <v>1133</v>
      </c>
      <c r="G429" s="4" t="s">
        <v>73</v>
      </c>
      <c r="H429" s="4" t="s">
        <v>1132</v>
      </c>
      <c r="I429" s="4" t="s">
        <v>212</v>
      </c>
      <c r="J429" s="4" t="s">
        <v>1076</v>
      </c>
      <c r="K429" s="4" t="s">
        <v>1926</v>
      </c>
      <c r="L429" s="4" t="s">
        <v>1927</v>
      </c>
    </row>
    <row r="430" spans="1:12" ht="42" x14ac:dyDescent="0.35">
      <c r="A430" s="4" t="s">
        <v>1157</v>
      </c>
      <c r="B430" s="4" t="s">
        <v>1153</v>
      </c>
      <c r="C430" s="4" t="s">
        <v>1153</v>
      </c>
      <c r="D430" s="4" t="s">
        <v>1754</v>
      </c>
      <c r="E430" s="4" t="s">
        <v>1755</v>
      </c>
      <c r="F430" s="4" t="s">
        <v>1133</v>
      </c>
      <c r="G430" s="4" t="s">
        <v>73</v>
      </c>
      <c r="H430" s="4" t="s">
        <v>1132</v>
      </c>
      <c r="I430" s="4" t="s">
        <v>205</v>
      </c>
      <c r="J430" s="4" t="s">
        <v>1076</v>
      </c>
      <c r="K430" s="4" t="s">
        <v>1926</v>
      </c>
      <c r="L430" s="4" t="s">
        <v>1927</v>
      </c>
    </row>
    <row r="431" spans="1:12" ht="42" x14ac:dyDescent="0.35">
      <c r="A431" s="4" t="s">
        <v>1157</v>
      </c>
      <c r="B431" s="4" t="s">
        <v>1153</v>
      </c>
      <c r="C431" s="4" t="s">
        <v>1153</v>
      </c>
      <c r="D431" s="4" t="s">
        <v>1754</v>
      </c>
      <c r="E431" s="4" t="s">
        <v>1755</v>
      </c>
      <c r="F431" s="4" t="s">
        <v>1133</v>
      </c>
      <c r="G431" s="4" t="s">
        <v>73</v>
      </c>
      <c r="H431" s="4" t="s">
        <v>1132</v>
      </c>
      <c r="I431" s="4" t="s">
        <v>198</v>
      </c>
      <c r="J431" s="4" t="s">
        <v>1076</v>
      </c>
      <c r="K431" s="4" t="s">
        <v>1926</v>
      </c>
      <c r="L431" s="4" t="s">
        <v>1927</v>
      </c>
    </row>
    <row r="432" spans="1:12" ht="42" x14ac:dyDescent="0.35">
      <c r="A432" s="4" t="s">
        <v>1157</v>
      </c>
      <c r="B432" s="4" t="s">
        <v>1153</v>
      </c>
      <c r="C432" s="4" t="s">
        <v>1153</v>
      </c>
      <c r="D432" s="4" t="s">
        <v>1754</v>
      </c>
      <c r="E432" s="4" t="s">
        <v>1755</v>
      </c>
      <c r="F432" s="4" t="s">
        <v>1133</v>
      </c>
      <c r="G432" s="4" t="s">
        <v>73</v>
      </c>
      <c r="H432" s="4" t="s">
        <v>1132</v>
      </c>
      <c r="I432" s="4" t="s">
        <v>116</v>
      </c>
      <c r="J432" s="4" t="s">
        <v>1076</v>
      </c>
      <c r="K432" s="4" t="s">
        <v>1926</v>
      </c>
      <c r="L432" s="4" t="s">
        <v>1927</v>
      </c>
    </row>
    <row r="433" spans="1:12" ht="42" x14ac:dyDescent="0.35">
      <c r="A433" s="4" t="s">
        <v>1168</v>
      </c>
      <c r="B433" s="4" t="s">
        <v>1168</v>
      </c>
      <c r="C433" s="4" t="s">
        <v>1164</v>
      </c>
      <c r="D433" s="4" t="s">
        <v>1766</v>
      </c>
      <c r="E433" s="4" t="s">
        <v>1761</v>
      </c>
      <c r="F433" s="4" t="s">
        <v>1133</v>
      </c>
      <c r="G433" s="4" t="s">
        <v>64</v>
      </c>
      <c r="H433" s="4" t="s">
        <v>1132</v>
      </c>
      <c r="I433" s="4" t="s">
        <v>219</v>
      </c>
      <c r="J433" s="4" t="s">
        <v>1076</v>
      </c>
      <c r="K433" s="4" t="s">
        <v>1926</v>
      </c>
      <c r="L433" s="4" t="s">
        <v>1927</v>
      </c>
    </row>
    <row r="434" spans="1:12" ht="42" x14ac:dyDescent="0.35">
      <c r="A434" s="4" t="s">
        <v>1168</v>
      </c>
      <c r="B434" s="4" t="s">
        <v>1168</v>
      </c>
      <c r="C434" s="4" t="s">
        <v>1164</v>
      </c>
      <c r="D434" s="4" t="s">
        <v>1766</v>
      </c>
      <c r="E434" s="4" t="s">
        <v>1761</v>
      </c>
      <c r="F434" s="4" t="s">
        <v>1133</v>
      </c>
      <c r="G434" s="4" t="s">
        <v>64</v>
      </c>
      <c r="H434" s="4" t="s">
        <v>1132</v>
      </c>
      <c r="I434" s="4" t="s">
        <v>254</v>
      </c>
      <c r="J434" s="4" t="s">
        <v>1076</v>
      </c>
      <c r="K434" s="4" t="s">
        <v>1926</v>
      </c>
      <c r="L434" s="4" t="s">
        <v>1927</v>
      </c>
    </row>
    <row r="435" spans="1:12" ht="42" x14ac:dyDescent="0.35">
      <c r="A435" s="4" t="s">
        <v>1168</v>
      </c>
      <c r="B435" s="4" t="s">
        <v>1168</v>
      </c>
      <c r="C435" s="4" t="s">
        <v>1164</v>
      </c>
      <c r="D435" s="4" t="s">
        <v>1766</v>
      </c>
      <c r="E435" s="4" t="s">
        <v>1761</v>
      </c>
      <c r="F435" s="4" t="s">
        <v>1133</v>
      </c>
      <c r="G435" s="4" t="s">
        <v>64</v>
      </c>
      <c r="H435" s="4" t="s">
        <v>1132</v>
      </c>
      <c r="I435" s="4" t="s">
        <v>247</v>
      </c>
      <c r="J435" s="4" t="s">
        <v>1076</v>
      </c>
      <c r="K435" s="4" t="s">
        <v>1926</v>
      </c>
      <c r="L435" s="4" t="s">
        <v>1927</v>
      </c>
    </row>
    <row r="436" spans="1:12" ht="42" x14ac:dyDescent="0.35">
      <c r="A436" s="4" t="s">
        <v>1168</v>
      </c>
      <c r="B436" s="4" t="s">
        <v>1168</v>
      </c>
      <c r="C436" s="4" t="s">
        <v>1164</v>
      </c>
      <c r="D436" s="4" t="s">
        <v>1766</v>
      </c>
      <c r="E436" s="4" t="s">
        <v>1761</v>
      </c>
      <c r="F436" s="4" t="s">
        <v>1133</v>
      </c>
      <c r="G436" s="4" t="s">
        <v>64</v>
      </c>
      <c r="H436" s="4" t="s">
        <v>1132</v>
      </c>
      <c r="I436" s="4" t="s">
        <v>240</v>
      </c>
      <c r="J436" s="4" t="s">
        <v>1076</v>
      </c>
      <c r="K436" s="4" t="s">
        <v>1926</v>
      </c>
      <c r="L436" s="4" t="s">
        <v>1927</v>
      </c>
    </row>
    <row r="437" spans="1:12" ht="42" x14ac:dyDescent="0.35">
      <c r="A437" s="4" t="s">
        <v>1168</v>
      </c>
      <c r="B437" s="4" t="s">
        <v>1168</v>
      </c>
      <c r="C437" s="4" t="s">
        <v>1164</v>
      </c>
      <c r="D437" s="4" t="s">
        <v>1766</v>
      </c>
      <c r="E437" s="4" t="s">
        <v>1761</v>
      </c>
      <c r="F437" s="4" t="s">
        <v>1133</v>
      </c>
      <c r="G437" s="4" t="s">
        <v>64</v>
      </c>
      <c r="H437" s="4" t="s">
        <v>1132</v>
      </c>
      <c r="I437" s="4" t="s">
        <v>233</v>
      </c>
      <c r="J437" s="4" t="s">
        <v>1076</v>
      </c>
      <c r="K437" s="4" t="s">
        <v>1926</v>
      </c>
      <c r="L437" s="4" t="s">
        <v>1927</v>
      </c>
    </row>
    <row r="438" spans="1:12" ht="42" x14ac:dyDescent="0.35">
      <c r="A438" s="4" t="s">
        <v>1168</v>
      </c>
      <c r="B438" s="4" t="s">
        <v>1168</v>
      </c>
      <c r="C438" s="4" t="s">
        <v>1164</v>
      </c>
      <c r="D438" s="4" t="s">
        <v>1766</v>
      </c>
      <c r="E438" s="4" t="s">
        <v>1761</v>
      </c>
      <c r="F438" s="4" t="s">
        <v>1133</v>
      </c>
      <c r="G438" s="4" t="s">
        <v>64</v>
      </c>
      <c r="H438" s="4" t="s">
        <v>1132</v>
      </c>
      <c r="I438" s="4" t="s">
        <v>226</v>
      </c>
      <c r="J438" s="4" t="s">
        <v>1076</v>
      </c>
      <c r="K438" s="4" t="s">
        <v>1926</v>
      </c>
      <c r="L438" s="4" t="s">
        <v>1927</v>
      </c>
    </row>
    <row r="439" spans="1:12" ht="42" x14ac:dyDescent="0.35">
      <c r="A439" s="4" t="s">
        <v>1168</v>
      </c>
      <c r="B439" s="4" t="s">
        <v>1168</v>
      </c>
      <c r="C439" s="4" t="s">
        <v>1164</v>
      </c>
      <c r="D439" s="4" t="s">
        <v>1766</v>
      </c>
      <c r="E439" s="4" t="s">
        <v>1761</v>
      </c>
      <c r="F439" s="4" t="s">
        <v>1133</v>
      </c>
      <c r="G439" s="4" t="s">
        <v>64</v>
      </c>
      <c r="H439" s="4" t="s">
        <v>1132</v>
      </c>
      <c r="I439" s="4" t="s">
        <v>184</v>
      </c>
      <c r="J439" s="4" t="s">
        <v>1076</v>
      </c>
      <c r="K439" s="4" t="s">
        <v>1926</v>
      </c>
      <c r="L439" s="4" t="s">
        <v>1927</v>
      </c>
    </row>
    <row r="440" spans="1:12" ht="42" x14ac:dyDescent="0.35">
      <c r="A440" s="4" t="s">
        <v>1168</v>
      </c>
      <c r="B440" s="4" t="s">
        <v>1168</v>
      </c>
      <c r="C440" s="4" t="s">
        <v>1164</v>
      </c>
      <c r="D440" s="4" t="s">
        <v>1766</v>
      </c>
      <c r="E440" s="4" t="s">
        <v>1761</v>
      </c>
      <c r="F440" s="4" t="s">
        <v>1133</v>
      </c>
      <c r="G440" s="4" t="s">
        <v>64</v>
      </c>
      <c r="H440" s="4" t="s">
        <v>1132</v>
      </c>
      <c r="I440" s="4" t="s">
        <v>191</v>
      </c>
      <c r="J440" s="4" t="s">
        <v>1076</v>
      </c>
      <c r="K440" s="4" t="s">
        <v>1926</v>
      </c>
      <c r="L440" s="4" t="s">
        <v>1927</v>
      </c>
    </row>
    <row r="441" spans="1:12" ht="42" x14ac:dyDescent="0.35">
      <c r="A441" s="4" t="s">
        <v>1182</v>
      </c>
      <c r="B441" s="4" t="s">
        <v>1928</v>
      </c>
      <c r="C441" s="4" t="s">
        <v>1177</v>
      </c>
      <c r="D441" s="4" t="s">
        <v>1766</v>
      </c>
      <c r="E441" s="4" t="s">
        <v>1856</v>
      </c>
      <c r="F441" s="4" t="s">
        <v>1133</v>
      </c>
      <c r="G441" s="4" t="s">
        <v>305</v>
      </c>
      <c r="H441" s="4" t="s">
        <v>1132</v>
      </c>
      <c r="I441" s="4" t="s">
        <v>457</v>
      </c>
      <c r="J441" s="4" t="s">
        <v>1076</v>
      </c>
      <c r="K441" s="4" t="s">
        <v>1926</v>
      </c>
      <c r="L441" s="4" t="s">
        <v>1927</v>
      </c>
    </row>
    <row r="442" spans="1:12" ht="70" x14ac:dyDescent="0.35">
      <c r="A442" s="4" t="s">
        <v>1194</v>
      </c>
      <c r="B442" s="4" t="s">
        <v>1929</v>
      </c>
      <c r="C442" s="4" t="s">
        <v>1186</v>
      </c>
      <c r="D442" s="4" t="s">
        <v>1766</v>
      </c>
      <c r="E442" s="4" t="s">
        <v>1856</v>
      </c>
      <c r="F442" s="4" t="s">
        <v>1185</v>
      </c>
      <c r="G442" s="4" t="s">
        <v>47</v>
      </c>
      <c r="H442" s="4" t="s">
        <v>1184</v>
      </c>
      <c r="I442" s="4" t="s">
        <v>457</v>
      </c>
      <c r="J442" s="4" t="s">
        <v>1076</v>
      </c>
      <c r="K442" s="4" t="s">
        <v>1930</v>
      </c>
      <c r="L442" s="4" t="s">
        <v>1191</v>
      </c>
    </row>
    <row r="443" spans="1:12" ht="70" x14ac:dyDescent="0.35">
      <c r="A443" s="4" t="s">
        <v>1202</v>
      </c>
      <c r="B443" s="4" t="s">
        <v>1196</v>
      </c>
      <c r="C443" s="4" t="s">
        <v>1196</v>
      </c>
      <c r="D443" s="4" t="s">
        <v>1754</v>
      </c>
      <c r="E443" s="4" t="s">
        <v>1931</v>
      </c>
      <c r="F443" s="4" t="s">
        <v>1185</v>
      </c>
      <c r="G443" s="4" t="s">
        <v>124</v>
      </c>
      <c r="H443" s="4" t="s">
        <v>1184</v>
      </c>
      <c r="I443" s="4" t="s">
        <v>457</v>
      </c>
      <c r="J443" s="4" t="s">
        <v>1076</v>
      </c>
      <c r="K443" s="4" t="s">
        <v>1930</v>
      </c>
      <c r="L443" s="4" t="s">
        <v>1191</v>
      </c>
    </row>
    <row r="444" spans="1:12" ht="28" x14ac:dyDescent="0.35">
      <c r="A444" s="4" t="s">
        <v>1034</v>
      </c>
      <c r="B444" s="4" t="s">
        <v>1026</v>
      </c>
      <c r="C444" s="4" t="s">
        <v>1081</v>
      </c>
      <c r="D444" s="4" t="s">
        <v>1766</v>
      </c>
      <c r="E444" s="4" t="s">
        <v>1844</v>
      </c>
      <c r="F444" s="4" t="s">
        <v>1206</v>
      </c>
      <c r="G444" s="4" t="s">
        <v>47</v>
      </c>
      <c r="H444" s="4" t="s">
        <v>1205</v>
      </c>
      <c r="I444" s="4" t="s">
        <v>40</v>
      </c>
      <c r="J444" s="4" t="s">
        <v>1076</v>
      </c>
      <c r="K444" s="4" t="s">
        <v>1932</v>
      </c>
      <c r="L444" s="4" t="s">
        <v>1211</v>
      </c>
    </row>
    <row r="445" spans="1:12" ht="42" x14ac:dyDescent="0.35">
      <c r="A445" s="4" t="s">
        <v>1094</v>
      </c>
      <c r="B445" s="4" t="s">
        <v>1922</v>
      </c>
      <c r="C445" s="4" t="s">
        <v>1090</v>
      </c>
      <c r="D445" s="4" t="s">
        <v>1766</v>
      </c>
      <c r="E445" s="4" t="s">
        <v>1844</v>
      </c>
      <c r="F445" s="4" t="s">
        <v>1215</v>
      </c>
      <c r="G445" s="4" t="s">
        <v>124</v>
      </c>
      <c r="H445" s="4" t="s">
        <v>1214</v>
      </c>
      <c r="I445" s="4" t="s">
        <v>156</v>
      </c>
      <c r="J445" s="4" t="s">
        <v>1076</v>
      </c>
      <c r="K445" s="4" t="s">
        <v>1933</v>
      </c>
      <c r="L445" s="4" t="s">
        <v>1219</v>
      </c>
    </row>
    <row r="446" spans="1:12" ht="42" x14ac:dyDescent="0.35">
      <c r="A446" s="4" t="s">
        <v>1104</v>
      </c>
      <c r="B446" s="4" t="s">
        <v>1923</v>
      </c>
      <c r="C446" s="4" t="s">
        <v>1100</v>
      </c>
      <c r="D446" s="4" t="s">
        <v>1766</v>
      </c>
      <c r="E446" s="4" t="s">
        <v>1856</v>
      </c>
      <c r="F446" s="4" t="s">
        <v>1223</v>
      </c>
      <c r="G446" s="4" t="s">
        <v>73</v>
      </c>
      <c r="H446" s="4" t="s">
        <v>1222</v>
      </c>
      <c r="I446" s="4" t="s">
        <v>212</v>
      </c>
      <c r="J446" s="4" t="s">
        <v>1076</v>
      </c>
      <c r="K446" s="4" t="s">
        <v>1932</v>
      </c>
      <c r="L446" s="4" t="s">
        <v>1227</v>
      </c>
    </row>
    <row r="447" spans="1:12" ht="56" x14ac:dyDescent="0.35">
      <c r="A447" s="4" t="s">
        <v>1115</v>
      </c>
      <c r="B447" s="4" t="s">
        <v>1924</v>
      </c>
      <c r="C447" s="4" t="s">
        <v>1111</v>
      </c>
      <c r="D447" s="4" t="s">
        <v>1766</v>
      </c>
      <c r="E447" s="4" t="s">
        <v>1844</v>
      </c>
      <c r="F447" s="4" t="s">
        <v>1231</v>
      </c>
      <c r="G447" s="4" t="s">
        <v>64</v>
      </c>
      <c r="H447" s="4" t="s">
        <v>1230</v>
      </c>
      <c r="I447" s="4" t="s">
        <v>191</v>
      </c>
      <c r="J447" s="4" t="s">
        <v>1076</v>
      </c>
      <c r="K447" s="4" t="s">
        <v>1934</v>
      </c>
      <c r="L447" s="4" t="s">
        <v>1235</v>
      </c>
    </row>
    <row r="448" spans="1:12" ht="70" x14ac:dyDescent="0.35">
      <c r="A448" s="4" t="s">
        <v>1115</v>
      </c>
      <c r="B448" s="4" t="s">
        <v>1924</v>
      </c>
      <c r="C448" s="4" t="s">
        <v>1111</v>
      </c>
      <c r="D448" s="4" t="s">
        <v>1766</v>
      </c>
      <c r="E448" s="4" t="s">
        <v>1844</v>
      </c>
      <c r="F448" s="4" t="s">
        <v>1239</v>
      </c>
      <c r="G448" s="4" t="s">
        <v>64</v>
      </c>
      <c r="H448" s="4" t="s">
        <v>1238</v>
      </c>
      <c r="I448" s="4" t="s">
        <v>233</v>
      </c>
      <c r="J448" s="4" t="s">
        <v>1076</v>
      </c>
      <c r="K448" s="4" t="s">
        <v>1935</v>
      </c>
      <c r="L448" s="4" t="s">
        <v>1243</v>
      </c>
    </row>
    <row r="449" spans="1:12" ht="70" x14ac:dyDescent="0.35">
      <c r="A449" s="4" t="s">
        <v>1130</v>
      </c>
      <c r="B449" s="4" t="s">
        <v>1925</v>
      </c>
      <c r="C449" s="4" t="s">
        <v>1124</v>
      </c>
      <c r="D449" s="4" t="s">
        <v>1766</v>
      </c>
      <c r="E449" s="4" t="s">
        <v>1856</v>
      </c>
      <c r="F449" s="4" t="s">
        <v>1247</v>
      </c>
      <c r="G449" s="4" t="s">
        <v>305</v>
      </c>
      <c r="H449" s="4" t="s">
        <v>1246</v>
      </c>
      <c r="I449" s="4" t="s">
        <v>163</v>
      </c>
      <c r="J449" s="4" t="s">
        <v>1076</v>
      </c>
      <c r="K449" s="4" t="s">
        <v>1936</v>
      </c>
      <c r="L449" s="4" t="s">
        <v>1251</v>
      </c>
    </row>
    <row r="450" spans="1:12" ht="56" x14ac:dyDescent="0.35">
      <c r="A450" s="4" t="s">
        <v>1256</v>
      </c>
      <c r="B450" s="4" t="s">
        <v>1256</v>
      </c>
      <c r="C450" s="4" t="s">
        <v>1256</v>
      </c>
      <c r="D450" s="4" t="s">
        <v>1754</v>
      </c>
      <c r="E450" s="4" t="s">
        <v>1761</v>
      </c>
      <c r="F450" s="4" t="s">
        <v>1255</v>
      </c>
      <c r="G450" s="4" t="s">
        <v>47</v>
      </c>
      <c r="H450" s="4" t="s">
        <v>1254</v>
      </c>
      <c r="I450" s="4" t="s">
        <v>457</v>
      </c>
      <c r="J450" s="4" t="s">
        <v>895</v>
      </c>
      <c r="K450" s="4" t="s">
        <v>1905</v>
      </c>
      <c r="L450" s="4" t="s">
        <v>1260</v>
      </c>
    </row>
    <row r="451" spans="1:12" ht="42" x14ac:dyDescent="0.35">
      <c r="A451" s="4" t="s">
        <v>1264</v>
      </c>
      <c r="B451" s="4" t="s">
        <v>1264</v>
      </c>
      <c r="C451" s="4" t="s">
        <v>1264</v>
      </c>
      <c r="D451" s="4" t="s">
        <v>1754</v>
      </c>
      <c r="E451" s="4" t="s">
        <v>1761</v>
      </c>
      <c r="F451" s="4" t="s">
        <v>1255</v>
      </c>
      <c r="G451" s="4" t="s">
        <v>124</v>
      </c>
      <c r="H451" s="4" t="s">
        <v>1254</v>
      </c>
      <c r="I451" s="4" t="s">
        <v>457</v>
      </c>
      <c r="J451" s="4" t="s">
        <v>895</v>
      </c>
      <c r="K451" s="4" t="s">
        <v>1905</v>
      </c>
      <c r="L451" s="4" t="s">
        <v>1260</v>
      </c>
    </row>
    <row r="452" spans="1:12" ht="28" x14ac:dyDescent="0.35">
      <c r="A452" s="4" t="s">
        <v>1840</v>
      </c>
      <c r="B452" s="4" t="s">
        <v>1937</v>
      </c>
      <c r="C452" s="4" t="s">
        <v>1271</v>
      </c>
      <c r="D452" s="4" t="s">
        <v>1766</v>
      </c>
      <c r="E452" s="4" t="s">
        <v>1844</v>
      </c>
      <c r="F452" s="4" t="s">
        <v>1255</v>
      </c>
      <c r="G452" s="4" t="s">
        <v>73</v>
      </c>
      <c r="H452" s="4" t="s">
        <v>1254</v>
      </c>
      <c r="I452" s="4" t="s">
        <v>457</v>
      </c>
      <c r="J452" s="4" t="s">
        <v>895</v>
      </c>
      <c r="K452" s="4" t="s">
        <v>1905</v>
      </c>
      <c r="L452" s="4" t="s">
        <v>1260</v>
      </c>
    </row>
    <row r="453" spans="1:12" ht="28" x14ac:dyDescent="0.35">
      <c r="A453" s="4" t="s">
        <v>1157</v>
      </c>
      <c r="B453" s="4" t="s">
        <v>1938</v>
      </c>
      <c r="C453" s="4" t="s">
        <v>1271</v>
      </c>
      <c r="D453" s="4" t="s">
        <v>1766</v>
      </c>
      <c r="E453" s="4" t="s">
        <v>1844</v>
      </c>
      <c r="F453" s="4" t="s">
        <v>1255</v>
      </c>
      <c r="G453" s="4" t="s">
        <v>73</v>
      </c>
      <c r="H453" s="4" t="s">
        <v>1254</v>
      </c>
      <c r="I453" s="4" t="s">
        <v>457</v>
      </c>
      <c r="J453" s="4" t="s">
        <v>895</v>
      </c>
      <c r="K453" s="4" t="s">
        <v>1905</v>
      </c>
      <c r="L453" s="4" t="s">
        <v>1260</v>
      </c>
    </row>
    <row r="454" spans="1:12" ht="28" x14ac:dyDescent="0.35">
      <c r="A454" s="4" t="s">
        <v>1094</v>
      </c>
      <c r="B454" s="4" t="s">
        <v>1939</v>
      </c>
      <c r="C454" s="4" t="s">
        <v>1281</v>
      </c>
      <c r="D454" s="4" t="s">
        <v>1766</v>
      </c>
      <c r="E454" s="4" t="s">
        <v>1844</v>
      </c>
      <c r="F454" s="4" t="s">
        <v>1280</v>
      </c>
      <c r="G454" s="4" t="s">
        <v>47</v>
      </c>
      <c r="H454" s="4" t="s">
        <v>1279</v>
      </c>
      <c r="I454" s="4" t="s">
        <v>40</v>
      </c>
      <c r="J454" s="4" t="s">
        <v>1277</v>
      </c>
      <c r="K454" s="4" t="s">
        <v>1940</v>
      </c>
      <c r="L454" s="4" t="s">
        <v>1941</v>
      </c>
    </row>
    <row r="455" spans="1:12" ht="28" x14ac:dyDescent="0.35">
      <c r="A455" s="4" t="s">
        <v>940</v>
      </c>
      <c r="B455" s="4" t="s">
        <v>1289</v>
      </c>
      <c r="C455" s="4" t="s">
        <v>1289</v>
      </c>
      <c r="D455" s="4" t="s">
        <v>1754</v>
      </c>
      <c r="E455" s="4" t="s">
        <v>1755</v>
      </c>
      <c r="F455" s="4" t="s">
        <v>1288</v>
      </c>
      <c r="G455" s="4" t="s">
        <v>124</v>
      </c>
      <c r="H455" s="4" t="s">
        <v>1287</v>
      </c>
      <c r="I455" s="4" t="s">
        <v>142</v>
      </c>
      <c r="J455" s="4" t="s">
        <v>1277</v>
      </c>
      <c r="K455" s="4" t="s">
        <v>1889</v>
      </c>
      <c r="L455" s="4" t="s">
        <v>1941</v>
      </c>
    </row>
    <row r="456" spans="1:12" ht="28" x14ac:dyDescent="0.35">
      <c r="A456" s="4" t="s">
        <v>1034</v>
      </c>
      <c r="B456" s="4" t="s">
        <v>1026</v>
      </c>
      <c r="C456" s="4" t="s">
        <v>1296</v>
      </c>
      <c r="D456" s="4" t="s">
        <v>1766</v>
      </c>
      <c r="E456" s="4" t="s">
        <v>1844</v>
      </c>
      <c r="F456" s="4" t="s">
        <v>1295</v>
      </c>
      <c r="G456" s="4" t="s">
        <v>73</v>
      </c>
      <c r="H456" s="4" t="s">
        <v>1294</v>
      </c>
      <c r="I456" s="4" t="s">
        <v>170</v>
      </c>
      <c r="J456" s="4" t="s">
        <v>1277</v>
      </c>
      <c r="K456" s="4" t="s">
        <v>1940</v>
      </c>
      <c r="L456" s="4" t="s">
        <v>1941</v>
      </c>
    </row>
    <row r="457" spans="1:12" ht="28" x14ac:dyDescent="0.35">
      <c r="A457" s="4" t="s">
        <v>1339</v>
      </c>
      <c r="B457" s="4" t="s">
        <v>1333</v>
      </c>
      <c r="C457" s="4" t="s">
        <v>1296</v>
      </c>
      <c r="D457" s="4" t="s">
        <v>1766</v>
      </c>
      <c r="E457" s="4" t="s">
        <v>1844</v>
      </c>
      <c r="F457" s="4" t="s">
        <v>1295</v>
      </c>
      <c r="G457" s="4" t="s">
        <v>73</v>
      </c>
      <c r="H457" s="4" t="s">
        <v>1294</v>
      </c>
      <c r="I457" s="4" t="s">
        <v>170</v>
      </c>
      <c r="J457" s="4" t="s">
        <v>1277</v>
      </c>
      <c r="K457" s="4" t="s">
        <v>1940</v>
      </c>
      <c r="L457" s="4" t="s">
        <v>1941</v>
      </c>
    </row>
    <row r="458" spans="1:12" ht="28" x14ac:dyDescent="0.35">
      <c r="A458" s="4" t="s">
        <v>1115</v>
      </c>
      <c r="B458" s="4" t="s">
        <v>1639</v>
      </c>
      <c r="C458" s="4" t="s">
        <v>1305</v>
      </c>
      <c r="D458" s="4" t="s">
        <v>1766</v>
      </c>
      <c r="E458" s="4" t="s">
        <v>1844</v>
      </c>
      <c r="F458" s="4" t="s">
        <v>1304</v>
      </c>
      <c r="G458" s="4" t="s">
        <v>64</v>
      </c>
      <c r="H458" s="4" t="s">
        <v>1303</v>
      </c>
      <c r="I458" s="4" t="s">
        <v>177</v>
      </c>
      <c r="J458" s="4" t="s">
        <v>1277</v>
      </c>
      <c r="K458" s="4" t="s">
        <v>1940</v>
      </c>
      <c r="L458" s="4" t="s">
        <v>1941</v>
      </c>
    </row>
    <row r="459" spans="1:12" ht="28" x14ac:dyDescent="0.35">
      <c r="A459" s="4" t="s">
        <v>294</v>
      </c>
      <c r="B459" s="4" t="s">
        <v>1312</v>
      </c>
      <c r="C459" s="4" t="s">
        <v>1312</v>
      </c>
      <c r="D459" s="4" t="s">
        <v>1754</v>
      </c>
      <c r="E459" s="4" t="s">
        <v>1755</v>
      </c>
      <c r="F459" s="4" t="s">
        <v>1311</v>
      </c>
      <c r="G459" s="4" t="s">
        <v>305</v>
      </c>
      <c r="H459" s="4" t="s">
        <v>1310</v>
      </c>
      <c r="I459" s="4" t="s">
        <v>240</v>
      </c>
      <c r="J459" s="4" t="s">
        <v>1277</v>
      </c>
      <c r="K459" s="4" t="s">
        <v>1942</v>
      </c>
      <c r="L459" s="4" t="s">
        <v>1941</v>
      </c>
    </row>
    <row r="460" spans="1:12" ht="28" x14ac:dyDescent="0.35">
      <c r="A460" s="4" t="s">
        <v>1322</v>
      </c>
      <c r="B460" s="4" t="s">
        <v>1318</v>
      </c>
      <c r="C460" s="4" t="s">
        <v>1318</v>
      </c>
      <c r="D460" s="4" t="s">
        <v>1754</v>
      </c>
      <c r="E460" s="4" t="s">
        <v>1755</v>
      </c>
      <c r="F460" s="4" t="s">
        <v>1317</v>
      </c>
      <c r="G460" s="4" t="s">
        <v>312</v>
      </c>
      <c r="H460" s="4" t="s">
        <v>1316</v>
      </c>
      <c r="I460" s="4" t="s">
        <v>219</v>
      </c>
      <c r="J460" s="4" t="s">
        <v>1277</v>
      </c>
      <c r="K460" s="4" t="s">
        <v>1942</v>
      </c>
      <c r="L460" s="4" t="s">
        <v>1941</v>
      </c>
    </row>
    <row r="461" spans="1:12" ht="42" x14ac:dyDescent="0.35">
      <c r="A461" s="4" t="s">
        <v>940</v>
      </c>
      <c r="B461" s="4" t="s">
        <v>1289</v>
      </c>
      <c r="C461" s="4" t="s">
        <v>1289</v>
      </c>
      <c r="D461" s="4" t="s">
        <v>1754</v>
      </c>
      <c r="E461" s="4" t="s">
        <v>1755</v>
      </c>
      <c r="F461" s="4" t="s">
        <v>1325</v>
      </c>
      <c r="G461" s="4" t="s">
        <v>73</v>
      </c>
      <c r="H461" s="4" t="s">
        <v>1324</v>
      </c>
      <c r="I461" s="4" t="s">
        <v>184</v>
      </c>
      <c r="J461" s="4" t="s">
        <v>1076</v>
      </c>
      <c r="K461" s="4" t="s">
        <v>1889</v>
      </c>
      <c r="L461" s="4" t="s">
        <v>1328</v>
      </c>
    </row>
    <row r="462" spans="1:12" ht="42" x14ac:dyDescent="0.35">
      <c r="A462" s="4" t="s">
        <v>1339</v>
      </c>
      <c r="B462" s="4" t="s">
        <v>1333</v>
      </c>
      <c r="C462" s="4" t="s">
        <v>1333</v>
      </c>
      <c r="D462" s="4" t="s">
        <v>1754</v>
      </c>
      <c r="E462" s="4" t="s">
        <v>1755</v>
      </c>
      <c r="F462" s="4" t="s">
        <v>1332</v>
      </c>
      <c r="G462" s="4" t="s">
        <v>124</v>
      </c>
      <c r="H462" s="4" t="s">
        <v>1331</v>
      </c>
      <c r="I462" s="4" t="s">
        <v>219</v>
      </c>
      <c r="J462" s="4" t="s">
        <v>1076</v>
      </c>
      <c r="K462" s="4" t="s">
        <v>1940</v>
      </c>
      <c r="L462" s="4" t="s">
        <v>1336</v>
      </c>
    </row>
    <row r="463" spans="1:12" ht="42" x14ac:dyDescent="0.35">
      <c r="A463" s="4" t="s">
        <v>1350</v>
      </c>
      <c r="B463" s="4" t="s">
        <v>1343</v>
      </c>
      <c r="C463" s="4" t="s">
        <v>1343</v>
      </c>
      <c r="D463" s="4" t="s">
        <v>1754</v>
      </c>
      <c r="E463" s="4" t="s">
        <v>1755</v>
      </c>
      <c r="F463" s="4" t="s">
        <v>1342</v>
      </c>
      <c r="G463" s="4" t="s">
        <v>84</v>
      </c>
      <c r="H463" s="4" t="s">
        <v>1341</v>
      </c>
      <c r="I463" s="4" t="s">
        <v>457</v>
      </c>
      <c r="J463" s="4" t="s">
        <v>261</v>
      </c>
      <c r="K463" s="4" t="s">
        <v>1943</v>
      </c>
      <c r="L463" s="4" t="s">
        <v>1347</v>
      </c>
    </row>
    <row r="464" spans="1:12" ht="28" x14ac:dyDescent="0.35">
      <c r="A464" s="4" t="s">
        <v>1058</v>
      </c>
      <c r="B464" s="4" t="s">
        <v>1050</v>
      </c>
      <c r="C464" s="4" t="s">
        <v>1050</v>
      </c>
      <c r="D464" s="4" t="s">
        <v>1754</v>
      </c>
      <c r="E464" s="4" t="s">
        <v>1755</v>
      </c>
      <c r="F464" s="4" t="s">
        <v>1353</v>
      </c>
      <c r="G464" s="4" t="s">
        <v>124</v>
      </c>
      <c r="H464" s="4" t="s">
        <v>1352</v>
      </c>
      <c r="I464" s="4" t="s">
        <v>457</v>
      </c>
      <c r="J464" s="4" t="s">
        <v>895</v>
      </c>
      <c r="K464" s="4" t="s">
        <v>1889</v>
      </c>
      <c r="L464" s="4" t="s">
        <v>1356</v>
      </c>
    </row>
    <row r="465" spans="1:12" x14ac:dyDescent="0.35">
      <c r="A465" t="s">
        <v>1369</v>
      </c>
      <c r="B465" t="s">
        <v>1944</v>
      </c>
      <c r="C465" t="s">
        <v>857</v>
      </c>
      <c r="D465" t="s">
        <v>1945</v>
      </c>
      <c r="E465" t="s">
        <v>1946</v>
      </c>
      <c r="F465" t="s">
        <v>1360</v>
      </c>
      <c r="G465" t="s">
        <v>47</v>
      </c>
      <c r="H465" t="s">
        <v>1947</v>
      </c>
      <c r="I465" t="s">
        <v>116</v>
      </c>
      <c r="J465" t="s">
        <v>1277</v>
      </c>
      <c r="K465" t="s">
        <v>1948</v>
      </c>
      <c r="L465" t="s">
        <v>1365</v>
      </c>
    </row>
    <row r="466" spans="1:12" x14ac:dyDescent="0.35">
      <c r="A466" t="s">
        <v>1369</v>
      </c>
      <c r="B466" t="s">
        <v>1944</v>
      </c>
      <c r="C466" t="s">
        <v>857</v>
      </c>
      <c r="D466" t="s">
        <v>1945</v>
      </c>
      <c r="E466" t="s">
        <v>1946</v>
      </c>
      <c r="F466" t="s">
        <v>1360</v>
      </c>
      <c r="G466" t="s">
        <v>47</v>
      </c>
      <c r="H466" t="s">
        <v>1947</v>
      </c>
      <c r="I466" t="s">
        <v>40</v>
      </c>
      <c r="J466" t="s">
        <v>1277</v>
      </c>
      <c r="K466" t="s">
        <v>1948</v>
      </c>
      <c r="L466" t="s">
        <v>1365</v>
      </c>
    </row>
    <row r="467" spans="1:12" x14ac:dyDescent="0.35">
      <c r="A467" t="s">
        <v>1369</v>
      </c>
      <c r="B467" t="s">
        <v>1944</v>
      </c>
      <c r="C467" t="s">
        <v>857</v>
      </c>
      <c r="D467" t="s">
        <v>1945</v>
      </c>
      <c r="E467" t="s">
        <v>1946</v>
      </c>
      <c r="F467" t="s">
        <v>1360</v>
      </c>
      <c r="G467" t="s">
        <v>47</v>
      </c>
      <c r="H467" t="s">
        <v>1947</v>
      </c>
      <c r="I467" t="s">
        <v>156</v>
      </c>
      <c r="J467" t="s">
        <v>1277</v>
      </c>
      <c r="K467" t="s">
        <v>1948</v>
      </c>
      <c r="L467" t="s">
        <v>1365</v>
      </c>
    </row>
    <row r="468" spans="1:12" x14ac:dyDescent="0.35">
      <c r="A468" t="s">
        <v>1369</v>
      </c>
      <c r="B468" t="s">
        <v>1944</v>
      </c>
      <c r="C468" t="s">
        <v>857</v>
      </c>
      <c r="D468" t="s">
        <v>1945</v>
      </c>
      <c r="E468" t="s">
        <v>1946</v>
      </c>
      <c r="F468" t="s">
        <v>1360</v>
      </c>
      <c r="G468" t="s">
        <v>47</v>
      </c>
      <c r="H468" t="s">
        <v>1947</v>
      </c>
      <c r="I468" t="s">
        <v>149</v>
      </c>
      <c r="J468" t="s">
        <v>1277</v>
      </c>
      <c r="K468" t="s">
        <v>1948</v>
      </c>
      <c r="L468" t="s">
        <v>1365</v>
      </c>
    </row>
    <row r="469" spans="1:12" x14ac:dyDescent="0.35">
      <c r="A469" t="s">
        <v>1369</v>
      </c>
      <c r="B469" t="s">
        <v>1944</v>
      </c>
      <c r="C469" t="s">
        <v>857</v>
      </c>
      <c r="D469" t="s">
        <v>1945</v>
      </c>
      <c r="E469" t="s">
        <v>1946</v>
      </c>
      <c r="F469" t="s">
        <v>1360</v>
      </c>
      <c r="G469" t="s">
        <v>124</v>
      </c>
      <c r="H469" t="s">
        <v>1947</v>
      </c>
      <c r="I469" t="s">
        <v>123</v>
      </c>
      <c r="J469" t="s">
        <v>1277</v>
      </c>
      <c r="K469" t="s">
        <v>1948</v>
      </c>
      <c r="L469" t="s">
        <v>1365</v>
      </c>
    </row>
    <row r="470" spans="1:12" x14ac:dyDescent="0.35">
      <c r="A470" t="s">
        <v>1369</v>
      </c>
      <c r="B470" t="s">
        <v>1944</v>
      </c>
      <c r="C470" t="s">
        <v>857</v>
      </c>
      <c r="D470" t="s">
        <v>1945</v>
      </c>
      <c r="E470" t="s">
        <v>1946</v>
      </c>
      <c r="F470" t="s">
        <v>1360</v>
      </c>
      <c r="G470" t="s">
        <v>124</v>
      </c>
      <c r="H470" t="s">
        <v>1947</v>
      </c>
      <c r="I470" t="s">
        <v>135</v>
      </c>
      <c r="J470" t="s">
        <v>1277</v>
      </c>
      <c r="K470" t="s">
        <v>1948</v>
      </c>
      <c r="L470" t="s">
        <v>1365</v>
      </c>
    </row>
    <row r="471" spans="1:12" x14ac:dyDescent="0.35">
      <c r="A471" t="s">
        <v>1369</v>
      </c>
      <c r="B471" t="s">
        <v>1944</v>
      </c>
      <c r="C471" t="s">
        <v>857</v>
      </c>
      <c r="D471" t="s">
        <v>1945</v>
      </c>
      <c r="E471" t="s">
        <v>1946</v>
      </c>
      <c r="F471" t="s">
        <v>1360</v>
      </c>
      <c r="G471" t="s">
        <v>124</v>
      </c>
      <c r="H471" t="s">
        <v>1947</v>
      </c>
      <c r="I471" t="s">
        <v>142</v>
      </c>
      <c r="J471" t="s">
        <v>1277</v>
      </c>
      <c r="K471" t="s">
        <v>1948</v>
      </c>
      <c r="L471" t="s">
        <v>1365</v>
      </c>
    </row>
    <row r="472" spans="1:12" x14ac:dyDescent="0.35">
      <c r="A472" t="s">
        <v>1369</v>
      </c>
      <c r="B472" t="s">
        <v>1944</v>
      </c>
      <c r="C472" t="s">
        <v>857</v>
      </c>
      <c r="D472" t="s">
        <v>1945</v>
      </c>
      <c r="E472" t="s">
        <v>1946</v>
      </c>
      <c r="F472" t="s">
        <v>1360</v>
      </c>
      <c r="G472" t="s">
        <v>73</v>
      </c>
      <c r="H472" t="s">
        <v>1947</v>
      </c>
      <c r="I472" t="s">
        <v>170</v>
      </c>
      <c r="J472" t="s">
        <v>1277</v>
      </c>
      <c r="K472" t="s">
        <v>1948</v>
      </c>
      <c r="L472" t="s">
        <v>1365</v>
      </c>
    </row>
    <row r="473" spans="1:12" x14ac:dyDescent="0.35">
      <c r="A473" t="s">
        <v>1369</v>
      </c>
      <c r="B473" t="s">
        <v>1944</v>
      </c>
      <c r="C473" t="s">
        <v>857</v>
      </c>
      <c r="D473" t="s">
        <v>1945</v>
      </c>
      <c r="E473" t="s">
        <v>1946</v>
      </c>
      <c r="F473" t="s">
        <v>1360</v>
      </c>
      <c r="G473" t="s">
        <v>73</v>
      </c>
      <c r="H473" t="s">
        <v>1947</v>
      </c>
      <c r="I473" t="s">
        <v>163</v>
      </c>
      <c r="J473" t="s">
        <v>1277</v>
      </c>
      <c r="K473" t="s">
        <v>1948</v>
      </c>
      <c r="L473" t="s">
        <v>1365</v>
      </c>
    </row>
    <row r="474" spans="1:12" x14ac:dyDescent="0.35">
      <c r="A474" t="s">
        <v>1369</v>
      </c>
      <c r="B474" t="s">
        <v>1944</v>
      </c>
      <c r="C474" t="s">
        <v>857</v>
      </c>
      <c r="D474" t="s">
        <v>1945</v>
      </c>
      <c r="E474" t="s">
        <v>1946</v>
      </c>
      <c r="F474" t="s">
        <v>1360</v>
      </c>
      <c r="G474" t="s">
        <v>64</v>
      </c>
      <c r="H474" t="s">
        <v>1947</v>
      </c>
      <c r="I474" t="s">
        <v>177</v>
      </c>
      <c r="J474" t="s">
        <v>1277</v>
      </c>
      <c r="K474" t="s">
        <v>1948</v>
      </c>
      <c r="L474" t="s">
        <v>1365</v>
      </c>
    </row>
    <row r="475" spans="1:12" x14ac:dyDescent="0.35">
      <c r="A475" t="s">
        <v>1369</v>
      </c>
      <c r="B475" t="s">
        <v>1944</v>
      </c>
      <c r="C475" t="s">
        <v>857</v>
      </c>
      <c r="D475" t="s">
        <v>1945</v>
      </c>
      <c r="E475" t="s">
        <v>1946</v>
      </c>
      <c r="F475" t="s">
        <v>1360</v>
      </c>
      <c r="G475" t="s">
        <v>64</v>
      </c>
      <c r="H475" t="s">
        <v>1947</v>
      </c>
      <c r="I475" t="s">
        <v>184</v>
      </c>
      <c r="J475" t="s">
        <v>1277</v>
      </c>
      <c r="K475" t="s">
        <v>1948</v>
      </c>
      <c r="L475" t="s">
        <v>1365</v>
      </c>
    </row>
    <row r="476" spans="1:12" x14ac:dyDescent="0.35">
      <c r="A476" t="s">
        <v>1369</v>
      </c>
      <c r="B476" t="s">
        <v>1944</v>
      </c>
      <c r="C476" t="s">
        <v>857</v>
      </c>
      <c r="D476" t="s">
        <v>1945</v>
      </c>
      <c r="E476" t="s">
        <v>1946</v>
      </c>
      <c r="F476" t="s">
        <v>1360</v>
      </c>
      <c r="G476" t="s">
        <v>64</v>
      </c>
      <c r="H476" t="s">
        <v>1947</v>
      </c>
      <c r="I476" t="s">
        <v>191</v>
      </c>
      <c r="J476" t="s">
        <v>1277</v>
      </c>
      <c r="K476" t="s">
        <v>1948</v>
      </c>
      <c r="L476" t="s">
        <v>1365</v>
      </c>
    </row>
    <row r="477" spans="1:12" x14ac:dyDescent="0.35">
      <c r="A477" t="s">
        <v>1369</v>
      </c>
      <c r="B477" t="s">
        <v>1944</v>
      </c>
      <c r="C477" t="s">
        <v>857</v>
      </c>
      <c r="D477" t="s">
        <v>1945</v>
      </c>
      <c r="E477" t="s">
        <v>1946</v>
      </c>
      <c r="F477" t="s">
        <v>1360</v>
      </c>
      <c r="G477" t="s">
        <v>64</v>
      </c>
      <c r="H477" t="s">
        <v>1947</v>
      </c>
      <c r="I477" t="s">
        <v>226</v>
      </c>
      <c r="J477" t="s">
        <v>1277</v>
      </c>
      <c r="K477" t="s">
        <v>1948</v>
      </c>
      <c r="L477" t="s">
        <v>1365</v>
      </c>
    </row>
    <row r="478" spans="1:12" x14ac:dyDescent="0.35">
      <c r="A478" t="s">
        <v>1369</v>
      </c>
      <c r="B478" t="s">
        <v>1944</v>
      </c>
      <c r="C478" t="s">
        <v>857</v>
      </c>
      <c r="D478" t="s">
        <v>1945</v>
      </c>
      <c r="E478" t="s">
        <v>1946</v>
      </c>
      <c r="F478" t="s">
        <v>1360</v>
      </c>
      <c r="G478" t="s">
        <v>305</v>
      </c>
      <c r="H478" t="s">
        <v>1947</v>
      </c>
      <c r="I478" t="s">
        <v>198</v>
      </c>
      <c r="J478" t="s">
        <v>1277</v>
      </c>
      <c r="K478" t="s">
        <v>1948</v>
      </c>
      <c r="L478" t="s">
        <v>1365</v>
      </c>
    </row>
    <row r="479" spans="1:12" x14ac:dyDescent="0.35">
      <c r="A479" t="s">
        <v>1369</v>
      </c>
      <c r="B479" t="s">
        <v>1944</v>
      </c>
      <c r="C479" t="s">
        <v>857</v>
      </c>
      <c r="D479" t="s">
        <v>1945</v>
      </c>
      <c r="E479" t="s">
        <v>1946</v>
      </c>
      <c r="F479" t="s">
        <v>1360</v>
      </c>
      <c r="G479" t="s">
        <v>305</v>
      </c>
      <c r="H479" t="s">
        <v>1947</v>
      </c>
      <c r="I479" t="s">
        <v>205</v>
      </c>
      <c r="J479" t="s">
        <v>1277</v>
      </c>
      <c r="K479" t="s">
        <v>1948</v>
      </c>
      <c r="L479" t="s">
        <v>1365</v>
      </c>
    </row>
    <row r="480" spans="1:12" x14ac:dyDescent="0.35">
      <c r="A480" t="s">
        <v>1369</v>
      </c>
      <c r="B480" t="s">
        <v>1944</v>
      </c>
      <c r="C480" t="s">
        <v>857</v>
      </c>
      <c r="D480" t="s">
        <v>1945</v>
      </c>
      <c r="E480" t="s">
        <v>1946</v>
      </c>
      <c r="F480" t="s">
        <v>1360</v>
      </c>
      <c r="G480" t="s">
        <v>305</v>
      </c>
      <c r="H480" t="s">
        <v>1947</v>
      </c>
      <c r="I480" t="s">
        <v>233</v>
      </c>
      <c r="J480" t="s">
        <v>1277</v>
      </c>
      <c r="K480" t="s">
        <v>1948</v>
      </c>
      <c r="L480" t="s">
        <v>1365</v>
      </c>
    </row>
    <row r="481" spans="1:12" x14ac:dyDescent="0.35">
      <c r="A481" t="s">
        <v>1369</v>
      </c>
      <c r="B481" t="s">
        <v>1944</v>
      </c>
      <c r="C481" t="s">
        <v>857</v>
      </c>
      <c r="D481" t="s">
        <v>1945</v>
      </c>
      <c r="E481" t="s">
        <v>1946</v>
      </c>
      <c r="F481" t="s">
        <v>1360</v>
      </c>
      <c r="G481" t="s">
        <v>305</v>
      </c>
      <c r="H481" t="s">
        <v>1947</v>
      </c>
      <c r="I481" t="s">
        <v>240</v>
      </c>
      <c r="J481" t="s">
        <v>1277</v>
      </c>
      <c r="K481" t="s">
        <v>1948</v>
      </c>
      <c r="L481" t="s">
        <v>1365</v>
      </c>
    </row>
    <row r="482" spans="1:12" x14ac:dyDescent="0.35">
      <c r="A482" t="s">
        <v>1369</v>
      </c>
      <c r="B482" t="s">
        <v>1944</v>
      </c>
      <c r="C482" t="s">
        <v>857</v>
      </c>
      <c r="D482" t="s">
        <v>1945</v>
      </c>
      <c r="E482" t="s">
        <v>1946</v>
      </c>
      <c r="F482" t="s">
        <v>1360</v>
      </c>
      <c r="G482" t="s">
        <v>312</v>
      </c>
      <c r="H482" t="s">
        <v>1947</v>
      </c>
      <c r="I482" t="s">
        <v>212</v>
      </c>
      <c r="J482" t="s">
        <v>1277</v>
      </c>
      <c r="K482" t="s">
        <v>1948</v>
      </c>
      <c r="L482" t="s">
        <v>1365</v>
      </c>
    </row>
    <row r="483" spans="1:12" x14ac:dyDescent="0.35">
      <c r="A483" t="s">
        <v>1369</v>
      </c>
      <c r="B483" t="s">
        <v>1944</v>
      </c>
      <c r="C483" t="s">
        <v>857</v>
      </c>
      <c r="D483" t="s">
        <v>1945</v>
      </c>
      <c r="E483" t="s">
        <v>1946</v>
      </c>
      <c r="F483" t="s">
        <v>1360</v>
      </c>
      <c r="G483" t="s">
        <v>312</v>
      </c>
      <c r="H483" t="s">
        <v>1947</v>
      </c>
      <c r="I483" t="s">
        <v>219</v>
      </c>
      <c r="J483" t="s">
        <v>1277</v>
      </c>
      <c r="K483" t="s">
        <v>1948</v>
      </c>
      <c r="L483" t="s">
        <v>1365</v>
      </c>
    </row>
    <row r="484" spans="1:12" x14ac:dyDescent="0.35">
      <c r="A484" t="s">
        <v>1369</v>
      </c>
      <c r="B484" t="s">
        <v>1944</v>
      </c>
      <c r="C484" t="s">
        <v>857</v>
      </c>
      <c r="D484" t="s">
        <v>1945</v>
      </c>
      <c r="E484" t="s">
        <v>1946</v>
      </c>
      <c r="F484" t="s">
        <v>1360</v>
      </c>
      <c r="G484" t="s">
        <v>312</v>
      </c>
      <c r="H484" t="s">
        <v>1947</v>
      </c>
      <c r="I484" t="s">
        <v>247</v>
      </c>
      <c r="J484" t="s">
        <v>1277</v>
      </c>
      <c r="K484" t="s">
        <v>1948</v>
      </c>
      <c r="L484" t="s">
        <v>1365</v>
      </c>
    </row>
    <row r="485" spans="1:12" x14ac:dyDescent="0.35">
      <c r="A485" t="s">
        <v>1369</v>
      </c>
      <c r="B485" t="s">
        <v>1944</v>
      </c>
      <c r="C485" t="s">
        <v>857</v>
      </c>
      <c r="D485" t="s">
        <v>1945</v>
      </c>
      <c r="E485" t="s">
        <v>1946</v>
      </c>
      <c r="F485" t="s">
        <v>1360</v>
      </c>
      <c r="G485" t="s">
        <v>312</v>
      </c>
      <c r="H485" t="s">
        <v>1947</v>
      </c>
      <c r="I485" t="s">
        <v>254</v>
      </c>
      <c r="J485" t="s">
        <v>1277</v>
      </c>
      <c r="K485" t="s">
        <v>1948</v>
      </c>
      <c r="L485" t="s">
        <v>1365</v>
      </c>
    </row>
    <row r="486" spans="1:12" x14ac:dyDescent="0.35">
      <c r="A486" t="s">
        <v>1369</v>
      </c>
      <c r="B486" t="s">
        <v>1944</v>
      </c>
      <c r="C486" t="s">
        <v>857</v>
      </c>
      <c r="D486" t="s">
        <v>1945</v>
      </c>
      <c r="E486" t="s">
        <v>1946</v>
      </c>
      <c r="F486" t="s">
        <v>1407</v>
      </c>
      <c r="G486" t="s">
        <v>47</v>
      </c>
      <c r="H486" t="s">
        <v>1949</v>
      </c>
      <c r="I486" t="s">
        <v>40</v>
      </c>
      <c r="J486" t="s">
        <v>1404</v>
      </c>
      <c r="K486" t="s">
        <v>1950</v>
      </c>
      <c r="L486" t="s">
        <v>1411</v>
      </c>
    </row>
    <row r="487" spans="1:12" x14ac:dyDescent="0.35">
      <c r="A487" t="s">
        <v>1369</v>
      </c>
      <c r="B487" t="s">
        <v>1944</v>
      </c>
      <c r="C487" t="s">
        <v>857</v>
      </c>
      <c r="D487" t="s">
        <v>1945</v>
      </c>
      <c r="E487" t="s">
        <v>1946</v>
      </c>
      <c r="F487" t="s">
        <v>1407</v>
      </c>
      <c r="G487" t="s">
        <v>47</v>
      </c>
      <c r="H487" t="s">
        <v>1949</v>
      </c>
      <c r="I487" t="s">
        <v>116</v>
      </c>
      <c r="J487" t="s">
        <v>1404</v>
      </c>
      <c r="K487" t="s">
        <v>1950</v>
      </c>
      <c r="L487" t="s">
        <v>1411</v>
      </c>
    </row>
    <row r="488" spans="1:12" x14ac:dyDescent="0.35">
      <c r="A488" t="s">
        <v>1369</v>
      </c>
      <c r="B488" t="s">
        <v>1944</v>
      </c>
      <c r="C488" t="s">
        <v>857</v>
      </c>
      <c r="D488" t="s">
        <v>1945</v>
      </c>
      <c r="E488" t="s">
        <v>1946</v>
      </c>
      <c r="F488" t="s">
        <v>1407</v>
      </c>
      <c r="G488" t="s">
        <v>47</v>
      </c>
      <c r="H488" t="s">
        <v>1949</v>
      </c>
      <c r="I488" t="s">
        <v>156</v>
      </c>
      <c r="J488" t="s">
        <v>1404</v>
      </c>
      <c r="K488" t="s">
        <v>1950</v>
      </c>
      <c r="L488" t="s">
        <v>1411</v>
      </c>
    </row>
    <row r="489" spans="1:12" x14ac:dyDescent="0.35">
      <c r="A489" t="s">
        <v>1369</v>
      </c>
      <c r="B489" t="s">
        <v>1944</v>
      </c>
      <c r="C489" t="s">
        <v>857</v>
      </c>
      <c r="D489" t="s">
        <v>1945</v>
      </c>
      <c r="E489" t="s">
        <v>1946</v>
      </c>
      <c r="F489" t="s">
        <v>1407</v>
      </c>
      <c r="G489" t="s">
        <v>47</v>
      </c>
      <c r="H489" t="s">
        <v>1949</v>
      </c>
      <c r="I489" t="s">
        <v>149</v>
      </c>
      <c r="J489" t="s">
        <v>1404</v>
      </c>
      <c r="K489" t="s">
        <v>1950</v>
      </c>
      <c r="L489" t="s">
        <v>1411</v>
      </c>
    </row>
    <row r="490" spans="1:12" x14ac:dyDescent="0.35">
      <c r="A490" t="s">
        <v>1369</v>
      </c>
      <c r="B490" t="s">
        <v>1944</v>
      </c>
      <c r="C490" t="s">
        <v>857</v>
      </c>
      <c r="D490" t="s">
        <v>1945</v>
      </c>
      <c r="E490" t="s">
        <v>1946</v>
      </c>
      <c r="F490" t="s">
        <v>1407</v>
      </c>
      <c r="G490" t="s">
        <v>47</v>
      </c>
      <c r="H490" t="s">
        <v>1949</v>
      </c>
      <c r="I490" t="s">
        <v>123</v>
      </c>
      <c r="J490" t="s">
        <v>1404</v>
      </c>
      <c r="K490" t="s">
        <v>1950</v>
      </c>
      <c r="L490" t="s">
        <v>1411</v>
      </c>
    </row>
    <row r="491" spans="1:12" x14ac:dyDescent="0.35">
      <c r="A491" t="s">
        <v>1369</v>
      </c>
      <c r="B491" t="s">
        <v>1944</v>
      </c>
      <c r="C491" t="s">
        <v>857</v>
      </c>
      <c r="D491" t="s">
        <v>1945</v>
      </c>
      <c r="E491" t="s">
        <v>1946</v>
      </c>
      <c r="F491" t="s">
        <v>1407</v>
      </c>
      <c r="G491" t="s">
        <v>47</v>
      </c>
      <c r="H491" t="s">
        <v>1949</v>
      </c>
      <c r="I491" t="s">
        <v>135</v>
      </c>
      <c r="J491" t="s">
        <v>1404</v>
      </c>
      <c r="K491" t="s">
        <v>1950</v>
      </c>
      <c r="L491" t="s">
        <v>1411</v>
      </c>
    </row>
    <row r="492" spans="1:12" x14ac:dyDescent="0.35">
      <c r="A492" t="s">
        <v>1369</v>
      </c>
      <c r="B492" t="s">
        <v>1944</v>
      </c>
      <c r="C492" t="s">
        <v>857</v>
      </c>
      <c r="D492" t="s">
        <v>1945</v>
      </c>
      <c r="E492" t="s">
        <v>1946</v>
      </c>
      <c r="F492" t="s">
        <v>1407</v>
      </c>
      <c r="G492" t="s">
        <v>47</v>
      </c>
      <c r="H492" t="s">
        <v>1949</v>
      </c>
      <c r="I492" t="s">
        <v>142</v>
      </c>
      <c r="J492" t="s">
        <v>1404</v>
      </c>
      <c r="K492" t="s">
        <v>1950</v>
      </c>
      <c r="L492" t="s">
        <v>1411</v>
      </c>
    </row>
    <row r="493" spans="1:12" x14ac:dyDescent="0.35">
      <c r="A493" t="s">
        <v>1369</v>
      </c>
      <c r="B493" t="s">
        <v>1944</v>
      </c>
      <c r="C493" t="s">
        <v>857</v>
      </c>
      <c r="D493" t="s">
        <v>1945</v>
      </c>
      <c r="E493" t="s">
        <v>1946</v>
      </c>
      <c r="F493" t="s">
        <v>1407</v>
      </c>
      <c r="G493" t="s">
        <v>124</v>
      </c>
      <c r="H493" t="s">
        <v>1949</v>
      </c>
      <c r="I493" t="s">
        <v>212</v>
      </c>
      <c r="J493" t="s">
        <v>1404</v>
      </c>
      <c r="K493" t="s">
        <v>1950</v>
      </c>
      <c r="L493" t="s">
        <v>1411</v>
      </c>
    </row>
    <row r="494" spans="1:12" x14ac:dyDescent="0.35">
      <c r="A494" t="s">
        <v>1369</v>
      </c>
      <c r="B494" t="s">
        <v>1944</v>
      </c>
      <c r="C494" t="s">
        <v>857</v>
      </c>
      <c r="D494" t="s">
        <v>1945</v>
      </c>
      <c r="E494" t="s">
        <v>1946</v>
      </c>
      <c r="F494" t="s">
        <v>1407</v>
      </c>
      <c r="G494" t="s">
        <v>124</v>
      </c>
      <c r="H494" t="s">
        <v>1949</v>
      </c>
      <c r="I494" t="s">
        <v>247</v>
      </c>
      <c r="J494" t="s">
        <v>1404</v>
      </c>
      <c r="K494" t="s">
        <v>1950</v>
      </c>
      <c r="L494" t="s">
        <v>1411</v>
      </c>
    </row>
    <row r="495" spans="1:12" x14ac:dyDescent="0.35">
      <c r="A495" t="s">
        <v>1369</v>
      </c>
      <c r="B495" t="s">
        <v>1944</v>
      </c>
      <c r="C495" t="s">
        <v>857</v>
      </c>
      <c r="D495" t="s">
        <v>1945</v>
      </c>
      <c r="E495" t="s">
        <v>1946</v>
      </c>
      <c r="F495" t="s">
        <v>1407</v>
      </c>
      <c r="G495" t="s">
        <v>124</v>
      </c>
      <c r="H495" t="s">
        <v>1949</v>
      </c>
      <c r="I495" t="s">
        <v>219</v>
      </c>
      <c r="J495" t="s">
        <v>1404</v>
      </c>
      <c r="K495" t="s">
        <v>1950</v>
      </c>
      <c r="L495" t="s">
        <v>1411</v>
      </c>
    </row>
    <row r="496" spans="1:12" x14ac:dyDescent="0.35">
      <c r="A496" t="s">
        <v>1369</v>
      </c>
      <c r="B496" t="s">
        <v>1944</v>
      </c>
      <c r="C496" t="s">
        <v>857</v>
      </c>
      <c r="D496" t="s">
        <v>1945</v>
      </c>
      <c r="E496" t="s">
        <v>1946</v>
      </c>
      <c r="F496" t="s">
        <v>1407</v>
      </c>
      <c r="G496" t="s">
        <v>124</v>
      </c>
      <c r="H496" t="s">
        <v>1949</v>
      </c>
      <c r="I496" t="s">
        <v>254</v>
      </c>
      <c r="J496" t="s">
        <v>1404</v>
      </c>
      <c r="K496" t="s">
        <v>1950</v>
      </c>
      <c r="L496" t="s">
        <v>1411</v>
      </c>
    </row>
    <row r="497" spans="1:12" x14ac:dyDescent="0.35">
      <c r="A497" t="s">
        <v>1369</v>
      </c>
      <c r="B497" t="s">
        <v>1944</v>
      </c>
      <c r="C497" t="s">
        <v>857</v>
      </c>
      <c r="D497" t="s">
        <v>1945</v>
      </c>
      <c r="E497" t="s">
        <v>1946</v>
      </c>
      <c r="F497" t="s">
        <v>1407</v>
      </c>
      <c r="G497" t="s">
        <v>124</v>
      </c>
      <c r="H497" t="s">
        <v>1949</v>
      </c>
      <c r="I497" t="s">
        <v>205</v>
      </c>
      <c r="J497" t="s">
        <v>1404</v>
      </c>
      <c r="K497" t="s">
        <v>1950</v>
      </c>
      <c r="L497" t="s">
        <v>1411</v>
      </c>
    </row>
    <row r="498" spans="1:12" x14ac:dyDescent="0.35">
      <c r="A498" t="s">
        <v>1369</v>
      </c>
      <c r="B498" t="s">
        <v>1944</v>
      </c>
      <c r="C498" t="s">
        <v>857</v>
      </c>
      <c r="D498" t="s">
        <v>1945</v>
      </c>
      <c r="E498" t="s">
        <v>1946</v>
      </c>
      <c r="F498" t="s">
        <v>1407</v>
      </c>
      <c r="G498" t="s">
        <v>124</v>
      </c>
      <c r="H498" t="s">
        <v>1949</v>
      </c>
      <c r="I498" t="s">
        <v>240</v>
      </c>
      <c r="J498" t="s">
        <v>1404</v>
      </c>
      <c r="K498" t="s">
        <v>1950</v>
      </c>
      <c r="L498" t="s">
        <v>1411</v>
      </c>
    </row>
    <row r="499" spans="1:12" x14ac:dyDescent="0.35">
      <c r="A499" t="s">
        <v>1369</v>
      </c>
      <c r="B499" t="s">
        <v>1944</v>
      </c>
      <c r="C499" t="s">
        <v>857</v>
      </c>
      <c r="D499" t="s">
        <v>1945</v>
      </c>
      <c r="E499" t="s">
        <v>1946</v>
      </c>
      <c r="F499" t="s">
        <v>1407</v>
      </c>
      <c r="G499" t="s">
        <v>124</v>
      </c>
      <c r="H499" t="s">
        <v>1949</v>
      </c>
      <c r="I499" t="s">
        <v>233</v>
      </c>
      <c r="J499" t="s">
        <v>1404</v>
      </c>
      <c r="K499" t="s">
        <v>1950</v>
      </c>
      <c r="L499" t="s">
        <v>1411</v>
      </c>
    </row>
    <row r="500" spans="1:12" x14ac:dyDescent="0.35">
      <c r="A500" t="s">
        <v>1369</v>
      </c>
      <c r="B500" t="s">
        <v>1944</v>
      </c>
      <c r="C500" t="s">
        <v>857</v>
      </c>
      <c r="D500" t="s">
        <v>1945</v>
      </c>
      <c r="E500" t="s">
        <v>1946</v>
      </c>
      <c r="F500" t="s">
        <v>1407</v>
      </c>
      <c r="G500" t="s">
        <v>124</v>
      </c>
      <c r="H500" t="s">
        <v>1949</v>
      </c>
      <c r="I500" t="s">
        <v>198</v>
      </c>
      <c r="J500" t="s">
        <v>1404</v>
      </c>
      <c r="K500" t="s">
        <v>1950</v>
      </c>
      <c r="L500" t="s">
        <v>1411</v>
      </c>
    </row>
    <row r="501" spans="1:12" x14ac:dyDescent="0.35">
      <c r="A501" t="s">
        <v>1369</v>
      </c>
      <c r="B501" t="s">
        <v>1944</v>
      </c>
      <c r="C501" t="s">
        <v>857</v>
      </c>
      <c r="D501" t="s">
        <v>1945</v>
      </c>
      <c r="E501" t="s">
        <v>1946</v>
      </c>
      <c r="F501" t="s">
        <v>1407</v>
      </c>
      <c r="G501" t="s">
        <v>73</v>
      </c>
      <c r="H501" t="s">
        <v>1949</v>
      </c>
      <c r="I501" t="s">
        <v>163</v>
      </c>
      <c r="J501" t="s">
        <v>1404</v>
      </c>
      <c r="K501" t="s">
        <v>1950</v>
      </c>
      <c r="L501" t="s">
        <v>1411</v>
      </c>
    </row>
    <row r="502" spans="1:12" x14ac:dyDescent="0.35">
      <c r="A502" t="s">
        <v>1369</v>
      </c>
      <c r="B502" t="s">
        <v>1944</v>
      </c>
      <c r="C502" t="s">
        <v>857</v>
      </c>
      <c r="D502" t="s">
        <v>1945</v>
      </c>
      <c r="E502" t="s">
        <v>1946</v>
      </c>
      <c r="F502" t="s">
        <v>1407</v>
      </c>
      <c r="G502" t="s">
        <v>73</v>
      </c>
      <c r="H502" t="s">
        <v>1949</v>
      </c>
      <c r="I502" t="s">
        <v>170</v>
      </c>
      <c r="J502" t="s">
        <v>1404</v>
      </c>
      <c r="K502" t="s">
        <v>1950</v>
      </c>
      <c r="L502" t="s">
        <v>1411</v>
      </c>
    </row>
    <row r="503" spans="1:12" x14ac:dyDescent="0.35">
      <c r="A503" t="s">
        <v>1369</v>
      </c>
      <c r="B503" t="s">
        <v>1944</v>
      </c>
      <c r="C503" t="s">
        <v>857</v>
      </c>
      <c r="D503" t="s">
        <v>1945</v>
      </c>
      <c r="E503" t="s">
        <v>1946</v>
      </c>
      <c r="F503" t="s">
        <v>1407</v>
      </c>
      <c r="G503" t="s">
        <v>73</v>
      </c>
      <c r="H503" t="s">
        <v>1949</v>
      </c>
      <c r="I503" t="s">
        <v>177</v>
      </c>
      <c r="J503" t="s">
        <v>1404</v>
      </c>
      <c r="K503" t="s">
        <v>1950</v>
      </c>
      <c r="L503" t="s">
        <v>1411</v>
      </c>
    </row>
    <row r="504" spans="1:12" x14ac:dyDescent="0.35">
      <c r="A504" t="s">
        <v>1369</v>
      </c>
      <c r="B504" t="s">
        <v>1944</v>
      </c>
      <c r="C504" t="s">
        <v>857</v>
      </c>
      <c r="D504" t="s">
        <v>1945</v>
      </c>
      <c r="E504" t="s">
        <v>1946</v>
      </c>
      <c r="F504" t="s">
        <v>1407</v>
      </c>
      <c r="G504" t="s">
        <v>73</v>
      </c>
      <c r="H504" t="s">
        <v>1949</v>
      </c>
      <c r="I504" t="s">
        <v>184</v>
      </c>
      <c r="J504" t="s">
        <v>1404</v>
      </c>
      <c r="K504" t="s">
        <v>1950</v>
      </c>
      <c r="L504" t="s">
        <v>1411</v>
      </c>
    </row>
    <row r="505" spans="1:12" x14ac:dyDescent="0.35">
      <c r="A505" t="s">
        <v>1369</v>
      </c>
      <c r="B505" t="s">
        <v>1944</v>
      </c>
      <c r="C505" t="s">
        <v>857</v>
      </c>
      <c r="D505" t="s">
        <v>1945</v>
      </c>
      <c r="E505" t="s">
        <v>1946</v>
      </c>
      <c r="F505" t="s">
        <v>1407</v>
      </c>
      <c r="G505" t="s">
        <v>73</v>
      </c>
      <c r="H505" t="s">
        <v>1949</v>
      </c>
      <c r="I505" t="s">
        <v>191</v>
      </c>
      <c r="J505" t="s">
        <v>1404</v>
      </c>
      <c r="K505" t="s">
        <v>1950</v>
      </c>
      <c r="L505" t="s">
        <v>1411</v>
      </c>
    </row>
    <row r="506" spans="1:12" x14ac:dyDescent="0.35">
      <c r="A506" t="s">
        <v>1369</v>
      </c>
      <c r="B506" t="s">
        <v>1944</v>
      </c>
      <c r="C506" t="s">
        <v>857</v>
      </c>
      <c r="D506" t="s">
        <v>1945</v>
      </c>
      <c r="E506" t="s">
        <v>1946</v>
      </c>
      <c r="F506" t="s">
        <v>1407</v>
      </c>
      <c r="G506" t="s">
        <v>73</v>
      </c>
      <c r="H506" t="s">
        <v>1949</v>
      </c>
      <c r="I506" t="s">
        <v>226</v>
      </c>
      <c r="J506" t="s">
        <v>1404</v>
      </c>
      <c r="K506" t="s">
        <v>1950</v>
      </c>
      <c r="L506" t="s">
        <v>1411</v>
      </c>
    </row>
    <row r="507" spans="1:12" x14ac:dyDescent="0.35">
      <c r="A507" t="s">
        <v>1369</v>
      </c>
      <c r="B507" t="s">
        <v>1944</v>
      </c>
      <c r="C507" t="s">
        <v>857</v>
      </c>
      <c r="D507" t="s">
        <v>1945</v>
      </c>
      <c r="E507" t="s">
        <v>1946</v>
      </c>
      <c r="F507" t="s">
        <v>1440</v>
      </c>
      <c r="G507" t="s">
        <v>47</v>
      </c>
      <c r="H507" t="s">
        <v>1951</v>
      </c>
      <c r="I507" t="s">
        <v>40</v>
      </c>
      <c r="J507" t="s">
        <v>1438</v>
      </c>
      <c r="K507" t="s">
        <v>1952</v>
      </c>
      <c r="L507" t="s">
        <v>1953</v>
      </c>
    </row>
    <row r="508" spans="1:12" x14ac:dyDescent="0.35">
      <c r="A508" t="s">
        <v>1369</v>
      </c>
      <c r="B508" t="s">
        <v>1944</v>
      </c>
      <c r="C508" t="s">
        <v>857</v>
      </c>
      <c r="D508" t="s">
        <v>1945</v>
      </c>
      <c r="E508" t="s">
        <v>1946</v>
      </c>
      <c r="F508" t="s">
        <v>1440</v>
      </c>
      <c r="G508" t="s">
        <v>47</v>
      </c>
      <c r="H508" t="s">
        <v>1951</v>
      </c>
      <c r="I508" t="s">
        <v>116</v>
      </c>
      <c r="J508" t="s">
        <v>1438</v>
      </c>
      <c r="K508" t="s">
        <v>1952</v>
      </c>
      <c r="L508" t="s">
        <v>1953</v>
      </c>
    </row>
    <row r="509" spans="1:12" x14ac:dyDescent="0.35">
      <c r="A509" t="s">
        <v>1369</v>
      </c>
      <c r="B509" t="s">
        <v>1944</v>
      </c>
      <c r="C509" t="s">
        <v>857</v>
      </c>
      <c r="D509" t="s">
        <v>1945</v>
      </c>
      <c r="E509" t="s">
        <v>1946</v>
      </c>
      <c r="F509" t="s">
        <v>1440</v>
      </c>
      <c r="G509" t="s">
        <v>47</v>
      </c>
      <c r="H509" t="s">
        <v>1951</v>
      </c>
      <c r="I509" t="s">
        <v>123</v>
      </c>
      <c r="J509" t="s">
        <v>1438</v>
      </c>
      <c r="K509" t="s">
        <v>1952</v>
      </c>
      <c r="L509" t="s">
        <v>1953</v>
      </c>
    </row>
    <row r="510" spans="1:12" x14ac:dyDescent="0.35">
      <c r="A510" t="s">
        <v>1369</v>
      </c>
      <c r="B510" t="s">
        <v>1944</v>
      </c>
      <c r="C510" t="s">
        <v>857</v>
      </c>
      <c r="D510" t="s">
        <v>1945</v>
      </c>
      <c r="E510" t="s">
        <v>1946</v>
      </c>
      <c r="F510" t="s">
        <v>1440</v>
      </c>
      <c r="G510" t="s">
        <v>47</v>
      </c>
      <c r="H510" t="s">
        <v>1951</v>
      </c>
      <c r="I510" t="s">
        <v>135</v>
      </c>
      <c r="J510" t="s">
        <v>1438</v>
      </c>
      <c r="K510" t="s">
        <v>1952</v>
      </c>
      <c r="L510" t="s">
        <v>1953</v>
      </c>
    </row>
    <row r="511" spans="1:12" x14ac:dyDescent="0.35">
      <c r="A511" t="s">
        <v>1369</v>
      </c>
      <c r="B511" t="s">
        <v>1944</v>
      </c>
      <c r="C511" t="s">
        <v>857</v>
      </c>
      <c r="D511" t="s">
        <v>1945</v>
      </c>
      <c r="E511" t="s">
        <v>1946</v>
      </c>
      <c r="F511" t="s">
        <v>1440</v>
      </c>
      <c r="G511" t="s">
        <v>47</v>
      </c>
      <c r="H511" t="s">
        <v>1951</v>
      </c>
      <c r="I511" t="s">
        <v>142</v>
      </c>
      <c r="J511" t="s">
        <v>1438</v>
      </c>
      <c r="K511" t="s">
        <v>1952</v>
      </c>
      <c r="L511" t="s">
        <v>1953</v>
      </c>
    </row>
    <row r="512" spans="1:12" x14ac:dyDescent="0.35">
      <c r="A512" t="s">
        <v>1369</v>
      </c>
      <c r="B512" t="s">
        <v>1944</v>
      </c>
      <c r="C512" t="s">
        <v>857</v>
      </c>
      <c r="D512" t="s">
        <v>1945</v>
      </c>
      <c r="E512" t="s">
        <v>1946</v>
      </c>
      <c r="F512" t="s">
        <v>1440</v>
      </c>
      <c r="G512" t="s">
        <v>47</v>
      </c>
      <c r="H512" t="s">
        <v>1951</v>
      </c>
      <c r="I512" t="s">
        <v>156</v>
      </c>
      <c r="J512" t="s">
        <v>1438</v>
      </c>
      <c r="K512" t="s">
        <v>1952</v>
      </c>
      <c r="L512" t="s">
        <v>1953</v>
      </c>
    </row>
    <row r="513" spans="1:12" x14ac:dyDescent="0.35">
      <c r="A513" t="s">
        <v>1369</v>
      </c>
      <c r="B513" t="s">
        <v>1944</v>
      </c>
      <c r="C513" t="s">
        <v>857</v>
      </c>
      <c r="D513" t="s">
        <v>1945</v>
      </c>
      <c r="E513" t="s">
        <v>1946</v>
      </c>
      <c r="F513" t="s">
        <v>1440</v>
      </c>
      <c r="G513" t="s">
        <v>47</v>
      </c>
      <c r="H513" t="s">
        <v>1951</v>
      </c>
      <c r="I513" t="s">
        <v>149</v>
      </c>
      <c r="J513" t="s">
        <v>1438</v>
      </c>
      <c r="K513" t="s">
        <v>1952</v>
      </c>
      <c r="L513" t="s">
        <v>1953</v>
      </c>
    </row>
    <row r="514" spans="1:12" x14ac:dyDescent="0.35">
      <c r="A514" t="s">
        <v>1369</v>
      </c>
      <c r="B514" t="s">
        <v>1944</v>
      </c>
      <c r="C514" t="s">
        <v>857</v>
      </c>
      <c r="D514" t="s">
        <v>1945</v>
      </c>
      <c r="E514" t="s">
        <v>1946</v>
      </c>
      <c r="F514" t="s">
        <v>1440</v>
      </c>
      <c r="G514" t="s">
        <v>47</v>
      </c>
      <c r="H514" t="s">
        <v>1951</v>
      </c>
      <c r="I514" t="s">
        <v>163</v>
      </c>
      <c r="J514" t="s">
        <v>1438</v>
      </c>
      <c r="K514" t="s">
        <v>1952</v>
      </c>
      <c r="L514" t="s">
        <v>1953</v>
      </c>
    </row>
    <row r="515" spans="1:12" x14ac:dyDescent="0.35">
      <c r="A515" t="s">
        <v>1369</v>
      </c>
      <c r="B515" t="s">
        <v>1944</v>
      </c>
      <c r="C515" t="s">
        <v>857</v>
      </c>
      <c r="D515" t="s">
        <v>1945</v>
      </c>
      <c r="E515" t="s">
        <v>1946</v>
      </c>
      <c r="F515" t="s">
        <v>1440</v>
      </c>
      <c r="G515" t="s">
        <v>47</v>
      </c>
      <c r="H515" t="s">
        <v>1951</v>
      </c>
      <c r="I515" t="s">
        <v>170</v>
      </c>
      <c r="J515" t="s">
        <v>1438</v>
      </c>
      <c r="K515" t="s">
        <v>1952</v>
      </c>
      <c r="L515" t="s">
        <v>1953</v>
      </c>
    </row>
    <row r="516" spans="1:12" x14ac:dyDescent="0.35">
      <c r="A516" t="s">
        <v>1369</v>
      </c>
      <c r="B516" t="s">
        <v>1944</v>
      </c>
      <c r="C516" t="s">
        <v>857</v>
      </c>
      <c r="D516" t="s">
        <v>1945</v>
      </c>
      <c r="E516" t="s">
        <v>1946</v>
      </c>
      <c r="F516" t="s">
        <v>1440</v>
      </c>
      <c r="G516" t="s">
        <v>47</v>
      </c>
      <c r="H516" t="s">
        <v>1951</v>
      </c>
      <c r="I516" t="s">
        <v>212</v>
      </c>
      <c r="J516" t="s">
        <v>1438</v>
      </c>
      <c r="K516" t="s">
        <v>1952</v>
      </c>
      <c r="L516" t="s">
        <v>1953</v>
      </c>
    </row>
    <row r="517" spans="1:12" x14ac:dyDescent="0.35">
      <c r="A517" t="s">
        <v>1369</v>
      </c>
      <c r="B517" t="s">
        <v>1944</v>
      </c>
      <c r="C517" t="s">
        <v>857</v>
      </c>
      <c r="D517" t="s">
        <v>1945</v>
      </c>
      <c r="E517" t="s">
        <v>1946</v>
      </c>
      <c r="F517" t="s">
        <v>1440</v>
      </c>
      <c r="G517" t="s">
        <v>47</v>
      </c>
      <c r="H517" t="s">
        <v>1951</v>
      </c>
      <c r="I517" t="s">
        <v>219</v>
      </c>
      <c r="J517" t="s">
        <v>1438</v>
      </c>
      <c r="K517" t="s">
        <v>1952</v>
      </c>
      <c r="L517" t="s">
        <v>1953</v>
      </c>
    </row>
    <row r="518" spans="1:12" x14ac:dyDescent="0.35">
      <c r="A518" t="s">
        <v>1369</v>
      </c>
      <c r="B518" t="s">
        <v>1944</v>
      </c>
      <c r="C518" t="s">
        <v>857</v>
      </c>
      <c r="D518" t="s">
        <v>1945</v>
      </c>
      <c r="E518" t="s">
        <v>1946</v>
      </c>
      <c r="F518" t="s">
        <v>1440</v>
      </c>
      <c r="G518" t="s">
        <v>47</v>
      </c>
      <c r="H518" t="s">
        <v>1951</v>
      </c>
      <c r="I518" t="s">
        <v>247</v>
      </c>
      <c r="J518" t="s">
        <v>1438</v>
      </c>
      <c r="K518" t="s">
        <v>1952</v>
      </c>
      <c r="L518" t="s">
        <v>1953</v>
      </c>
    </row>
    <row r="519" spans="1:12" x14ac:dyDescent="0.35">
      <c r="A519" t="s">
        <v>1369</v>
      </c>
      <c r="B519" t="s">
        <v>1944</v>
      </c>
      <c r="C519" t="s">
        <v>857</v>
      </c>
      <c r="D519" t="s">
        <v>1945</v>
      </c>
      <c r="E519" t="s">
        <v>1946</v>
      </c>
      <c r="F519" t="s">
        <v>1440</v>
      </c>
      <c r="G519" t="s">
        <v>47</v>
      </c>
      <c r="H519" t="s">
        <v>1951</v>
      </c>
      <c r="I519" t="s">
        <v>254</v>
      </c>
      <c r="J519" t="s">
        <v>1438</v>
      </c>
      <c r="K519" t="s">
        <v>1952</v>
      </c>
      <c r="L519" t="s">
        <v>1953</v>
      </c>
    </row>
    <row r="520" spans="1:12" x14ac:dyDescent="0.35">
      <c r="A520" t="s">
        <v>1369</v>
      </c>
      <c r="B520" t="s">
        <v>1944</v>
      </c>
      <c r="C520" t="s">
        <v>857</v>
      </c>
      <c r="D520" t="s">
        <v>1945</v>
      </c>
      <c r="E520" t="s">
        <v>1946</v>
      </c>
      <c r="F520" t="s">
        <v>1440</v>
      </c>
      <c r="G520" t="s">
        <v>124</v>
      </c>
      <c r="H520" t="s">
        <v>1951</v>
      </c>
      <c r="I520" t="s">
        <v>177</v>
      </c>
      <c r="J520" t="s">
        <v>1438</v>
      </c>
      <c r="K520" t="s">
        <v>1952</v>
      </c>
      <c r="L520" t="s">
        <v>1953</v>
      </c>
    </row>
    <row r="521" spans="1:12" x14ac:dyDescent="0.35">
      <c r="A521" t="s">
        <v>1369</v>
      </c>
      <c r="B521" t="s">
        <v>1944</v>
      </c>
      <c r="C521" t="s">
        <v>857</v>
      </c>
      <c r="D521" t="s">
        <v>1945</v>
      </c>
      <c r="E521" t="s">
        <v>1946</v>
      </c>
      <c r="F521" t="s">
        <v>1440</v>
      </c>
      <c r="G521" t="s">
        <v>124</v>
      </c>
      <c r="H521" t="s">
        <v>1951</v>
      </c>
      <c r="I521" t="s">
        <v>184</v>
      </c>
      <c r="J521" t="s">
        <v>1438</v>
      </c>
      <c r="K521" t="s">
        <v>1952</v>
      </c>
      <c r="L521" t="s">
        <v>1953</v>
      </c>
    </row>
    <row r="522" spans="1:12" x14ac:dyDescent="0.35">
      <c r="A522" t="s">
        <v>1369</v>
      </c>
      <c r="B522" t="s">
        <v>1944</v>
      </c>
      <c r="C522" t="s">
        <v>857</v>
      </c>
      <c r="D522" t="s">
        <v>1945</v>
      </c>
      <c r="E522" t="s">
        <v>1946</v>
      </c>
      <c r="F522" t="s">
        <v>1440</v>
      </c>
      <c r="G522" t="s">
        <v>124</v>
      </c>
      <c r="H522" t="s">
        <v>1951</v>
      </c>
      <c r="I522" t="s">
        <v>191</v>
      </c>
      <c r="J522" t="s">
        <v>1438</v>
      </c>
      <c r="K522" t="s">
        <v>1952</v>
      </c>
      <c r="L522" t="s">
        <v>1953</v>
      </c>
    </row>
    <row r="523" spans="1:12" x14ac:dyDescent="0.35">
      <c r="A523" t="s">
        <v>1369</v>
      </c>
      <c r="B523" t="s">
        <v>1944</v>
      </c>
      <c r="C523" t="s">
        <v>857</v>
      </c>
      <c r="D523" t="s">
        <v>1945</v>
      </c>
      <c r="E523" t="s">
        <v>1946</v>
      </c>
      <c r="F523" t="s">
        <v>1440</v>
      </c>
      <c r="G523" t="s">
        <v>124</v>
      </c>
      <c r="H523" t="s">
        <v>1951</v>
      </c>
      <c r="I523" t="s">
        <v>198</v>
      </c>
      <c r="J523" t="s">
        <v>1438</v>
      </c>
      <c r="K523" t="s">
        <v>1952</v>
      </c>
      <c r="L523" t="s">
        <v>1953</v>
      </c>
    </row>
    <row r="524" spans="1:12" x14ac:dyDescent="0.35">
      <c r="A524" t="s">
        <v>1369</v>
      </c>
      <c r="B524" t="s">
        <v>1944</v>
      </c>
      <c r="C524" t="s">
        <v>857</v>
      </c>
      <c r="D524" t="s">
        <v>1945</v>
      </c>
      <c r="E524" t="s">
        <v>1946</v>
      </c>
      <c r="F524" t="s">
        <v>1440</v>
      </c>
      <c r="G524" t="s">
        <v>124</v>
      </c>
      <c r="H524" t="s">
        <v>1951</v>
      </c>
      <c r="I524" t="s">
        <v>205</v>
      </c>
      <c r="J524" t="s">
        <v>1438</v>
      </c>
      <c r="K524" t="s">
        <v>1952</v>
      </c>
      <c r="L524" t="s">
        <v>1953</v>
      </c>
    </row>
    <row r="525" spans="1:12" x14ac:dyDescent="0.35">
      <c r="A525" t="s">
        <v>1369</v>
      </c>
      <c r="B525" t="s">
        <v>1944</v>
      </c>
      <c r="C525" t="s">
        <v>857</v>
      </c>
      <c r="D525" t="s">
        <v>1945</v>
      </c>
      <c r="E525" t="s">
        <v>1946</v>
      </c>
      <c r="F525" t="s">
        <v>1440</v>
      </c>
      <c r="G525" t="s">
        <v>124</v>
      </c>
      <c r="H525" t="s">
        <v>1951</v>
      </c>
      <c r="I525" t="s">
        <v>226</v>
      </c>
      <c r="J525" t="s">
        <v>1438</v>
      </c>
      <c r="K525" t="s">
        <v>1952</v>
      </c>
      <c r="L525" t="s">
        <v>1953</v>
      </c>
    </row>
    <row r="526" spans="1:12" x14ac:dyDescent="0.35">
      <c r="A526" t="s">
        <v>1369</v>
      </c>
      <c r="B526" t="s">
        <v>1944</v>
      </c>
      <c r="C526" t="s">
        <v>857</v>
      </c>
      <c r="D526" t="s">
        <v>1945</v>
      </c>
      <c r="E526" t="s">
        <v>1946</v>
      </c>
      <c r="F526" t="s">
        <v>1440</v>
      </c>
      <c r="G526" t="s">
        <v>124</v>
      </c>
      <c r="H526" t="s">
        <v>1951</v>
      </c>
      <c r="I526" t="s">
        <v>233</v>
      </c>
      <c r="J526" t="s">
        <v>1438</v>
      </c>
      <c r="K526" t="s">
        <v>1952</v>
      </c>
      <c r="L526" t="s">
        <v>1953</v>
      </c>
    </row>
    <row r="527" spans="1:12" x14ac:dyDescent="0.35">
      <c r="A527" t="s">
        <v>1369</v>
      </c>
      <c r="B527" t="s">
        <v>1944</v>
      </c>
      <c r="C527" t="s">
        <v>857</v>
      </c>
      <c r="D527" t="s">
        <v>1945</v>
      </c>
      <c r="E527" t="s">
        <v>1946</v>
      </c>
      <c r="F527" t="s">
        <v>1440</v>
      </c>
      <c r="G527" t="s">
        <v>124</v>
      </c>
      <c r="H527" t="s">
        <v>1951</v>
      </c>
      <c r="I527" t="s">
        <v>240</v>
      </c>
      <c r="J527" t="s">
        <v>1438</v>
      </c>
      <c r="K527" t="s">
        <v>1952</v>
      </c>
      <c r="L527" t="s">
        <v>1953</v>
      </c>
    </row>
    <row r="528" spans="1:12" x14ac:dyDescent="0.35">
      <c r="A528" t="s">
        <v>1369</v>
      </c>
      <c r="B528" t="s">
        <v>1944</v>
      </c>
      <c r="C528" t="s">
        <v>857</v>
      </c>
      <c r="D528" t="s">
        <v>1945</v>
      </c>
      <c r="E528" t="s">
        <v>1946</v>
      </c>
      <c r="F528" t="s">
        <v>1471</v>
      </c>
      <c r="G528" t="s">
        <v>84</v>
      </c>
      <c r="H528" t="s">
        <v>1954</v>
      </c>
      <c r="I528" t="s">
        <v>457</v>
      </c>
      <c r="J528" t="s">
        <v>1469</v>
      </c>
      <c r="K528" t="s">
        <v>1955</v>
      </c>
      <c r="L528" t="s">
        <v>1475</v>
      </c>
    </row>
    <row r="529" spans="1:12" x14ac:dyDescent="0.35">
      <c r="A529" t="s">
        <v>940</v>
      </c>
      <c r="B529" t="s">
        <v>1956</v>
      </c>
      <c r="C529" t="s">
        <v>951</v>
      </c>
      <c r="D529" t="s">
        <v>1766</v>
      </c>
      <c r="E529" t="s">
        <v>1957</v>
      </c>
      <c r="F529" t="s">
        <v>950</v>
      </c>
      <c r="G529" t="s">
        <v>47</v>
      </c>
      <c r="H529" t="s">
        <v>949</v>
      </c>
      <c r="I529" t="s">
        <v>40</v>
      </c>
      <c r="J529" t="s">
        <v>895</v>
      </c>
      <c r="K529" t="s">
        <v>1958</v>
      </c>
      <c r="L529" t="s">
        <v>956</v>
      </c>
    </row>
    <row r="530" spans="1:12" x14ac:dyDescent="0.35">
      <c r="A530" t="s">
        <v>491</v>
      </c>
      <c r="B530" t="s">
        <v>1959</v>
      </c>
      <c r="C530" t="s">
        <v>951</v>
      </c>
      <c r="D530" t="s">
        <v>1766</v>
      </c>
      <c r="E530" t="s">
        <v>1870</v>
      </c>
      <c r="F530" t="s">
        <v>950</v>
      </c>
      <c r="G530" t="s">
        <v>47</v>
      </c>
      <c r="H530" t="s">
        <v>949</v>
      </c>
      <c r="I530" t="s">
        <v>40</v>
      </c>
      <c r="J530" t="s">
        <v>895</v>
      </c>
      <c r="K530" t="s">
        <v>1958</v>
      </c>
      <c r="L530" t="s">
        <v>956</v>
      </c>
    </row>
    <row r="531" spans="1:12" x14ac:dyDescent="0.35">
      <c r="A531" t="s">
        <v>1843</v>
      </c>
      <c r="B531" t="s">
        <v>1960</v>
      </c>
      <c r="C531" t="s">
        <v>951</v>
      </c>
      <c r="D531" t="s">
        <v>1766</v>
      </c>
      <c r="E531" t="s">
        <v>1957</v>
      </c>
      <c r="F531" t="s">
        <v>950</v>
      </c>
      <c r="G531" t="s">
        <v>47</v>
      </c>
      <c r="H531" t="s">
        <v>949</v>
      </c>
      <c r="I531" t="s">
        <v>40</v>
      </c>
      <c r="J531" t="s">
        <v>895</v>
      </c>
      <c r="K531" t="s">
        <v>1958</v>
      </c>
      <c r="L531" t="s">
        <v>956</v>
      </c>
    </row>
    <row r="532" spans="1:12" x14ac:dyDescent="0.35">
      <c r="A532" t="s">
        <v>940</v>
      </c>
      <c r="B532" t="s">
        <v>1956</v>
      </c>
      <c r="C532" t="s">
        <v>951</v>
      </c>
      <c r="D532" t="s">
        <v>1766</v>
      </c>
      <c r="E532" t="s">
        <v>1957</v>
      </c>
      <c r="F532" t="s">
        <v>950</v>
      </c>
      <c r="G532" t="s">
        <v>47</v>
      </c>
      <c r="H532" t="s">
        <v>949</v>
      </c>
      <c r="I532" t="s">
        <v>116</v>
      </c>
      <c r="J532" t="s">
        <v>895</v>
      </c>
      <c r="K532" t="s">
        <v>1958</v>
      </c>
      <c r="L532" t="s">
        <v>956</v>
      </c>
    </row>
    <row r="533" spans="1:12" x14ac:dyDescent="0.35">
      <c r="A533" t="s">
        <v>491</v>
      </c>
      <c r="B533" t="s">
        <v>1959</v>
      </c>
      <c r="C533" t="s">
        <v>951</v>
      </c>
      <c r="D533" t="s">
        <v>1766</v>
      </c>
      <c r="E533" t="s">
        <v>1870</v>
      </c>
      <c r="F533" t="s">
        <v>950</v>
      </c>
      <c r="G533" t="s">
        <v>47</v>
      </c>
      <c r="H533" t="s">
        <v>949</v>
      </c>
      <c r="I533" t="s">
        <v>116</v>
      </c>
      <c r="J533" t="s">
        <v>895</v>
      </c>
      <c r="K533" t="s">
        <v>1958</v>
      </c>
      <c r="L533" t="s">
        <v>956</v>
      </c>
    </row>
    <row r="534" spans="1:12" x14ac:dyDescent="0.35">
      <c r="A534" t="s">
        <v>1843</v>
      </c>
      <c r="B534" t="s">
        <v>1960</v>
      </c>
      <c r="C534" t="s">
        <v>951</v>
      </c>
      <c r="D534" t="s">
        <v>1766</v>
      </c>
      <c r="E534" t="s">
        <v>1957</v>
      </c>
      <c r="F534" t="s">
        <v>950</v>
      </c>
      <c r="G534" t="s">
        <v>47</v>
      </c>
      <c r="H534" t="s">
        <v>949</v>
      </c>
      <c r="I534" t="s">
        <v>116</v>
      </c>
      <c r="J534" t="s">
        <v>895</v>
      </c>
      <c r="K534" t="s">
        <v>1958</v>
      </c>
      <c r="L534" t="s">
        <v>956</v>
      </c>
    </row>
    <row r="535" spans="1:12" x14ac:dyDescent="0.35">
      <c r="A535" t="s">
        <v>940</v>
      </c>
      <c r="B535" t="s">
        <v>1956</v>
      </c>
      <c r="C535" t="s">
        <v>951</v>
      </c>
      <c r="D535" t="s">
        <v>1766</v>
      </c>
      <c r="E535" t="s">
        <v>1957</v>
      </c>
      <c r="F535" t="s">
        <v>950</v>
      </c>
      <c r="G535" t="s">
        <v>47</v>
      </c>
      <c r="H535" t="s">
        <v>949</v>
      </c>
      <c r="I535" t="s">
        <v>123</v>
      </c>
      <c r="J535" t="s">
        <v>895</v>
      </c>
      <c r="K535" t="s">
        <v>1958</v>
      </c>
      <c r="L535" t="s">
        <v>956</v>
      </c>
    </row>
    <row r="536" spans="1:12" x14ac:dyDescent="0.35">
      <c r="A536" t="s">
        <v>491</v>
      </c>
      <c r="B536" t="s">
        <v>1959</v>
      </c>
      <c r="C536" t="s">
        <v>951</v>
      </c>
      <c r="D536" t="s">
        <v>1766</v>
      </c>
      <c r="E536" t="s">
        <v>1870</v>
      </c>
      <c r="F536" t="s">
        <v>950</v>
      </c>
      <c r="G536" t="s">
        <v>47</v>
      </c>
      <c r="H536" t="s">
        <v>949</v>
      </c>
      <c r="I536" t="s">
        <v>123</v>
      </c>
      <c r="J536" t="s">
        <v>895</v>
      </c>
      <c r="K536" t="s">
        <v>1958</v>
      </c>
      <c r="L536" t="s">
        <v>956</v>
      </c>
    </row>
    <row r="537" spans="1:12" x14ac:dyDescent="0.35">
      <c r="A537" t="s">
        <v>1843</v>
      </c>
      <c r="B537" t="s">
        <v>1960</v>
      </c>
      <c r="C537" t="s">
        <v>951</v>
      </c>
      <c r="D537" t="s">
        <v>1766</v>
      </c>
      <c r="E537" t="s">
        <v>1957</v>
      </c>
      <c r="F537" t="s">
        <v>950</v>
      </c>
      <c r="G537" t="s">
        <v>47</v>
      </c>
      <c r="H537" t="s">
        <v>949</v>
      </c>
      <c r="I537" t="s">
        <v>123</v>
      </c>
      <c r="J537" t="s">
        <v>895</v>
      </c>
      <c r="K537" t="s">
        <v>1958</v>
      </c>
      <c r="L537" t="s">
        <v>956</v>
      </c>
    </row>
    <row r="538" spans="1:12" x14ac:dyDescent="0.35">
      <c r="A538" t="s">
        <v>940</v>
      </c>
      <c r="B538" t="s">
        <v>1956</v>
      </c>
      <c r="C538" t="s">
        <v>951</v>
      </c>
      <c r="D538" t="s">
        <v>1766</v>
      </c>
      <c r="E538" t="s">
        <v>1957</v>
      </c>
      <c r="F538" t="s">
        <v>950</v>
      </c>
      <c r="G538" t="s">
        <v>47</v>
      </c>
      <c r="H538" t="s">
        <v>949</v>
      </c>
      <c r="I538" t="s">
        <v>135</v>
      </c>
      <c r="J538" t="s">
        <v>895</v>
      </c>
      <c r="K538" t="s">
        <v>1958</v>
      </c>
      <c r="L538" t="s">
        <v>956</v>
      </c>
    </row>
    <row r="539" spans="1:12" x14ac:dyDescent="0.35">
      <c r="A539" t="s">
        <v>491</v>
      </c>
      <c r="B539" t="s">
        <v>1959</v>
      </c>
      <c r="C539" t="s">
        <v>951</v>
      </c>
      <c r="D539" t="s">
        <v>1766</v>
      </c>
      <c r="E539" t="s">
        <v>1870</v>
      </c>
      <c r="F539" t="s">
        <v>950</v>
      </c>
      <c r="G539" t="s">
        <v>47</v>
      </c>
      <c r="H539" t="s">
        <v>949</v>
      </c>
      <c r="I539" t="s">
        <v>135</v>
      </c>
      <c r="J539" t="s">
        <v>895</v>
      </c>
      <c r="K539" t="s">
        <v>1958</v>
      </c>
      <c r="L539" t="s">
        <v>956</v>
      </c>
    </row>
    <row r="540" spans="1:12" x14ac:dyDescent="0.35">
      <c r="A540" t="s">
        <v>1843</v>
      </c>
      <c r="B540" t="s">
        <v>1960</v>
      </c>
      <c r="C540" t="s">
        <v>951</v>
      </c>
      <c r="D540" t="s">
        <v>1766</v>
      </c>
      <c r="E540" t="s">
        <v>1957</v>
      </c>
      <c r="F540" t="s">
        <v>950</v>
      </c>
      <c r="G540" t="s">
        <v>47</v>
      </c>
      <c r="H540" t="s">
        <v>949</v>
      </c>
      <c r="I540" t="s">
        <v>135</v>
      </c>
      <c r="J540" t="s">
        <v>895</v>
      </c>
      <c r="K540" t="s">
        <v>1958</v>
      </c>
      <c r="L540" t="s">
        <v>956</v>
      </c>
    </row>
    <row r="541" spans="1:12" x14ac:dyDescent="0.35">
      <c r="A541" t="s">
        <v>940</v>
      </c>
      <c r="B541" t="s">
        <v>1956</v>
      </c>
      <c r="C541" t="s">
        <v>951</v>
      </c>
      <c r="D541" t="s">
        <v>1766</v>
      </c>
      <c r="E541" t="s">
        <v>1957</v>
      </c>
      <c r="F541" t="s">
        <v>950</v>
      </c>
      <c r="G541" t="s">
        <v>47</v>
      </c>
      <c r="H541" t="s">
        <v>949</v>
      </c>
      <c r="I541" t="s">
        <v>142</v>
      </c>
      <c r="J541" t="s">
        <v>895</v>
      </c>
      <c r="K541" t="s">
        <v>1958</v>
      </c>
      <c r="L541" t="s">
        <v>956</v>
      </c>
    </row>
    <row r="542" spans="1:12" x14ac:dyDescent="0.35">
      <c r="A542" t="s">
        <v>491</v>
      </c>
      <c r="B542" t="s">
        <v>1959</v>
      </c>
      <c r="C542" t="s">
        <v>951</v>
      </c>
      <c r="D542" t="s">
        <v>1766</v>
      </c>
      <c r="E542" t="s">
        <v>1870</v>
      </c>
      <c r="F542" t="s">
        <v>950</v>
      </c>
      <c r="G542" t="s">
        <v>47</v>
      </c>
      <c r="H542" t="s">
        <v>949</v>
      </c>
      <c r="I542" t="s">
        <v>142</v>
      </c>
      <c r="J542" t="s">
        <v>895</v>
      </c>
      <c r="K542" t="s">
        <v>1958</v>
      </c>
      <c r="L542" t="s">
        <v>956</v>
      </c>
    </row>
    <row r="543" spans="1:12" x14ac:dyDescent="0.35">
      <c r="A543" t="s">
        <v>1843</v>
      </c>
      <c r="B543" t="s">
        <v>1960</v>
      </c>
      <c r="C543" t="s">
        <v>951</v>
      </c>
      <c r="D543" t="s">
        <v>1766</v>
      </c>
      <c r="E543" t="s">
        <v>1957</v>
      </c>
      <c r="F543" t="s">
        <v>950</v>
      </c>
      <c r="G543" t="s">
        <v>47</v>
      </c>
      <c r="H543" t="s">
        <v>949</v>
      </c>
      <c r="I543" t="s">
        <v>142</v>
      </c>
      <c r="J543" t="s">
        <v>895</v>
      </c>
      <c r="K543" t="s">
        <v>1958</v>
      </c>
      <c r="L543" t="s">
        <v>956</v>
      </c>
    </row>
    <row r="544" spans="1:12" x14ac:dyDescent="0.35">
      <c r="A544" t="s">
        <v>940</v>
      </c>
      <c r="B544" t="s">
        <v>1956</v>
      </c>
      <c r="C544" t="s">
        <v>951</v>
      </c>
      <c r="D544" t="s">
        <v>1766</v>
      </c>
      <c r="E544" t="s">
        <v>1957</v>
      </c>
      <c r="F544" t="s">
        <v>950</v>
      </c>
      <c r="G544" t="s">
        <v>47</v>
      </c>
      <c r="H544" t="s">
        <v>949</v>
      </c>
      <c r="I544" t="s">
        <v>149</v>
      </c>
      <c r="J544" t="s">
        <v>895</v>
      </c>
      <c r="K544" t="s">
        <v>1958</v>
      </c>
      <c r="L544" t="s">
        <v>956</v>
      </c>
    </row>
    <row r="545" spans="1:12" x14ac:dyDescent="0.35">
      <c r="A545" t="s">
        <v>491</v>
      </c>
      <c r="B545" t="s">
        <v>1959</v>
      </c>
      <c r="C545" t="s">
        <v>951</v>
      </c>
      <c r="D545" t="s">
        <v>1766</v>
      </c>
      <c r="E545" t="s">
        <v>1870</v>
      </c>
      <c r="F545" t="s">
        <v>950</v>
      </c>
      <c r="G545" t="s">
        <v>47</v>
      </c>
      <c r="H545" t="s">
        <v>949</v>
      </c>
      <c r="I545" t="s">
        <v>149</v>
      </c>
      <c r="J545" t="s">
        <v>895</v>
      </c>
      <c r="K545" t="s">
        <v>1958</v>
      </c>
      <c r="L545" t="s">
        <v>956</v>
      </c>
    </row>
    <row r="546" spans="1:12" x14ac:dyDescent="0.35">
      <c r="A546" t="s">
        <v>1843</v>
      </c>
      <c r="B546" t="s">
        <v>1960</v>
      </c>
      <c r="C546" t="s">
        <v>951</v>
      </c>
      <c r="D546" t="s">
        <v>1766</v>
      </c>
      <c r="E546" t="s">
        <v>1957</v>
      </c>
      <c r="F546" t="s">
        <v>950</v>
      </c>
      <c r="G546" t="s">
        <v>47</v>
      </c>
      <c r="H546" t="s">
        <v>949</v>
      </c>
      <c r="I546" t="s">
        <v>149</v>
      </c>
      <c r="J546" t="s">
        <v>895</v>
      </c>
      <c r="K546" t="s">
        <v>1958</v>
      </c>
      <c r="L546" t="s">
        <v>956</v>
      </c>
    </row>
    <row r="547" spans="1:12" x14ac:dyDescent="0.35">
      <c r="A547" t="s">
        <v>940</v>
      </c>
      <c r="B547" t="s">
        <v>1956</v>
      </c>
      <c r="C547" t="s">
        <v>951</v>
      </c>
      <c r="D547" t="s">
        <v>1766</v>
      </c>
      <c r="E547" t="s">
        <v>1957</v>
      </c>
      <c r="F547" t="s">
        <v>950</v>
      </c>
      <c r="G547" t="s">
        <v>47</v>
      </c>
      <c r="H547" t="s">
        <v>949</v>
      </c>
      <c r="I547" t="s">
        <v>156</v>
      </c>
      <c r="J547" t="s">
        <v>895</v>
      </c>
      <c r="K547" t="s">
        <v>1958</v>
      </c>
      <c r="L547" t="s">
        <v>956</v>
      </c>
    </row>
    <row r="548" spans="1:12" x14ac:dyDescent="0.35">
      <c r="A548" t="s">
        <v>491</v>
      </c>
      <c r="B548" t="s">
        <v>1959</v>
      </c>
      <c r="C548" t="s">
        <v>951</v>
      </c>
      <c r="D548" t="s">
        <v>1766</v>
      </c>
      <c r="E548" t="s">
        <v>1870</v>
      </c>
      <c r="F548" t="s">
        <v>950</v>
      </c>
      <c r="G548" t="s">
        <v>47</v>
      </c>
      <c r="H548" t="s">
        <v>949</v>
      </c>
      <c r="I548" t="s">
        <v>156</v>
      </c>
      <c r="J548" t="s">
        <v>895</v>
      </c>
      <c r="K548" t="s">
        <v>1958</v>
      </c>
      <c r="L548" t="s">
        <v>956</v>
      </c>
    </row>
    <row r="549" spans="1:12" x14ac:dyDescent="0.35">
      <c r="A549" t="s">
        <v>1843</v>
      </c>
      <c r="B549" t="s">
        <v>1960</v>
      </c>
      <c r="C549" t="s">
        <v>951</v>
      </c>
      <c r="D549" t="s">
        <v>1766</v>
      </c>
      <c r="E549" t="s">
        <v>1957</v>
      </c>
      <c r="F549" t="s">
        <v>950</v>
      </c>
      <c r="G549" t="s">
        <v>47</v>
      </c>
      <c r="H549" t="s">
        <v>949</v>
      </c>
      <c r="I549" t="s">
        <v>156</v>
      </c>
      <c r="J549" t="s">
        <v>895</v>
      </c>
      <c r="K549" t="s">
        <v>1958</v>
      </c>
      <c r="L549" t="s">
        <v>956</v>
      </c>
    </row>
    <row r="550" spans="1:12" x14ac:dyDescent="0.35">
      <c r="A550" t="s">
        <v>940</v>
      </c>
      <c r="B550" t="s">
        <v>1956</v>
      </c>
      <c r="C550" t="s">
        <v>951</v>
      </c>
      <c r="D550" t="s">
        <v>1766</v>
      </c>
      <c r="E550" t="s">
        <v>1957</v>
      </c>
      <c r="F550" t="s">
        <v>950</v>
      </c>
      <c r="G550" t="s">
        <v>47</v>
      </c>
      <c r="H550" t="s">
        <v>949</v>
      </c>
      <c r="I550" t="s">
        <v>163</v>
      </c>
      <c r="J550" t="s">
        <v>895</v>
      </c>
      <c r="K550" t="s">
        <v>1958</v>
      </c>
      <c r="L550" t="s">
        <v>956</v>
      </c>
    </row>
    <row r="551" spans="1:12" x14ac:dyDescent="0.35">
      <c r="A551" t="s">
        <v>491</v>
      </c>
      <c r="B551" t="s">
        <v>1959</v>
      </c>
      <c r="C551" t="s">
        <v>951</v>
      </c>
      <c r="D551" t="s">
        <v>1766</v>
      </c>
      <c r="E551" t="s">
        <v>1870</v>
      </c>
      <c r="F551" t="s">
        <v>950</v>
      </c>
      <c r="G551" t="s">
        <v>47</v>
      </c>
      <c r="H551" t="s">
        <v>949</v>
      </c>
      <c r="I551" t="s">
        <v>163</v>
      </c>
      <c r="J551" t="s">
        <v>895</v>
      </c>
      <c r="K551" t="s">
        <v>1958</v>
      </c>
      <c r="L551" t="s">
        <v>956</v>
      </c>
    </row>
    <row r="552" spans="1:12" x14ac:dyDescent="0.35">
      <c r="A552" t="s">
        <v>1843</v>
      </c>
      <c r="B552" t="s">
        <v>1960</v>
      </c>
      <c r="C552" t="s">
        <v>951</v>
      </c>
      <c r="D552" t="s">
        <v>1766</v>
      </c>
      <c r="E552" t="s">
        <v>1957</v>
      </c>
      <c r="F552" t="s">
        <v>950</v>
      </c>
      <c r="G552" t="s">
        <v>47</v>
      </c>
      <c r="H552" t="s">
        <v>949</v>
      </c>
      <c r="I552" t="s">
        <v>163</v>
      </c>
      <c r="J552" t="s">
        <v>895</v>
      </c>
      <c r="K552" t="s">
        <v>1958</v>
      </c>
      <c r="L552" t="s">
        <v>956</v>
      </c>
    </row>
    <row r="553" spans="1:12" x14ac:dyDescent="0.35">
      <c r="A553" t="s">
        <v>940</v>
      </c>
      <c r="B553" t="s">
        <v>1956</v>
      </c>
      <c r="C553" t="s">
        <v>951</v>
      </c>
      <c r="D553" t="s">
        <v>1766</v>
      </c>
      <c r="E553" t="s">
        <v>1957</v>
      </c>
      <c r="F553" t="s">
        <v>950</v>
      </c>
      <c r="G553" t="s">
        <v>47</v>
      </c>
      <c r="H553" t="s">
        <v>949</v>
      </c>
      <c r="I553" t="s">
        <v>170</v>
      </c>
      <c r="J553" t="s">
        <v>895</v>
      </c>
      <c r="K553" t="s">
        <v>1958</v>
      </c>
      <c r="L553" t="s">
        <v>956</v>
      </c>
    </row>
    <row r="554" spans="1:12" x14ac:dyDescent="0.35">
      <c r="A554" t="s">
        <v>491</v>
      </c>
      <c r="B554" t="s">
        <v>1959</v>
      </c>
      <c r="C554" t="s">
        <v>951</v>
      </c>
      <c r="D554" t="s">
        <v>1766</v>
      </c>
      <c r="E554" t="s">
        <v>1870</v>
      </c>
      <c r="F554" t="s">
        <v>950</v>
      </c>
      <c r="G554" t="s">
        <v>47</v>
      </c>
      <c r="H554" t="s">
        <v>949</v>
      </c>
      <c r="I554" t="s">
        <v>170</v>
      </c>
      <c r="J554" t="s">
        <v>895</v>
      </c>
      <c r="K554" t="s">
        <v>1958</v>
      </c>
      <c r="L554" t="s">
        <v>956</v>
      </c>
    </row>
    <row r="555" spans="1:12" x14ac:dyDescent="0.35">
      <c r="A555" t="s">
        <v>1843</v>
      </c>
      <c r="B555" t="s">
        <v>1960</v>
      </c>
      <c r="C555" t="s">
        <v>951</v>
      </c>
      <c r="D555" t="s">
        <v>1766</v>
      </c>
      <c r="E555" t="s">
        <v>1957</v>
      </c>
      <c r="F555" t="s">
        <v>950</v>
      </c>
      <c r="G555" t="s">
        <v>47</v>
      </c>
      <c r="H555" t="s">
        <v>949</v>
      </c>
      <c r="I555" t="s">
        <v>170</v>
      </c>
      <c r="J555" t="s">
        <v>895</v>
      </c>
      <c r="K555" t="s">
        <v>1958</v>
      </c>
      <c r="L555" t="s">
        <v>956</v>
      </c>
    </row>
    <row r="556" spans="1:12" x14ac:dyDescent="0.35">
      <c r="A556" t="s">
        <v>500</v>
      </c>
      <c r="B556" t="s">
        <v>1961</v>
      </c>
      <c r="C556" t="s">
        <v>970</v>
      </c>
      <c r="D556" t="s">
        <v>1766</v>
      </c>
      <c r="E556" t="s">
        <v>1957</v>
      </c>
      <c r="F556" t="s">
        <v>950</v>
      </c>
      <c r="G556" t="s">
        <v>124</v>
      </c>
      <c r="H556" t="s">
        <v>949</v>
      </c>
      <c r="I556" t="s">
        <v>163</v>
      </c>
      <c r="J556" t="s">
        <v>895</v>
      </c>
      <c r="K556" t="s">
        <v>1958</v>
      </c>
      <c r="L556" t="s">
        <v>956</v>
      </c>
    </row>
    <row r="557" spans="1:12" x14ac:dyDescent="0.35">
      <c r="A557" t="s">
        <v>60</v>
      </c>
      <c r="B557" t="s">
        <v>1962</v>
      </c>
      <c r="C557" t="s">
        <v>970</v>
      </c>
      <c r="D557" t="s">
        <v>1766</v>
      </c>
      <c r="E557" t="s">
        <v>1957</v>
      </c>
      <c r="F557" t="s">
        <v>950</v>
      </c>
      <c r="G557" t="s">
        <v>124</v>
      </c>
      <c r="H557" t="s">
        <v>949</v>
      </c>
      <c r="I557" t="s">
        <v>163</v>
      </c>
      <c r="J557" t="s">
        <v>895</v>
      </c>
      <c r="K557" t="s">
        <v>1958</v>
      </c>
      <c r="L557" t="s">
        <v>956</v>
      </c>
    </row>
    <row r="558" spans="1:12" x14ac:dyDescent="0.35">
      <c r="A558" t="s">
        <v>500</v>
      </c>
      <c r="B558" t="s">
        <v>1961</v>
      </c>
      <c r="C558" t="s">
        <v>970</v>
      </c>
      <c r="D558" t="s">
        <v>1766</v>
      </c>
      <c r="E558" t="s">
        <v>1957</v>
      </c>
      <c r="F558" t="s">
        <v>950</v>
      </c>
      <c r="G558" t="s">
        <v>124</v>
      </c>
      <c r="H558" t="s">
        <v>949</v>
      </c>
      <c r="I558" t="s">
        <v>170</v>
      </c>
      <c r="J558" t="s">
        <v>895</v>
      </c>
      <c r="K558" t="s">
        <v>1958</v>
      </c>
      <c r="L558" t="s">
        <v>956</v>
      </c>
    </row>
    <row r="559" spans="1:12" x14ac:dyDescent="0.35">
      <c r="A559" t="s">
        <v>60</v>
      </c>
      <c r="B559" t="s">
        <v>1962</v>
      </c>
      <c r="C559" t="s">
        <v>970</v>
      </c>
      <c r="D559" t="s">
        <v>1766</v>
      </c>
      <c r="E559" t="s">
        <v>1957</v>
      </c>
      <c r="F559" t="s">
        <v>950</v>
      </c>
      <c r="G559" t="s">
        <v>124</v>
      </c>
      <c r="H559" t="s">
        <v>949</v>
      </c>
      <c r="I559" t="s">
        <v>170</v>
      </c>
      <c r="J559" t="s">
        <v>895</v>
      </c>
      <c r="K559" t="s">
        <v>1958</v>
      </c>
      <c r="L559" t="s">
        <v>956</v>
      </c>
    </row>
    <row r="560" spans="1:12" x14ac:dyDescent="0.35">
      <c r="A560" t="s">
        <v>500</v>
      </c>
      <c r="B560" t="s">
        <v>1961</v>
      </c>
      <c r="C560" t="s">
        <v>970</v>
      </c>
      <c r="D560" t="s">
        <v>1766</v>
      </c>
      <c r="E560" t="s">
        <v>1957</v>
      </c>
      <c r="F560" t="s">
        <v>950</v>
      </c>
      <c r="G560" t="s">
        <v>124</v>
      </c>
      <c r="H560" t="s">
        <v>949</v>
      </c>
      <c r="I560" t="s">
        <v>177</v>
      </c>
      <c r="J560" t="s">
        <v>895</v>
      </c>
      <c r="K560" t="s">
        <v>1958</v>
      </c>
      <c r="L560" t="s">
        <v>956</v>
      </c>
    </row>
    <row r="561" spans="1:12" x14ac:dyDescent="0.35">
      <c r="A561" t="s">
        <v>60</v>
      </c>
      <c r="B561" t="s">
        <v>1962</v>
      </c>
      <c r="C561" t="s">
        <v>970</v>
      </c>
      <c r="D561" t="s">
        <v>1766</v>
      </c>
      <c r="E561" t="s">
        <v>1957</v>
      </c>
      <c r="F561" t="s">
        <v>950</v>
      </c>
      <c r="G561" t="s">
        <v>124</v>
      </c>
      <c r="H561" t="s">
        <v>949</v>
      </c>
      <c r="I561" t="s">
        <v>177</v>
      </c>
      <c r="J561" t="s">
        <v>895</v>
      </c>
      <c r="K561" t="s">
        <v>1958</v>
      </c>
      <c r="L561" t="s">
        <v>956</v>
      </c>
    </row>
    <row r="562" spans="1:12" x14ac:dyDescent="0.35">
      <c r="A562" t="s">
        <v>500</v>
      </c>
      <c r="B562" t="s">
        <v>1961</v>
      </c>
      <c r="C562" t="s">
        <v>970</v>
      </c>
      <c r="D562" t="s">
        <v>1766</v>
      </c>
      <c r="E562" t="s">
        <v>1957</v>
      </c>
      <c r="F562" t="s">
        <v>950</v>
      </c>
      <c r="G562" t="s">
        <v>124</v>
      </c>
      <c r="H562" t="s">
        <v>949</v>
      </c>
      <c r="I562" t="s">
        <v>184</v>
      </c>
      <c r="J562" t="s">
        <v>895</v>
      </c>
      <c r="K562" t="s">
        <v>1958</v>
      </c>
      <c r="L562" t="s">
        <v>956</v>
      </c>
    </row>
    <row r="563" spans="1:12" x14ac:dyDescent="0.35">
      <c r="A563" t="s">
        <v>60</v>
      </c>
      <c r="B563" t="s">
        <v>1962</v>
      </c>
      <c r="C563" t="s">
        <v>970</v>
      </c>
      <c r="D563" t="s">
        <v>1766</v>
      </c>
      <c r="E563" t="s">
        <v>1957</v>
      </c>
      <c r="F563" t="s">
        <v>950</v>
      </c>
      <c r="G563" t="s">
        <v>124</v>
      </c>
      <c r="H563" t="s">
        <v>949</v>
      </c>
      <c r="I563" t="s">
        <v>184</v>
      </c>
      <c r="J563" t="s">
        <v>895</v>
      </c>
      <c r="K563" t="s">
        <v>1958</v>
      </c>
      <c r="L563" t="s">
        <v>956</v>
      </c>
    </row>
    <row r="564" spans="1:12" x14ac:dyDescent="0.35">
      <c r="A564" t="s">
        <v>500</v>
      </c>
      <c r="B564" t="s">
        <v>1961</v>
      </c>
      <c r="C564" t="s">
        <v>970</v>
      </c>
      <c r="D564" t="s">
        <v>1766</v>
      </c>
      <c r="E564" t="s">
        <v>1957</v>
      </c>
      <c r="F564" t="s">
        <v>950</v>
      </c>
      <c r="G564" t="s">
        <v>124</v>
      </c>
      <c r="H564" t="s">
        <v>949</v>
      </c>
      <c r="I564" t="s">
        <v>191</v>
      </c>
      <c r="J564" t="s">
        <v>895</v>
      </c>
      <c r="K564" t="s">
        <v>1958</v>
      </c>
      <c r="L564" t="s">
        <v>956</v>
      </c>
    </row>
    <row r="565" spans="1:12" x14ac:dyDescent="0.35">
      <c r="A565" t="s">
        <v>60</v>
      </c>
      <c r="B565" t="s">
        <v>1962</v>
      </c>
      <c r="C565" t="s">
        <v>970</v>
      </c>
      <c r="D565" t="s">
        <v>1766</v>
      </c>
      <c r="E565" t="s">
        <v>1957</v>
      </c>
      <c r="F565" t="s">
        <v>950</v>
      </c>
      <c r="G565" t="s">
        <v>124</v>
      </c>
      <c r="H565" t="s">
        <v>949</v>
      </c>
      <c r="I565" t="s">
        <v>191</v>
      </c>
      <c r="J565" t="s">
        <v>895</v>
      </c>
      <c r="K565" t="s">
        <v>1958</v>
      </c>
      <c r="L565" t="s">
        <v>956</v>
      </c>
    </row>
    <row r="566" spans="1:12" x14ac:dyDescent="0.35">
      <c r="A566" t="s">
        <v>500</v>
      </c>
      <c r="B566" t="s">
        <v>1961</v>
      </c>
      <c r="C566" t="s">
        <v>970</v>
      </c>
      <c r="D566" t="s">
        <v>1766</v>
      </c>
      <c r="E566" t="s">
        <v>1957</v>
      </c>
      <c r="F566" t="s">
        <v>950</v>
      </c>
      <c r="G566" t="s">
        <v>124</v>
      </c>
      <c r="H566" t="s">
        <v>949</v>
      </c>
      <c r="I566" t="s">
        <v>226</v>
      </c>
      <c r="J566" t="s">
        <v>895</v>
      </c>
      <c r="K566" t="s">
        <v>1958</v>
      </c>
      <c r="L566" t="s">
        <v>956</v>
      </c>
    </row>
    <row r="567" spans="1:12" x14ac:dyDescent="0.35">
      <c r="A567" t="s">
        <v>60</v>
      </c>
      <c r="B567" t="s">
        <v>1962</v>
      </c>
      <c r="C567" t="s">
        <v>970</v>
      </c>
      <c r="D567" t="s">
        <v>1766</v>
      </c>
      <c r="E567" t="s">
        <v>1957</v>
      </c>
      <c r="F567" t="s">
        <v>950</v>
      </c>
      <c r="G567" t="s">
        <v>124</v>
      </c>
      <c r="H567" t="s">
        <v>949</v>
      </c>
      <c r="I567" t="s">
        <v>226</v>
      </c>
      <c r="J567" t="s">
        <v>895</v>
      </c>
      <c r="K567" t="s">
        <v>1958</v>
      </c>
      <c r="L567" t="s">
        <v>956</v>
      </c>
    </row>
    <row r="568" spans="1:12" x14ac:dyDescent="0.35">
      <c r="A568" t="s">
        <v>500</v>
      </c>
      <c r="B568" t="s">
        <v>1961</v>
      </c>
      <c r="C568" t="s">
        <v>970</v>
      </c>
      <c r="D568" t="s">
        <v>1766</v>
      </c>
      <c r="E568" t="s">
        <v>1957</v>
      </c>
      <c r="F568" t="s">
        <v>950</v>
      </c>
      <c r="G568" t="s">
        <v>124</v>
      </c>
      <c r="H568" t="s">
        <v>949</v>
      </c>
      <c r="I568" t="s">
        <v>198</v>
      </c>
      <c r="J568" t="s">
        <v>895</v>
      </c>
      <c r="K568" t="s">
        <v>1958</v>
      </c>
      <c r="L568" t="s">
        <v>956</v>
      </c>
    </row>
    <row r="569" spans="1:12" x14ac:dyDescent="0.35">
      <c r="A569" t="s">
        <v>60</v>
      </c>
      <c r="B569" t="s">
        <v>1962</v>
      </c>
      <c r="C569" t="s">
        <v>970</v>
      </c>
      <c r="D569" t="s">
        <v>1766</v>
      </c>
      <c r="E569" t="s">
        <v>1957</v>
      </c>
      <c r="F569" t="s">
        <v>950</v>
      </c>
      <c r="G569" t="s">
        <v>124</v>
      </c>
      <c r="H569" t="s">
        <v>949</v>
      </c>
      <c r="I569" t="s">
        <v>198</v>
      </c>
      <c r="J569" t="s">
        <v>895</v>
      </c>
      <c r="K569" t="s">
        <v>1958</v>
      </c>
      <c r="L569" t="s">
        <v>956</v>
      </c>
    </row>
    <row r="570" spans="1:12" x14ac:dyDescent="0.35">
      <c r="A570" t="s">
        <v>500</v>
      </c>
      <c r="B570" t="s">
        <v>1961</v>
      </c>
      <c r="C570" t="s">
        <v>970</v>
      </c>
      <c r="D570" t="s">
        <v>1766</v>
      </c>
      <c r="E570" t="s">
        <v>1957</v>
      </c>
      <c r="F570" t="s">
        <v>950</v>
      </c>
      <c r="G570" t="s">
        <v>124</v>
      </c>
      <c r="H570" t="s">
        <v>949</v>
      </c>
      <c r="I570" t="s">
        <v>205</v>
      </c>
      <c r="J570" t="s">
        <v>895</v>
      </c>
      <c r="K570" t="s">
        <v>1958</v>
      </c>
      <c r="L570" t="s">
        <v>956</v>
      </c>
    </row>
    <row r="571" spans="1:12" x14ac:dyDescent="0.35">
      <c r="A571" t="s">
        <v>60</v>
      </c>
      <c r="B571" t="s">
        <v>1962</v>
      </c>
      <c r="C571" t="s">
        <v>970</v>
      </c>
      <c r="D571" t="s">
        <v>1766</v>
      </c>
      <c r="E571" t="s">
        <v>1957</v>
      </c>
      <c r="F571" t="s">
        <v>950</v>
      </c>
      <c r="G571" t="s">
        <v>124</v>
      </c>
      <c r="H571" t="s">
        <v>949</v>
      </c>
      <c r="I571" t="s">
        <v>205</v>
      </c>
      <c r="J571" t="s">
        <v>895</v>
      </c>
      <c r="K571" t="s">
        <v>1958</v>
      </c>
      <c r="L571" t="s">
        <v>956</v>
      </c>
    </row>
    <row r="572" spans="1:12" x14ac:dyDescent="0.35">
      <c r="A572" t="s">
        <v>500</v>
      </c>
      <c r="B572" t="s">
        <v>1961</v>
      </c>
      <c r="C572" t="s">
        <v>970</v>
      </c>
      <c r="D572" t="s">
        <v>1766</v>
      </c>
      <c r="E572" t="s">
        <v>1957</v>
      </c>
      <c r="F572" t="s">
        <v>950</v>
      </c>
      <c r="G572" t="s">
        <v>124</v>
      </c>
      <c r="H572" t="s">
        <v>949</v>
      </c>
      <c r="I572" t="s">
        <v>212</v>
      </c>
      <c r="J572" t="s">
        <v>895</v>
      </c>
      <c r="K572" t="s">
        <v>1958</v>
      </c>
      <c r="L572" t="s">
        <v>956</v>
      </c>
    </row>
    <row r="573" spans="1:12" x14ac:dyDescent="0.35">
      <c r="A573" t="s">
        <v>60</v>
      </c>
      <c r="B573" t="s">
        <v>1962</v>
      </c>
      <c r="C573" t="s">
        <v>970</v>
      </c>
      <c r="D573" t="s">
        <v>1766</v>
      </c>
      <c r="E573" t="s">
        <v>1957</v>
      </c>
      <c r="F573" t="s">
        <v>950</v>
      </c>
      <c r="G573" t="s">
        <v>124</v>
      </c>
      <c r="H573" t="s">
        <v>949</v>
      </c>
      <c r="I573" t="s">
        <v>212</v>
      </c>
      <c r="J573" t="s">
        <v>895</v>
      </c>
      <c r="K573" t="s">
        <v>1958</v>
      </c>
      <c r="L573" t="s">
        <v>956</v>
      </c>
    </row>
    <row r="574" spans="1:12" x14ac:dyDescent="0.35">
      <c r="A574" t="s">
        <v>500</v>
      </c>
      <c r="B574" t="s">
        <v>1961</v>
      </c>
      <c r="C574" t="s">
        <v>970</v>
      </c>
      <c r="D574" t="s">
        <v>1766</v>
      </c>
      <c r="E574" t="s">
        <v>1957</v>
      </c>
      <c r="F574" t="s">
        <v>950</v>
      </c>
      <c r="G574" t="s">
        <v>124</v>
      </c>
      <c r="H574" t="s">
        <v>949</v>
      </c>
      <c r="I574" t="s">
        <v>219</v>
      </c>
      <c r="J574" t="s">
        <v>895</v>
      </c>
      <c r="K574" t="s">
        <v>1958</v>
      </c>
      <c r="L574" t="s">
        <v>956</v>
      </c>
    </row>
    <row r="575" spans="1:12" x14ac:dyDescent="0.35">
      <c r="A575" t="s">
        <v>60</v>
      </c>
      <c r="B575" t="s">
        <v>1962</v>
      </c>
      <c r="C575" t="s">
        <v>970</v>
      </c>
      <c r="D575" t="s">
        <v>1766</v>
      </c>
      <c r="E575" t="s">
        <v>1957</v>
      </c>
      <c r="F575" t="s">
        <v>950</v>
      </c>
      <c r="G575" t="s">
        <v>124</v>
      </c>
      <c r="H575" t="s">
        <v>949</v>
      </c>
      <c r="I575" t="s">
        <v>219</v>
      </c>
      <c r="J575" t="s">
        <v>895</v>
      </c>
      <c r="K575" t="s">
        <v>1958</v>
      </c>
      <c r="L575" t="s">
        <v>956</v>
      </c>
    </row>
    <row r="576" spans="1:12" x14ac:dyDescent="0.35">
      <c r="A576" t="s">
        <v>500</v>
      </c>
      <c r="B576" t="s">
        <v>1961</v>
      </c>
      <c r="C576" t="s">
        <v>970</v>
      </c>
      <c r="D576" t="s">
        <v>1766</v>
      </c>
      <c r="E576" t="s">
        <v>1957</v>
      </c>
      <c r="F576" t="s">
        <v>950</v>
      </c>
      <c r="G576" t="s">
        <v>124</v>
      </c>
      <c r="H576" t="s">
        <v>949</v>
      </c>
      <c r="I576" t="s">
        <v>233</v>
      </c>
      <c r="J576" t="s">
        <v>895</v>
      </c>
      <c r="K576" t="s">
        <v>1958</v>
      </c>
      <c r="L576" t="s">
        <v>956</v>
      </c>
    </row>
    <row r="577" spans="1:12" x14ac:dyDescent="0.35">
      <c r="A577" t="s">
        <v>60</v>
      </c>
      <c r="B577" t="s">
        <v>1962</v>
      </c>
      <c r="C577" t="s">
        <v>970</v>
      </c>
      <c r="D577" t="s">
        <v>1766</v>
      </c>
      <c r="E577" t="s">
        <v>1957</v>
      </c>
      <c r="F577" t="s">
        <v>950</v>
      </c>
      <c r="G577" t="s">
        <v>124</v>
      </c>
      <c r="H577" t="s">
        <v>949</v>
      </c>
      <c r="I577" t="s">
        <v>233</v>
      </c>
      <c r="J577" t="s">
        <v>895</v>
      </c>
      <c r="K577" t="s">
        <v>1958</v>
      </c>
      <c r="L577" t="s">
        <v>956</v>
      </c>
    </row>
    <row r="578" spans="1:12" x14ac:dyDescent="0.35">
      <c r="A578" t="s">
        <v>500</v>
      </c>
      <c r="B578" t="s">
        <v>1961</v>
      </c>
      <c r="C578" t="s">
        <v>970</v>
      </c>
      <c r="D578" t="s">
        <v>1766</v>
      </c>
      <c r="E578" t="s">
        <v>1957</v>
      </c>
      <c r="F578" t="s">
        <v>950</v>
      </c>
      <c r="G578" t="s">
        <v>124</v>
      </c>
      <c r="H578" t="s">
        <v>949</v>
      </c>
      <c r="I578" t="s">
        <v>240</v>
      </c>
      <c r="J578" t="s">
        <v>895</v>
      </c>
      <c r="K578" t="s">
        <v>1958</v>
      </c>
      <c r="L578" t="s">
        <v>956</v>
      </c>
    </row>
    <row r="579" spans="1:12" x14ac:dyDescent="0.35">
      <c r="A579" t="s">
        <v>60</v>
      </c>
      <c r="B579" t="s">
        <v>1962</v>
      </c>
      <c r="C579" t="s">
        <v>970</v>
      </c>
      <c r="D579" t="s">
        <v>1766</v>
      </c>
      <c r="E579" t="s">
        <v>1957</v>
      </c>
      <c r="F579" t="s">
        <v>950</v>
      </c>
      <c r="G579" t="s">
        <v>124</v>
      </c>
      <c r="H579" t="s">
        <v>949</v>
      </c>
      <c r="I579" t="s">
        <v>240</v>
      </c>
      <c r="J579" t="s">
        <v>895</v>
      </c>
      <c r="K579" t="s">
        <v>1958</v>
      </c>
      <c r="L579" t="s">
        <v>956</v>
      </c>
    </row>
    <row r="580" spans="1:12" x14ac:dyDescent="0.35">
      <c r="A580" t="s">
        <v>500</v>
      </c>
      <c r="B580" t="s">
        <v>1961</v>
      </c>
      <c r="C580" t="s">
        <v>970</v>
      </c>
      <c r="D580" t="s">
        <v>1766</v>
      </c>
      <c r="E580" t="s">
        <v>1957</v>
      </c>
      <c r="F580" t="s">
        <v>950</v>
      </c>
      <c r="G580" t="s">
        <v>124</v>
      </c>
      <c r="H580" t="s">
        <v>949</v>
      </c>
      <c r="I580" t="s">
        <v>247</v>
      </c>
      <c r="J580" t="s">
        <v>895</v>
      </c>
      <c r="K580" t="s">
        <v>1958</v>
      </c>
      <c r="L580" t="s">
        <v>956</v>
      </c>
    </row>
    <row r="581" spans="1:12" x14ac:dyDescent="0.35">
      <c r="A581" t="s">
        <v>60</v>
      </c>
      <c r="B581" t="s">
        <v>1962</v>
      </c>
      <c r="C581" t="s">
        <v>970</v>
      </c>
      <c r="D581" t="s">
        <v>1766</v>
      </c>
      <c r="E581" t="s">
        <v>1957</v>
      </c>
      <c r="F581" t="s">
        <v>950</v>
      </c>
      <c r="G581" t="s">
        <v>124</v>
      </c>
      <c r="H581" t="s">
        <v>949</v>
      </c>
      <c r="I581" t="s">
        <v>247</v>
      </c>
      <c r="J581" t="s">
        <v>895</v>
      </c>
      <c r="K581" t="s">
        <v>1958</v>
      </c>
      <c r="L581" t="s">
        <v>956</v>
      </c>
    </row>
    <row r="582" spans="1:12" x14ac:dyDescent="0.35">
      <c r="A582" t="s">
        <v>500</v>
      </c>
      <c r="B582" t="s">
        <v>1961</v>
      </c>
      <c r="C582" t="s">
        <v>970</v>
      </c>
      <c r="D582" t="s">
        <v>1766</v>
      </c>
      <c r="E582" t="s">
        <v>1957</v>
      </c>
      <c r="F582" t="s">
        <v>950</v>
      </c>
      <c r="G582" t="s">
        <v>124</v>
      </c>
      <c r="H582" t="s">
        <v>949</v>
      </c>
      <c r="I582" t="s">
        <v>254</v>
      </c>
      <c r="J582" t="s">
        <v>895</v>
      </c>
      <c r="K582" t="s">
        <v>1958</v>
      </c>
      <c r="L582" t="s">
        <v>956</v>
      </c>
    </row>
    <row r="583" spans="1:12" x14ac:dyDescent="0.35">
      <c r="A583" t="s">
        <v>60</v>
      </c>
      <c r="B583" t="s">
        <v>1962</v>
      </c>
      <c r="C583" t="s">
        <v>970</v>
      </c>
      <c r="D583" t="s">
        <v>1766</v>
      </c>
      <c r="E583" t="s">
        <v>1957</v>
      </c>
      <c r="F583" t="s">
        <v>950</v>
      </c>
      <c r="G583" t="s">
        <v>124</v>
      </c>
      <c r="H583" t="s">
        <v>949</v>
      </c>
      <c r="I583" t="s">
        <v>254</v>
      </c>
      <c r="J583" t="s">
        <v>895</v>
      </c>
      <c r="K583" t="s">
        <v>1958</v>
      </c>
      <c r="L583" t="s">
        <v>956</v>
      </c>
    </row>
    <row r="584" spans="1:12" x14ac:dyDescent="0.35">
      <c r="A584" t="s">
        <v>1836</v>
      </c>
      <c r="B584" t="s">
        <v>1963</v>
      </c>
      <c r="C584" t="s">
        <v>992</v>
      </c>
      <c r="D584" t="s">
        <v>1766</v>
      </c>
      <c r="E584" t="s">
        <v>1957</v>
      </c>
      <c r="F584" t="s">
        <v>950</v>
      </c>
      <c r="G584" t="s">
        <v>73</v>
      </c>
      <c r="H584" t="s">
        <v>949</v>
      </c>
      <c r="I584" t="s">
        <v>457</v>
      </c>
      <c r="J584" t="s">
        <v>895</v>
      </c>
      <c r="K584" t="s">
        <v>1958</v>
      </c>
      <c r="L584" t="s">
        <v>956</v>
      </c>
    </row>
    <row r="585" spans="1:12" x14ac:dyDescent="0.35">
      <c r="A585" t="s">
        <v>60</v>
      </c>
      <c r="B585" t="s">
        <v>1962</v>
      </c>
      <c r="C585" t="s">
        <v>992</v>
      </c>
      <c r="D585" t="s">
        <v>1766</v>
      </c>
      <c r="E585" t="s">
        <v>1957</v>
      </c>
      <c r="F585" t="s">
        <v>950</v>
      </c>
      <c r="G585" t="s">
        <v>73</v>
      </c>
      <c r="H585" t="s">
        <v>949</v>
      </c>
      <c r="I585" t="s">
        <v>457</v>
      </c>
      <c r="J585" t="s">
        <v>895</v>
      </c>
      <c r="K585" t="s">
        <v>1958</v>
      </c>
      <c r="L585" t="s">
        <v>956</v>
      </c>
    </row>
    <row r="586" spans="1:12" x14ac:dyDescent="0.35">
      <c r="A586" t="s">
        <v>1841</v>
      </c>
      <c r="B586" t="s">
        <v>1841</v>
      </c>
      <c r="C586" t="s">
        <v>992</v>
      </c>
      <c r="D586" t="s">
        <v>1766</v>
      </c>
      <c r="E586" t="s">
        <v>1761</v>
      </c>
      <c r="F586" t="s">
        <v>950</v>
      </c>
      <c r="G586" t="s">
        <v>73</v>
      </c>
      <c r="H586" t="s">
        <v>949</v>
      </c>
      <c r="I586" t="s">
        <v>457</v>
      </c>
      <c r="J586" t="s">
        <v>895</v>
      </c>
      <c r="K586" t="s">
        <v>1958</v>
      </c>
      <c r="L586" t="s">
        <v>956</v>
      </c>
    </row>
    <row r="587" spans="1:12" x14ac:dyDescent="0.35">
      <c r="A587" t="s">
        <v>1369</v>
      </c>
      <c r="B587" t="s">
        <v>1944</v>
      </c>
      <c r="C587" t="s">
        <v>857</v>
      </c>
      <c r="D587" t="s">
        <v>1945</v>
      </c>
      <c r="E587" t="s">
        <v>1946</v>
      </c>
      <c r="F587" t="s">
        <v>1479</v>
      </c>
      <c r="G587" t="s">
        <v>47</v>
      </c>
      <c r="H587" t="s">
        <v>1478</v>
      </c>
      <c r="I587" t="s">
        <v>40</v>
      </c>
      <c r="J587" t="s">
        <v>333</v>
      </c>
      <c r="K587" t="s">
        <v>1964</v>
      </c>
      <c r="L587" t="s">
        <v>1965</v>
      </c>
    </row>
    <row r="588" spans="1:12" x14ac:dyDescent="0.35">
      <c r="A588" t="s">
        <v>1369</v>
      </c>
      <c r="B588" t="s">
        <v>1944</v>
      </c>
      <c r="C588" t="s">
        <v>857</v>
      </c>
      <c r="D588" t="s">
        <v>1945</v>
      </c>
      <c r="E588" t="s">
        <v>1946</v>
      </c>
      <c r="F588" t="s">
        <v>1479</v>
      </c>
      <c r="G588" t="s">
        <v>47</v>
      </c>
      <c r="H588" t="s">
        <v>1478</v>
      </c>
      <c r="I588" t="s">
        <v>116</v>
      </c>
      <c r="J588" t="s">
        <v>333</v>
      </c>
      <c r="K588" t="s">
        <v>1964</v>
      </c>
      <c r="L588" t="s">
        <v>1965</v>
      </c>
    </row>
    <row r="589" spans="1:12" x14ac:dyDescent="0.35">
      <c r="A589" t="s">
        <v>1369</v>
      </c>
      <c r="B589" t="s">
        <v>1944</v>
      </c>
      <c r="C589" t="s">
        <v>857</v>
      </c>
      <c r="D589" t="s">
        <v>1945</v>
      </c>
      <c r="E589" t="s">
        <v>1946</v>
      </c>
      <c r="F589" t="s">
        <v>1479</v>
      </c>
      <c r="G589" t="s">
        <v>47</v>
      </c>
      <c r="H589" t="s">
        <v>1478</v>
      </c>
      <c r="I589" t="s">
        <v>123</v>
      </c>
      <c r="J589" t="s">
        <v>333</v>
      </c>
      <c r="K589" t="s">
        <v>1964</v>
      </c>
      <c r="L589" t="s">
        <v>1965</v>
      </c>
    </row>
    <row r="590" spans="1:12" x14ac:dyDescent="0.35">
      <c r="A590" t="s">
        <v>1369</v>
      </c>
      <c r="B590" t="s">
        <v>1944</v>
      </c>
      <c r="C590" t="s">
        <v>857</v>
      </c>
      <c r="D590" t="s">
        <v>1945</v>
      </c>
      <c r="E590" t="s">
        <v>1946</v>
      </c>
      <c r="F590" t="s">
        <v>1479</v>
      </c>
      <c r="G590" t="s">
        <v>47</v>
      </c>
      <c r="H590" t="s">
        <v>1478</v>
      </c>
      <c r="I590" t="s">
        <v>135</v>
      </c>
      <c r="J590" t="s">
        <v>333</v>
      </c>
      <c r="K590" t="s">
        <v>1964</v>
      </c>
      <c r="L590" t="s">
        <v>1965</v>
      </c>
    </row>
    <row r="591" spans="1:12" x14ac:dyDescent="0.35">
      <c r="A591" t="s">
        <v>1369</v>
      </c>
      <c r="B591" t="s">
        <v>1944</v>
      </c>
      <c r="C591" t="s">
        <v>857</v>
      </c>
      <c r="D591" t="s">
        <v>1945</v>
      </c>
      <c r="E591" t="s">
        <v>1946</v>
      </c>
      <c r="F591" t="s">
        <v>1479</v>
      </c>
      <c r="G591" t="s">
        <v>47</v>
      </c>
      <c r="H591" t="s">
        <v>1478</v>
      </c>
      <c r="I591" t="s">
        <v>142</v>
      </c>
      <c r="J591" t="s">
        <v>333</v>
      </c>
      <c r="K591" t="s">
        <v>1964</v>
      </c>
      <c r="L591" t="s">
        <v>1965</v>
      </c>
    </row>
    <row r="592" spans="1:12" x14ac:dyDescent="0.35">
      <c r="A592" t="s">
        <v>1369</v>
      </c>
      <c r="B592" t="s">
        <v>1944</v>
      </c>
      <c r="C592" t="s">
        <v>857</v>
      </c>
      <c r="D592" t="s">
        <v>1945</v>
      </c>
      <c r="E592" t="s">
        <v>1946</v>
      </c>
      <c r="F592" t="s">
        <v>1479</v>
      </c>
      <c r="G592" t="s">
        <v>47</v>
      </c>
      <c r="H592" t="s">
        <v>1478</v>
      </c>
      <c r="I592" t="s">
        <v>149</v>
      </c>
      <c r="J592" t="s">
        <v>333</v>
      </c>
      <c r="K592" t="s">
        <v>1964</v>
      </c>
      <c r="L592" t="s">
        <v>1965</v>
      </c>
    </row>
    <row r="593" spans="1:12" x14ac:dyDescent="0.35">
      <c r="A593" t="s">
        <v>1369</v>
      </c>
      <c r="B593" t="s">
        <v>1944</v>
      </c>
      <c r="C593" t="s">
        <v>857</v>
      </c>
      <c r="D593" t="s">
        <v>1945</v>
      </c>
      <c r="E593" t="s">
        <v>1946</v>
      </c>
      <c r="F593" t="s">
        <v>1479</v>
      </c>
      <c r="G593" t="s">
        <v>47</v>
      </c>
      <c r="H593" t="s">
        <v>1478</v>
      </c>
      <c r="I593" t="s">
        <v>156</v>
      </c>
      <c r="J593" t="s">
        <v>333</v>
      </c>
      <c r="K593" t="s">
        <v>1964</v>
      </c>
      <c r="L593" t="s">
        <v>1965</v>
      </c>
    </row>
    <row r="594" spans="1:12" x14ac:dyDescent="0.35">
      <c r="A594" t="s">
        <v>1369</v>
      </c>
      <c r="B594" t="s">
        <v>1944</v>
      </c>
      <c r="C594" t="s">
        <v>857</v>
      </c>
      <c r="D594" t="s">
        <v>1945</v>
      </c>
      <c r="E594" t="s">
        <v>1946</v>
      </c>
      <c r="F594" t="s">
        <v>1479</v>
      </c>
      <c r="G594" t="s">
        <v>124</v>
      </c>
      <c r="H594" t="s">
        <v>1478</v>
      </c>
      <c r="I594" t="s">
        <v>163</v>
      </c>
      <c r="J594" t="s">
        <v>333</v>
      </c>
      <c r="K594" t="s">
        <v>1964</v>
      </c>
      <c r="L594" t="s">
        <v>1965</v>
      </c>
    </row>
    <row r="595" spans="1:12" x14ac:dyDescent="0.35">
      <c r="A595" t="s">
        <v>1369</v>
      </c>
      <c r="B595" t="s">
        <v>1944</v>
      </c>
      <c r="C595" t="s">
        <v>857</v>
      </c>
      <c r="D595" t="s">
        <v>1945</v>
      </c>
      <c r="E595" t="s">
        <v>1946</v>
      </c>
      <c r="F595" t="s">
        <v>1479</v>
      </c>
      <c r="G595" t="s">
        <v>124</v>
      </c>
      <c r="H595" t="s">
        <v>1478</v>
      </c>
      <c r="I595" t="s">
        <v>170</v>
      </c>
      <c r="J595" t="s">
        <v>333</v>
      </c>
      <c r="K595" t="s">
        <v>1964</v>
      </c>
      <c r="L595" t="s">
        <v>1965</v>
      </c>
    </row>
    <row r="596" spans="1:12" x14ac:dyDescent="0.35">
      <c r="A596" t="s">
        <v>1369</v>
      </c>
      <c r="B596" t="s">
        <v>1944</v>
      </c>
      <c r="C596" t="s">
        <v>857</v>
      </c>
      <c r="D596" t="s">
        <v>1945</v>
      </c>
      <c r="E596" t="s">
        <v>1946</v>
      </c>
      <c r="F596" t="s">
        <v>1479</v>
      </c>
      <c r="G596" t="s">
        <v>124</v>
      </c>
      <c r="H596" t="s">
        <v>1478</v>
      </c>
      <c r="I596" t="s">
        <v>177</v>
      </c>
      <c r="J596" t="s">
        <v>333</v>
      </c>
      <c r="K596" t="s">
        <v>1964</v>
      </c>
      <c r="L596" t="s">
        <v>1965</v>
      </c>
    </row>
    <row r="597" spans="1:12" x14ac:dyDescent="0.35">
      <c r="A597" t="s">
        <v>1369</v>
      </c>
      <c r="B597" t="s">
        <v>1944</v>
      </c>
      <c r="C597" t="s">
        <v>857</v>
      </c>
      <c r="D597" t="s">
        <v>1945</v>
      </c>
      <c r="E597" t="s">
        <v>1946</v>
      </c>
      <c r="F597" t="s">
        <v>1479</v>
      </c>
      <c r="G597" t="s">
        <v>73</v>
      </c>
      <c r="H597" t="s">
        <v>1478</v>
      </c>
      <c r="I597" t="s">
        <v>212</v>
      </c>
      <c r="J597" t="s">
        <v>333</v>
      </c>
      <c r="K597" t="s">
        <v>1964</v>
      </c>
      <c r="L597" t="s">
        <v>1965</v>
      </c>
    </row>
    <row r="598" spans="1:12" x14ac:dyDescent="0.35">
      <c r="A598" t="s">
        <v>1369</v>
      </c>
      <c r="B598" t="s">
        <v>1944</v>
      </c>
      <c r="C598" t="s">
        <v>857</v>
      </c>
      <c r="D598" t="s">
        <v>1945</v>
      </c>
      <c r="E598" t="s">
        <v>1946</v>
      </c>
      <c r="F598" t="s">
        <v>1479</v>
      </c>
      <c r="G598" t="s">
        <v>73</v>
      </c>
      <c r="H598" t="s">
        <v>1478</v>
      </c>
      <c r="I598" t="s">
        <v>219</v>
      </c>
      <c r="J598" t="s">
        <v>333</v>
      </c>
      <c r="K598" t="s">
        <v>1964</v>
      </c>
      <c r="L598" t="s">
        <v>1965</v>
      </c>
    </row>
    <row r="599" spans="1:12" x14ac:dyDescent="0.35">
      <c r="A599" t="s">
        <v>1369</v>
      </c>
      <c r="B599" t="s">
        <v>1944</v>
      </c>
      <c r="C599" t="s">
        <v>857</v>
      </c>
      <c r="D599" t="s">
        <v>1945</v>
      </c>
      <c r="E599" t="s">
        <v>1946</v>
      </c>
      <c r="F599" t="s">
        <v>1479</v>
      </c>
      <c r="G599" t="s">
        <v>73</v>
      </c>
      <c r="H599" t="s">
        <v>1478</v>
      </c>
      <c r="I599" t="s">
        <v>247</v>
      </c>
      <c r="J599" t="s">
        <v>333</v>
      </c>
      <c r="K599" t="s">
        <v>1964</v>
      </c>
      <c r="L599" t="s">
        <v>1965</v>
      </c>
    </row>
    <row r="600" spans="1:12" x14ac:dyDescent="0.35">
      <c r="A600" t="s">
        <v>1369</v>
      </c>
      <c r="B600" t="s">
        <v>1944</v>
      </c>
      <c r="C600" t="s">
        <v>857</v>
      </c>
      <c r="D600" t="s">
        <v>1945</v>
      </c>
      <c r="E600" t="s">
        <v>1946</v>
      </c>
      <c r="F600" t="s">
        <v>1479</v>
      </c>
      <c r="G600" t="s">
        <v>73</v>
      </c>
      <c r="H600" t="s">
        <v>1478</v>
      </c>
      <c r="I600" t="s">
        <v>254</v>
      </c>
      <c r="J600" t="s">
        <v>333</v>
      </c>
      <c r="K600" t="s">
        <v>1964</v>
      </c>
      <c r="L600" t="s">
        <v>1965</v>
      </c>
    </row>
    <row r="601" spans="1:12" x14ac:dyDescent="0.35">
      <c r="A601" t="s">
        <v>1369</v>
      </c>
      <c r="B601" t="s">
        <v>1944</v>
      </c>
      <c r="C601" t="s">
        <v>857</v>
      </c>
      <c r="D601" t="s">
        <v>1945</v>
      </c>
      <c r="E601" t="s">
        <v>1946</v>
      </c>
      <c r="F601" t="s">
        <v>1479</v>
      </c>
      <c r="G601" t="s">
        <v>64</v>
      </c>
      <c r="H601" t="s">
        <v>1478</v>
      </c>
      <c r="I601" t="s">
        <v>198</v>
      </c>
      <c r="J601" t="s">
        <v>333</v>
      </c>
      <c r="K601" t="s">
        <v>1964</v>
      </c>
      <c r="L601" t="s">
        <v>1965</v>
      </c>
    </row>
    <row r="602" spans="1:12" x14ac:dyDescent="0.35">
      <c r="A602" t="s">
        <v>1369</v>
      </c>
      <c r="B602" t="s">
        <v>1944</v>
      </c>
      <c r="C602" t="s">
        <v>857</v>
      </c>
      <c r="D602" t="s">
        <v>1945</v>
      </c>
      <c r="E602" t="s">
        <v>1946</v>
      </c>
      <c r="F602" t="s">
        <v>1479</v>
      </c>
      <c r="G602" t="s">
        <v>64</v>
      </c>
      <c r="H602" t="s">
        <v>1478</v>
      </c>
      <c r="I602" t="s">
        <v>205</v>
      </c>
      <c r="J602" t="s">
        <v>333</v>
      </c>
      <c r="K602" t="s">
        <v>1964</v>
      </c>
      <c r="L602" t="s">
        <v>1965</v>
      </c>
    </row>
    <row r="603" spans="1:12" x14ac:dyDescent="0.35">
      <c r="A603" t="s">
        <v>1369</v>
      </c>
      <c r="B603" t="s">
        <v>1944</v>
      </c>
      <c r="C603" t="s">
        <v>857</v>
      </c>
      <c r="D603" t="s">
        <v>1945</v>
      </c>
      <c r="E603" t="s">
        <v>1946</v>
      </c>
      <c r="F603" t="s">
        <v>1479</v>
      </c>
      <c r="G603" t="s">
        <v>64</v>
      </c>
      <c r="H603" t="s">
        <v>1478</v>
      </c>
      <c r="I603" t="s">
        <v>233</v>
      </c>
      <c r="J603" t="s">
        <v>333</v>
      </c>
      <c r="K603" t="s">
        <v>1964</v>
      </c>
      <c r="L603" t="s">
        <v>1965</v>
      </c>
    </row>
    <row r="604" spans="1:12" x14ac:dyDescent="0.35">
      <c r="A604" t="s">
        <v>1369</v>
      </c>
      <c r="B604" t="s">
        <v>1944</v>
      </c>
      <c r="C604" t="s">
        <v>857</v>
      </c>
      <c r="D604" t="s">
        <v>1945</v>
      </c>
      <c r="E604" t="s">
        <v>1946</v>
      </c>
      <c r="F604" t="s">
        <v>1479</v>
      </c>
      <c r="G604" t="s">
        <v>64</v>
      </c>
      <c r="H604" t="s">
        <v>1478</v>
      </c>
      <c r="I604" t="s">
        <v>240</v>
      </c>
      <c r="J604" t="s">
        <v>333</v>
      </c>
      <c r="K604" t="s">
        <v>1964</v>
      </c>
      <c r="L604" t="s">
        <v>1965</v>
      </c>
    </row>
    <row r="605" spans="1:12" x14ac:dyDescent="0.35">
      <c r="A605" t="s">
        <v>1369</v>
      </c>
      <c r="B605" t="s">
        <v>1944</v>
      </c>
      <c r="C605" t="s">
        <v>857</v>
      </c>
      <c r="D605" t="s">
        <v>1945</v>
      </c>
      <c r="E605" t="s">
        <v>1946</v>
      </c>
      <c r="F605" t="s">
        <v>1479</v>
      </c>
      <c r="G605" t="s">
        <v>305</v>
      </c>
      <c r="H605" t="s">
        <v>1478</v>
      </c>
      <c r="I605" t="s">
        <v>184</v>
      </c>
      <c r="J605" t="s">
        <v>333</v>
      </c>
      <c r="K605" t="s">
        <v>1964</v>
      </c>
      <c r="L605" t="s">
        <v>1965</v>
      </c>
    </row>
    <row r="606" spans="1:12" x14ac:dyDescent="0.35">
      <c r="A606" t="s">
        <v>1369</v>
      </c>
      <c r="B606" t="s">
        <v>1944</v>
      </c>
      <c r="C606" t="s">
        <v>857</v>
      </c>
      <c r="D606" t="s">
        <v>1945</v>
      </c>
      <c r="E606" t="s">
        <v>1946</v>
      </c>
      <c r="F606" t="s">
        <v>1479</v>
      </c>
      <c r="G606" t="s">
        <v>305</v>
      </c>
      <c r="H606" t="s">
        <v>1478</v>
      </c>
      <c r="I606" t="s">
        <v>191</v>
      </c>
      <c r="J606" t="s">
        <v>333</v>
      </c>
      <c r="K606" t="s">
        <v>1964</v>
      </c>
      <c r="L606" t="s">
        <v>1965</v>
      </c>
    </row>
    <row r="607" spans="1:12" x14ac:dyDescent="0.35">
      <c r="A607" t="s">
        <v>1369</v>
      </c>
      <c r="B607" t="s">
        <v>1944</v>
      </c>
      <c r="C607" t="s">
        <v>857</v>
      </c>
      <c r="D607" t="s">
        <v>1945</v>
      </c>
      <c r="E607" t="s">
        <v>1946</v>
      </c>
      <c r="F607" t="s">
        <v>1479</v>
      </c>
      <c r="G607" t="s">
        <v>305</v>
      </c>
      <c r="H607" t="s">
        <v>1478</v>
      </c>
      <c r="I607" t="s">
        <v>226</v>
      </c>
      <c r="J607" t="s">
        <v>333</v>
      </c>
      <c r="K607" t="s">
        <v>1964</v>
      </c>
      <c r="L607" t="s">
        <v>1965</v>
      </c>
    </row>
    <row r="608" spans="1:12" x14ac:dyDescent="0.35">
      <c r="A608" t="s">
        <v>1534</v>
      </c>
      <c r="B608" t="s">
        <v>1526</v>
      </c>
      <c r="C608" t="s">
        <v>1526</v>
      </c>
      <c r="D608" t="s">
        <v>1766</v>
      </c>
      <c r="E608" t="s">
        <v>1856</v>
      </c>
      <c r="F608" t="s">
        <v>643</v>
      </c>
      <c r="G608" t="s">
        <v>64</v>
      </c>
      <c r="H608" t="s">
        <v>642</v>
      </c>
      <c r="I608" t="s">
        <v>457</v>
      </c>
      <c r="J608" t="s">
        <v>1524</v>
      </c>
      <c r="K608" t="s">
        <v>1966</v>
      </c>
      <c r="L608" t="s">
        <v>1530</v>
      </c>
    </row>
    <row r="609" spans="1:12" x14ac:dyDescent="0.35">
      <c r="A609" t="s">
        <v>1539</v>
      </c>
      <c r="B609" t="s">
        <v>1539</v>
      </c>
      <c r="C609" t="s">
        <v>1539</v>
      </c>
      <c r="D609" t="s">
        <v>1754</v>
      </c>
      <c r="E609" t="s">
        <v>1761</v>
      </c>
      <c r="F609" t="s">
        <v>643</v>
      </c>
      <c r="G609" t="s">
        <v>305</v>
      </c>
      <c r="H609" t="s">
        <v>642</v>
      </c>
      <c r="I609" t="s">
        <v>457</v>
      </c>
      <c r="J609" t="s">
        <v>1524</v>
      </c>
      <c r="K609" t="s">
        <v>1966</v>
      </c>
      <c r="L609" t="s">
        <v>1530</v>
      </c>
    </row>
    <row r="610" spans="1:12" x14ac:dyDescent="0.35">
      <c r="A610" t="s">
        <v>1544</v>
      </c>
      <c r="B610" t="s">
        <v>1544</v>
      </c>
      <c r="C610" t="s">
        <v>1544</v>
      </c>
      <c r="D610" t="s">
        <v>1754</v>
      </c>
      <c r="E610" t="s">
        <v>1761</v>
      </c>
      <c r="F610" t="s">
        <v>643</v>
      </c>
      <c r="G610" t="s">
        <v>312</v>
      </c>
      <c r="H610" t="s">
        <v>642</v>
      </c>
      <c r="I610" t="s">
        <v>457</v>
      </c>
      <c r="J610" t="s">
        <v>1524</v>
      </c>
      <c r="K610" t="s">
        <v>1966</v>
      </c>
      <c r="L610" t="s">
        <v>1530</v>
      </c>
    </row>
    <row r="611" spans="1:12" x14ac:dyDescent="0.35">
      <c r="A611" t="s">
        <v>1550</v>
      </c>
      <c r="B611" t="s">
        <v>1550</v>
      </c>
      <c r="C611" t="s">
        <v>1550</v>
      </c>
      <c r="D611" t="s">
        <v>1754</v>
      </c>
      <c r="E611" t="s">
        <v>1761</v>
      </c>
      <c r="F611" t="s">
        <v>753</v>
      </c>
      <c r="G611" t="s">
        <v>124</v>
      </c>
      <c r="H611" t="s">
        <v>1549</v>
      </c>
      <c r="I611" t="s">
        <v>457</v>
      </c>
      <c r="J611" t="s">
        <v>750</v>
      </c>
      <c r="K611" t="s">
        <v>1967</v>
      </c>
      <c r="L611" t="s">
        <v>1555</v>
      </c>
    </row>
    <row r="612" spans="1:12" x14ac:dyDescent="0.35">
      <c r="A612" t="s">
        <v>113</v>
      </c>
      <c r="B612" t="s">
        <v>1568</v>
      </c>
      <c r="C612" t="s">
        <v>1568</v>
      </c>
      <c r="D612" t="s">
        <v>1754</v>
      </c>
      <c r="E612" t="s">
        <v>1968</v>
      </c>
      <c r="F612" t="s">
        <v>1567</v>
      </c>
      <c r="G612" t="s">
        <v>47</v>
      </c>
      <c r="H612" t="s">
        <v>1566</v>
      </c>
      <c r="I612" t="s">
        <v>163</v>
      </c>
      <c r="J612" t="s">
        <v>1562</v>
      </c>
      <c r="K612" t="s">
        <v>1969</v>
      </c>
      <c r="L612" t="s">
        <v>1573</v>
      </c>
    </row>
    <row r="613" spans="1:12" x14ac:dyDescent="0.35">
      <c r="A613" t="s">
        <v>1579</v>
      </c>
      <c r="B613" t="s">
        <v>1579</v>
      </c>
      <c r="C613" t="s">
        <v>1579</v>
      </c>
      <c r="D613" t="s">
        <v>1754</v>
      </c>
      <c r="E613" t="s">
        <v>1761</v>
      </c>
      <c r="F613" t="s">
        <v>1567</v>
      </c>
      <c r="G613" t="s">
        <v>124</v>
      </c>
      <c r="H613" t="s">
        <v>1566</v>
      </c>
      <c r="I613" t="s">
        <v>163</v>
      </c>
      <c r="J613" t="s">
        <v>1562</v>
      </c>
      <c r="K613" t="s">
        <v>1969</v>
      </c>
      <c r="L613" t="s">
        <v>1573</v>
      </c>
    </row>
    <row r="614" spans="1:12" x14ac:dyDescent="0.35">
      <c r="A614" t="s">
        <v>1584</v>
      </c>
      <c r="B614" t="s">
        <v>1584</v>
      </c>
      <c r="C614" t="s">
        <v>1584</v>
      </c>
      <c r="D614" t="s">
        <v>1754</v>
      </c>
      <c r="E614" t="s">
        <v>1761</v>
      </c>
      <c r="F614" t="s">
        <v>1567</v>
      </c>
      <c r="G614" t="s">
        <v>73</v>
      </c>
      <c r="H614" t="s">
        <v>1566</v>
      </c>
      <c r="I614" t="s">
        <v>163</v>
      </c>
      <c r="J614" t="s">
        <v>1562</v>
      </c>
      <c r="K614" t="s">
        <v>1969</v>
      </c>
      <c r="L614" t="s">
        <v>1573</v>
      </c>
    </row>
    <row r="615" spans="1:12" x14ac:dyDescent="0.35">
      <c r="A615" t="s">
        <v>1589</v>
      </c>
      <c r="B615" t="s">
        <v>1589</v>
      </c>
      <c r="C615" t="s">
        <v>1589</v>
      </c>
      <c r="D615" t="s">
        <v>1754</v>
      </c>
      <c r="E615" t="s">
        <v>1761</v>
      </c>
      <c r="F615" t="s">
        <v>1567</v>
      </c>
      <c r="G615" t="s">
        <v>64</v>
      </c>
      <c r="H615" t="s">
        <v>1566</v>
      </c>
      <c r="I615" t="s">
        <v>163</v>
      </c>
      <c r="J615" t="s">
        <v>1562</v>
      </c>
      <c r="K615" t="s">
        <v>1970</v>
      </c>
      <c r="L615" t="s">
        <v>1573</v>
      </c>
    </row>
    <row r="616" spans="1:12" x14ac:dyDescent="0.35">
      <c r="A616" t="s">
        <v>1599</v>
      </c>
      <c r="B616" t="s">
        <v>1599</v>
      </c>
      <c r="C616" t="s">
        <v>1599</v>
      </c>
      <c r="D616" t="s">
        <v>1754</v>
      </c>
      <c r="E616" t="s">
        <v>1761</v>
      </c>
      <c r="F616" t="s">
        <v>1598</v>
      </c>
      <c r="G616" t="s">
        <v>47</v>
      </c>
      <c r="H616" t="s">
        <v>1597</v>
      </c>
      <c r="I616" t="s">
        <v>191</v>
      </c>
      <c r="J616" t="s">
        <v>1595</v>
      </c>
      <c r="K616" t="s">
        <v>1971</v>
      </c>
      <c r="L616" t="s">
        <v>1603</v>
      </c>
    </row>
    <row r="617" spans="1:12" x14ac:dyDescent="0.35">
      <c r="A617" t="s">
        <v>1599</v>
      </c>
      <c r="B617" t="s">
        <v>1599</v>
      </c>
      <c r="C617" t="s">
        <v>1599</v>
      </c>
      <c r="D617" t="s">
        <v>1754</v>
      </c>
      <c r="E617" t="s">
        <v>1761</v>
      </c>
      <c r="F617" t="s">
        <v>1598</v>
      </c>
      <c r="G617" t="s">
        <v>124</v>
      </c>
      <c r="H617" t="s">
        <v>1597</v>
      </c>
      <c r="I617" t="s">
        <v>191</v>
      </c>
      <c r="J617" t="s">
        <v>1595</v>
      </c>
      <c r="K617" t="s">
        <v>1971</v>
      </c>
      <c r="L617" t="s">
        <v>1603</v>
      </c>
    </row>
    <row r="618" spans="1:12" x14ac:dyDescent="0.35">
      <c r="A618" t="s">
        <v>940</v>
      </c>
      <c r="B618" t="s">
        <v>1956</v>
      </c>
      <c r="C618" t="s">
        <v>1610</v>
      </c>
      <c r="D618" t="s">
        <v>1766</v>
      </c>
      <c r="E618" t="s">
        <v>1972</v>
      </c>
      <c r="F618" t="s">
        <v>1598</v>
      </c>
      <c r="G618" t="s">
        <v>73</v>
      </c>
      <c r="H618" t="s">
        <v>1597</v>
      </c>
      <c r="I618" t="s">
        <v>191</v>
      </c>
      <c r="J618" t="s">
        <v>1595</v>
      </c>
      <c r="K618" t="s">
        <v>1971</v>
      </c>
      <c r="L618" t="s">
        <v>1603</v>
      </c>
    </row>
    <row r="619" spans="1:12" x14ac:dyDescent="0.35">
      <c r="A619" t="s">
        <v>1835</v>
      </c>
      <c r="B619" t="s">
        <v>1835</v>
      </c>
      <c r="C619" t="s">
        <v>1610</v>
      </c>
      <c r="D619" t="s">
        <v>1766</v>
      </c>
      <c r="E619" t="s">
        <v>1761</v>
      </c>
      <c r="F619" t="s">
        <v>1598</v>
      </c>
      <c r="G619" t="s">
        <v>73</v>
      </c>
      <c r="H619" t="s">
        <v>1597</v>
      </c>
      <c r="I619" t="s">
        <v>191</v>
      </c>
      <c r="J619" t="s">
        <v>1595</v>
      </c>
      <c r="K619" t="s">
        <v>1971</v>
      </c>
      <c r="L619" t="s">
        <v>1603</v>
      </c>
    </row>
    <row r="620" spans="1:12" x14ac:dyDescent="0.35">
      <c r="A620" t="s">
        <v>1735</v>
      </c>
      <c r="B620" t="s">
        <v>1735</v>
      </c>
      <c r="C620" t="s">
        <v>1610</v>
      </c>
      <c r="D620" t="s">
        <v>1766</v>
      </c>
      <c r="E620" t="s">
        <v>1761</v>
      </c>
      <c r="F620" t="s">
        <v>1598</v>
      </c>
      <c r="G620" t="s">
        <v>73</v>
      </c>
      <c r="H620" t="s">
        <v>1597</v>
      </c>
      <c r="I620" t="s">
        <v>191</v>
      </c>
      <c r="J620" t="s">
        <v>1595</v>
      </c>
      <c r="K620" t="s">
        <v>1971</v>
      </c>
      <c r="L620" t="s">
        <v>1603</v>
      </c>
    </row>
    <row r="621" spans="1:12" x14ac:dyDescent="0.35">
      <c r="A621" t="s">
        <v>1616</v>
      </c>
      <c r="B621" t="s">
        <v>1616</v>
      </c>
      <c r="C621" t="s">
        <v>1616</v>
      </c>
      <c r="D621" t="s">
        <v>1754</v>
      </c>
      <c r="E621" t="s">
        <v>1761</v>
      </c>
      <c r="F621" t="s">
        <v>1598</v>
      </c>
      <c r="G621" t="s">
        <v>64</v>
      </c>
      <c r="H621" t="s">
        <v>1597</v>
      </c>
      <c r="I621" t="s">
        <v>191</v>
      </c>
      <c r="J621" t="s">
        <v>1595</v>
      </c>
      <c r="K621" t="s">
        <v>1971</v>
      </c>
      <c r="L621" t="s">
        <v>1603</v>
      </c>
    </row>
    <row r="622" spans="1:12" x14ac:dyDescent="0.35">
      <c r="A622" t="s">
        <v>1631</v>
      </c>
      <c r="B622" t="s">
        <v>1624</v>
      </c>
      <c r="C622" t="s">
        <v>1624</v>
      </c>
      <c r="D622" t="s">
        <v>1754</v>
      </c>
      <c r="E622" t="s">
        <v>1973</v>
      </c>
      <c r="F622" t="s">
        <v>1623</v>
      </c>
      <c r="G622" t="s">
        <v>47</v>
      </c>
      <c r="H622" t="s">
        <v>1622</v>
      </c>
      <c r="I622" t="s">
        <v>219</v>
      </c>
      <c r="J622" t="s">
        <v>1595</v>
      </c>
      <c r="K622" t="s">
        <v>1974</v>
      </c>
      <c r="L622" t="s">
        <v>1628</v>
      </c>
    </row>
    <row r="623" spans="1:12" x14ac:dyDescent="0.35">
      <c r="A623" t="s">
        <v>1634</v>
      </c>
      <c r="B623" t="s">
        <v>1634</v>
      </c>
      <c r="C623" t="s">
        <v>1634</v>
      </c>
      <c r="D623" t="s">
        <v>1754</v>
      </c>
      <c r="E623" t="s">
        <v>1761</v>
      </c>
      <c r="F623" t="s">
        <v>1623</v>
      </c>
      <c r="G623" t="s">
        <v>124</v>
      </c>
      <c r="H623" t="s">
        <v>1622</v>
      </c>
      <c r="I623" t="s">
        <v>219</v>
      </c>
      <c r="J623" t="s">
        <v>1595</v>
      </c>
      <c r="K623" t="s">
        <v>1974</v>
      </c>
      <c r="L623" t="s">
        <v>1628</v>
      </c>
    </row>
    <row r="624" spans="1:12" x14ac:dyDescent="0.35">
      <c r="A624" t="s">
        <v>1115</v>
      </c>
      <c r="B624" t="s">
        <v>1639</v>
      </c>
      <c r="C624" t="s">
        <v>1639</v>
      </c>
      <c r="D624" t="s">
        <v>1754</v>
      </c>
      <c r="E624" t="s">
        <v>1975</v>
      </c>
      <c r="F624" t="s">
        <v>1623</v>
      </c>
      <c r="G624" t="s">
        <v>73</v>
      </c>
      <c r="H624" t="s">
        <v>1622</v>
      </c>
      <c r="I624" t="s">
        <v>219</v>
      </c>
      <c r="J624" t="s">
        <v>1595</v>
      </c>
      <c r="K624" t="s">
        <v>1976</v>
      </c>
      <c r="L624" t="s">
        <v>1628</v>
      </c>
    </row>
    <row r="625" spans="1:12" x14ac:dyDescent="0.35">
      <c r="A625" t="s">
        <v>1369</v>
      </c>
      <c r="B625" t="s">
        <v>1944</v>
      </c>
      <c r="C625" t="s">
        <v>1645</v>
      </c>
      <c r="D625" t="s">
        <v>1977</v>
      </c>
      <c r="E625" t="s">
        <v>1978</v>
      </c>
      <c r="F625" t="s">
        <v>1623</v>
      </c>
      <c r="G625" t="s">
        <v>64</v>
      </c>
      <c r="H625" t="s">
        <v>1622</v>
      </c>
      <c r="I625" t="s">
        <v>219</v>
      </c>
      <c r="J625" t="s">
        <v>1595</v>
      </c>
      <c r="K625" t="s">
        <v>1979</v>
      </c>
      <c r="L625" t="s">
        <v>1628</v>
      </c>
    </row>
    <row r="626" spans="1:12" x14ac:dyDescent="0.35">
      <c r="A626" t="s">
        <v>1661</v>
      </c>
      <c r="B626" t="s">
        <v>1655</v>
      </c>
      <c r="C626" t="s">
        <v>1655</v>
      </c>
      <c r="D626" t="s">
        <v>1754</v>
      </c>
      <c r="E626" t="s">
        <v>1973</v>
      </c>
      <c r="F626" t="s">
        <v>1654</v>
      </c>
      <c r="G626" t="s">
        <v>47</v>
      </c>
      <c r="H626" t="s">
        <v>1653</v>
      </c>
      <c r="I626" t="s">
        <v>226</v>
      </c>
      <c r="J626" t="s">
        <v>1595</v>
      </c>
      <c r="K626" t="s">
        <v>1980</v>
      </c>
      <c r="L626" t="s">
        <v>1658</v>
      </c>
    </row>
    <row r="627" spans="1:12" x14ac:dyDescent="0.35">
      <c r="A627" t="s">
        <v>1631</v>
      </c>
      <c r="B627" t="s">
        <v>1624</v>
      </c>
      <c r="C627" t="s">
        <v>1624</v>
      </c>
      <c r="D627" t="s">
        <v>1754</v>
      </c>
      <c r="E627" t="s">
        <v>1973</v>
      </c>
      <c r="F627" t="s">
        <v>1654</v>
      </c>
      <c r="G627" t="s">
        <v>124</v>
      </c>
      <c r="H627" t="s">
        <v>1653</v>
      </c>
      <c r="I627" t="s">
        <v>226</v>
      </c>
      <c r="J627" t="s">
        <v>1595</v>
      </c>
      <c r="K627" t="s">
        <v>1980</v>
      </c>
      <c r="L627" t="s">
        <v>1658</v>
      </c>
    </row>
    <row r="628" spans="1:12" x14ac:dyDescent="0.35">
      <c r="A628" t="s">
        <v>354</v>
      </c>
      <c r="B628" t="s">
        <v>1822</v>
      </c>
      <c r="C628" t="s">
        <v>1669</v>
      </c>
      <c r="D628" t="s">
        <v>1766</v>
      </c>
      <c r="E628" t="s">
        <v>1972</v>
      </c>
      <c r="F628" t="s">
        <v>1668</v>
      </c>
      <c r="G628" t="s">
        <v>84</v>
      </c>
      <c r="H628" t="s">
        <v>1667</v>
      </c>
      <c r="I628" t="s">
        <v>457</v>
      </c>
      <c r="J628" t="s">
        <v>1666</v>
      </c>
      <c r="K628" t="s">
        <v>1981</v>
      </c>
      <c r="L628" t="s">
        <v>1674</v>
      </c>
    </row>
    <row r="629" spans="1:12" x14ac:dyDescent="0.35">
      <c r="A629" t="s">
        <v>1772</v>
      </c>
      <c r="B629" t="s">
        <v>1772</v>
      </c>
      <c r="C629" t="s">
        <v>1669</v>
      </c>
      <c r="D629" t="s">
        <v>1766</v>
      </c>
      <c r="E629" t="s">
        <v>1761</v>
      </c>
      <c r="F629" t="s">
        <v>1668</v>
      </c>
      <c r="G629" t="s">
        <v>84</v>
      </c>
      <c r="H629" t="s">
        <v>1667</v>
      </c>
      <c r="I629" t="s">
        <v>457</v>
      </c>
      <c r="J629" t="s">
        <v>1666</v>
      </c>
      <c r="K629" t="s">
        <v>1981</v>
      </c>
      <c r="L629" t="s">
        <v>1674</v>
      </c>
    </row>
    <row r="630" spans="1:12" x14ac:dyDescent="0.35">
      <c r="A630" t="s">
        <v>1689</v>
      </c>
      <c r="B630" t="s">
        <v>1682</v>
      </c>
      <c r="C630" t="s">
        <v>1682</v>
      </c>
      <c r="D630" t="s">
        <v>1754</v>
      </c>
      <c r="E630" t="s">
        <v>1982</v>
      </c>
      <c r="F630" t="s">
        <v>1681</v>
      </c>
      <c r="G630" t="s">
        <v>84</v>
      </c>
      <c r="H630" t="s">
        <v>1680</v>
      </c>
      <c r="I630" t="s">
        <v>457</v>
      </c>
      <c r="J630" t="s">
        <v>1666</v>
      </c>
      <c r="K630" t="s">
        <v>1983</v>
      </c>
      <c r="L630" t="s">
        <v>1686</v>
      </c>
    </row>
    <row r="631" spans="1:12" x14ac:dyDescent="0.35">
      <c r="A631" t="s">
        <v>1369</v>
      </c>
      <c r="B631" t="s">
        <v>1944</v>
      </c>
      <c r="C631" t="s">
        <v>857</v>
      </c>
      <c r="D631" t="s">
        <v>1945</v>
      </c>
      <c r="E631" t="s">
        <v>1978</v>
      </c>
      <c r="F631" t="s">
        <v>1696</v>
      </c>
      <c r="G631" t="s">
        <v>84</v>
      </c>
      <c r="H631" t="s">
        <v>1695</v>
      </c>
      <c r="I631" t="s">
        <v>233</v>
      </c>
      <c r="J631" t="s">
        <v>1692</v>
      </c>
      <c r="K631" t="s">
        <v>1984</v>
      </c>
      <c r="L631" t="s">
        <v>1985</v>
      </c>
    </row>
  </sheetData>
  <mergeCells count="4">
    <mergeCell ref="A1:L2"/>
    <mergeCell ref="A3:L3"/>
    <mergeCell ref="A5:L5"/>
    <mergeCell ref="A7:L7"/>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Consulta de contratos</vt:lpstr>
      <vt:lpstr>Datos</vt:lpstr>
      <vt:lpstr>Empresas y UTE</vt:lpstr>
      <vt:lpstr>Criterio1</vt:lpstr>
      <vt:lpstr>Criterio2</vt:lpstr>
      <vt:lpstr>CriterioGrupo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 Malo, Jose</cp:lastModifiedBy>
  <dcterms:modified xsi:type="dcterms:W3CDTF">2026-10-26T08:19:51Z</dcterms:modified>
</cp:coreProperties>
</file>